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"/>
    </mc:Choice>
  </mc:AlternateContent>
  <xr:revisionPtr revIDLastSave="0" documentId="13_ncr:1_{891A36F8-90E6-4B23-8E74-F9684906EA5B}" xr6:coauthVersionLast="47" xr6:coauthVersionMax="47" xr10:uidLastSave="{00000000-0000-0000-0000-000000000000}"/>
  <bookViews>
    <workbookView xWindow="14295" yWindow="0" windowWidth="14610" windowHeight="15585" activeTab="3" xr2:uid="{CDB60E6B-7BC0-4294-B2DC-D6667543D341}"/>
  </bookViews>
  <sheets>
    <sheet name="23-29_06" sheetId="1" r:id="rId1"/>
    <sheet name="30-06_07" sheetId="2" r:id="rId2"/>
    <sheet name="07-13_07" sheetId="3" r:id="rId3"/>
    <sheet name="14-20_07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4" l="1"/>
  <c r="F13" i="1"/>
  <c r="G16" i="2"/>
  <c r="F17" i="2"/>
  <c r="F26" i="3"/>
  <c r="F31" i="4"/>
  <c r="I5" i="4"/>
  <c r="J5" i="4" s="1"/>
  <c r="K5" i="4" s="1"/>
  <c r="I6" i="4"/>
  <c r="J6" i="4" s="1"/>
  <c r="K6" i="4" s="1"/>
  <c r="I7" i="4"/>
  <c r="J7" i="4" s="1"/>
  <c r="K7" i="4" s="1"/>
  <c r="I8" i="4"/>
  <c r="J8" i="4" s="1"/>
  <c r="K8" i="4" s="1"/>
  <c r="I9" i="4"/>
  <c r="J9" i="4" s="1"/>
  <c r="K9" i="4" s="1"/>
  <c r="I10" i="4"/>
  <c r="I11" i="4"/>
  <c r="I12" i="4"/>
  <c r="J12" i="4" s="1"/>
  <c r="K12" i="4" s="1"/>
  <c r="I13" i="4"/>
  <c r="I14" i="4"/>
  <c r="J14" i="4" s="1"/>
  <c r="K14" i="4" s="1"/>
  <c r="I15" i="4"/>
  <c r="J15" i="4" s="1"/>
  <c r="K15" i="4" s="1"/>
  <c r="I16" i="4"/>
  <c r="J16" i="4" s="1"/>
  <c r="K16" i="4" s="1"/>
  <c r="I17" i="4"/>
  <c r="J17" i="4" s="1"/>
  <c r="K17" i="4" s="1"/>
  <c r="I18" i="4"/>
  <c r="J18" i="4" s="1"/>
  <c r="K18" i="4" s="1"/>
  <c r="I19" i="4"/>
  <c r="J19" i="4" s="1"/>
  <c r="K19" i="4" s="1"/>
  <c r="I20" i="4"/>
  <c r="J20" i="4" s="1"/>
  <c r="K20" i="4" s="1"/>
  <c r="I21" i="4"/>
  <c r="I22" i="4"/>
  <c r="J22" i="4" s="1"/>
  <c r="K22" i="4" s="1"/>
  <c r="I23" i="4"/>
  <c r="J23" i="4" s="1"/>
  <c r="K23" i="4" s="1"/>
  <c r="I24" i="4"/>
  <c r="I25" i="4"/>
  <c r="I26" i="4"/>
  <c r="J26" i="4" s="1"/>
  <c r="K26" i="4" s="1"/>
  <c r="I27" i="4"/>
  <c r="J27" i="4" s="1"/>
  <c r="K27" i="4" s="1"/>
  <c r="I28" i="4"/>
  <c r="J28" i="4" s="1"/>
  <c r="K28" i="4" s="1"/>
  <c r="I29" i="4"/>
  <c r="J29" i="4" s="1"/>
  <c r="K29" i="4" s="1"/>
  <c r="I4" i="4"/>
  <c r="J4" i="4" s="1"/>
  <c r="M8" i="4"/>
  <c r="N8" i="4" s="1"/>
  <c r="O8" i="4" s="1"/>
  <c r="M6" i="4"/>
  <c r="N18" i="4"/>
  <c r="O18" i="4" s="1"/>
  <c r="F18" i="4"/>
  <c r="G18" i="4" s="1"/>
  <c r="N24" i="4"/>
  <c r="O24" i="4" s="1"/>
  <c r="N25" i="4"/>
  <c r="O25" i="4" s="1"/>
  <c r="N26" i="4"/>
  <c r="O26" i="4" s="1"/>
  <c r="N27" i="4"/>
  <c r="O27" i="4" s="1"/>
  <c r="N28" i="4"/>
  <c r="O28" i="4" s="1"/>
  <c r="J24" i="4"/>
  <c r="K24" i="4" s="1"/>
  <c r="J25" i="4"/>
  <c r="K25" i="4" s="1"/>
  <c r="F24" i="4"/>
  <c r="G24" i="4" s="1"/>
  <c r="F25" i="4"/>
  <c r="G25" i="4" s="1"/>
  <c r="F26" i="4"/>
  <c r="G26" i="4" s="1"/>
  <c r="F27" i="4"/>
  <c r="G27" i="4" s="1"/>
  <c r="N29" i="4"/>
  <c r="O29" i="4" s="1"/>
  <c r="F29" i="4"/>
  <c r="G29" i="4" s="1"/>
  <c r="F28" i="4"/>
  <c r="G28" i="4" s="1"/>
  <c r="N23" i="4"/>
  <c r="O23" i="4" s="1"/>
  <c r="F23" i="4"/>
  <c r="G23" i="4" s="1"/>
  <c r="N22" i="4"/>
  <c r="O22" i="4" s="1"/>
  <c r="F22" i="4"/>
  <c r="G22" i="4" s="1"/>
  <c r="N21" i="4"/>
  <c r="O21" i="4" s="1"/>
  <c r="J21" i="4"/>
  <c r="K21" i="4" s="1"/>
  <c r="F21" i="4"/>
  <c r="G21" i="4" s="1"/>
  <c r="N20" i="4"/>
  <c r="O20" i="4" s="1"/>
  <c r="F20" i="4"/>
  <c r="G20" i="4" s="1"/>
  <c r="N19" i="4"/>
  <c r="O19" i="4" s="1"/>
  <c r="F19" i="4"/>
  <c r="G19" i="4" s="1"/>
  <c r="N17" i="4"/>
  <c r="O17" i="4" s="1"/>
  <c r="F17" i="4"/>
  <c r="G17" i="4" s="1"/>
  <c r="N16" i="4"/>
  <c r="O16" i="4" s="1"/>
  <c r="F16" i="4"/>
  <c r="G16" i="4" s="1"/>
  <c r="N15" i="4"/>
  <c r="O15" i="4" s="1"/>
  <c r="F15" i="4"/>
  <c r="G15" i="4" s="1"/>
  <c r="N14" i="4"/>
  <c r="O14" i="4" s="1"/>
  <c r="F14" i="4"/>
  <c r="G14" i="4" s="1"/>
  <c r="N13" i="4"/>
  <c r="O13" i="4" s="1"/>
  <c r="J13" i="4"/>
  <c r="K13" i="4" s="1"/>
  <c r="E30" i="4"/>
  <c r="N12" i="4"/>
  <c r="O12" i="4" s="1"/>
  <c r="F12" i="4"/>
  <c r="G12" i="4" s="1"/>
  <c r="N11" i="4"/>
  <c r="O11" i="4" s="1"/>
  <c r="J11" i="4"/>
  <c r="K11" i="4" s="1"/>
  <c r="F11" i="4"/>
  <c r="G11" i="4" s="1"/>
  <c r="N10" i="4"/>
  <c r="O10" i="4" s="1"/>
  <c r="J10" i="4"/>
  <c r="K10" i="4" s="1"/>
  <c r="F10" i="4"/>
  <c r="G10" i="4" s="1"/>
  <c r="N9" i="4"/>
  <c r="O9" i="4" s="1"/>
  <c r="F9" i="4"/>
  <c r="G9" i="4" s="1"/>
  <c r="F8" i="4"/>
  <c r="G8" i="4" s="1"/>
  <c r="N7" i="4"/>
  <c r="O7" i="4" s="1"/>
  <c r="F7" i="4"/>
  <c r="G7" i="4" s="1"/>
  <c r="F6" i="4"/>
  <c r="G6" i="4" s="1"/>
  <c r="N5" i="4"/>
  <c r="O5" i="4" s="1"/>
  <c r="F5" i="4"/>
  <c r="G5" i="4" s="1"/>
  <c r="N4" i="4"/>
  <c r="F4" i="4"/>
  <c r="M16" i="2"/>
  <c r="L16" i="2"/>
  <c r="F16" i="2"/>
  <c r="O25" i="3"/>
  <c r="M25" i="3"/>
  <c r="K25" i="3"/>
  <c r="J25" i="3"/>
  <c r="I25" i="3"/>
  <c r="G25" i="3"/>
  <c r="E25" i="3"/>
  <c r="F25" i="3"/>
  <c r="M13" i="3"/>
  <c r="N13" i="3" s="1"/>
  <c r="O13" i="3" s="1"/>
  <c r="M8" i="3"/>
  <c r="N8" i="3" s="1"/>
  <c r="O8" i="3" s="1"/>
  <c r="M7" i="3"/>
  <c r="N7" i="3" s="1"/>
  <c r="O7" i="3" s="1"/>
  <c r="M6" i="3"/>
  <c r="N6" i="3"/>
  <c r="O6" i="3" s="1"/>
  <c r="J13" i="3"/>
  <c r="K13" i="3" s="1"/>
  <c r="E13" i="3"/>
  <c r="F13" i="3" s="1"/>
  <c r="G13" i="3" s="1"/>
  <c r="N24" i="3"/>
  <c r="O24" i="3" s="1"/>
  <c r="J24" i="3"/>
  <c r="K24" i="3" s="1"/>
  <c r="F24" i="3"/>
  <c r="G24" i="3" s="1"/>
  <c r="N23" i="3"/>
  <c r="O23" i="3" s="1"/>
  <c r="J23" i="3"/>
  <c r="K23" i="3" s="1"/>
  <c r="F23" i="3"/>
  <c r="G23" i="3" s="1"/>
  <c r="N22" i="3"/>
  <c r="O22" i="3" s="1"/>
  <c r="J22" i="3"/>
  <c r="K22" i="3" s="1"/>
  <c r="F22" i="3"/>
  <c r="G22" i="3" s="1"/>
  <c r="N21" i="3"/>
  <c r="O21" i="3" s="1"/>
  <c r="J21" i="3"/>
  <c r="K21" i="3" s="1"/>
  <c r="F21" i="3"/>
  <c r="G21" i="3" s="1"/>
  <c r="N20" i="3"/>
  <c r="O20" i="3" s="1"/>
  <c r="J20" i="3"/>
  <c r="K20" i="3" s="1"/>
  <c r="F20" i="3"/>
  <c r="G20" i="3" s="1"/>
  <c r="F17" i="3"/>
  <c r="G17" i="3" s="1"/>
  <c r="J17" i="3"/>
  <c r="K17" i="3" s="1"/>
  <c r="N17" i="3"/>
  <c r="O17" i="3" s="1"/>
  <c r="F18" i="3"/>
  <c r="G18" i="3" s="1"/>
  <c r="J18" i="3"/>
  <c r="K18" i="3" s="1"/>
  <c r="N18" i="3"/>
  <c r="O18" i="3" s="1"/>
  <c r="F19" i="3"/>
  <c r="G19" i="3" s="1"/>
  <c r="J19" i="3"/>
  <c r="K19" i="3" s="1"/>
  <c r="N19" i="3"/>
  <c r="O19" i="3" s="1"/>
  <c r="N16" i="3"/>
  <c r="O16" i="3" s="1"/>
  <c r="J16" i="3"/>
  <c r="K16" i="3" s="1"/>
  <c r="F16" i="3"/>
  <c r="G16" i="3" s="1"/>
  <c r="N15" i="3"/>
  <c r="O15" i="3" s="1"/>
  <c r="J15" i="3"/>
  <c r="K15" i="3" s="1"/>
  <c r="F15" i="3"/>
  <c r="G15" i="3" s="1"/>
  <c r="N14" i="3"/>
  <c r="O14" i="3" s="1"/>
  <c r="J14" i="3"/>
  <c r="K14" i="3" s="1"/>
  <c r="F14" i="3"/>
  <c r="G14" i="3" s="1"/>
  <c r="N12" i="3"/>
  <c r="O12" i="3" s="1"/>
  <c r="J12" i="3"/>
  <c r="K12" i="3" s="1"/>
  <c r="F12" i="3"/>
  <c r="G12" i="3" s="1"/>
  <c r="N11" i="3"/>
  <c r="O11" i="3" s="1"/>
  <c r="J11" i="3"/>
  <c r="K11" i="3" s="1"/>
  <c r="F11" i="3"/>
  <c r="G11" i="3" s="1"/>
  <c r="N10" i="3"/>
  <c r="O10" i="3" s="1"/>
  <c r="J10" i="3"/>
  <c r="K10" i="3" s="1"/>
  <c r="F10" i="3"/>
  <c r="G10" i="3" s="1"/>
  <c r="N9" i="3"/>
  <c r="O9" i="3" s="1"/>
  <c r="J9" i="3"/>
  <c r="K9" i="3" s="1"/>
  <c r="F9" i="3"/>
  <c r="G9" i="3" s="1"/>
  <c r="J8" i="3"/>
  <c r="K8" i="3" s="1"/>
  <c r="J7" i="3"/>
  <c r="K7" i="3" s="1"/>
  <c r="F7" i="3"/>
  <c r="G7" i="3" s="1"/>
  <c r="J6" i="3"/>
  <c r="K6" i="3" s="1"/>
  <c r="F6" i="3"/>
  <c r="G6" i="3" s="1"/>
  <c r="N5" i="3"/>
  <c r="O5" i="3" s="1"/>
  <c r="J5" i="3"/>
  <c r="K5" i="3" s="1"/>
  <c r="F5" i="3"/>
  <c r="G5" i="3" s="1"/>
  <c r="N4" i="3"/>
  <c r="O4" i="3" s="1"/>
  <c r="J4" i="3"/>
  <c r="K4" i="3" s="1"/>
  <c r="F4" i="3"/>
  <c r="G4" i="3" s="1"/>
  <c r="K13" i="2"/>
  <c r="L13" i="2" s="1"/>
  <c r="M13" i="2" s="1"/>
  <c r="K8" i="2"/>
  <c r="K7" i="2"/>
  <c r="K6" i="2"/>
  <c r="M5" i="2"/>
  <c r="M12" i="2"/>
  <c r="M15" i="2"/>
  <c r="L5" i="2"/>
  <c r="L7" i="2"/>
  <c r="M7" i="2" s="1"/>
  <c r="L8" i="2"/>
  <c r="M8" i="2" s="1"/>
  <c r="L9" i="2"/>
  <c r="M9" i="2" s="1"/>
  <c r="L10" i="2"/>
  <c r="M10" i="2" s="1"/>
  <c r="L11" i="2"/>
  <c r="M11" i="2" s="1"/>
  <c r="L12" i="2"/>
  <c r="L14" i="2"/>
  <c r="M14" i="2" s="1"/>
  <c r="L15" i="2"/>
  <c r="J5" i="2"/>
  <c r="I5" i="2"/>
  <c r="G5" i="2"/>
  <c r="G6" i="2"/>
  <c r="F5" i="2"/>
  <c r="J6" i="2"/>
  <c r="J7" i="2"/>
  <c r="J11" i="2"/>
  <c r="J12" i="2"/>
  <c r="J13" i="2"/>
  <c r="J14" i="2"/>
  <c r="I6" i="2"/>
  <c r="I7" i="2"/>
  <c r="I8" i="2"/>
  <c r="J8" i="2" s="1"/>
  <c r="I9" i="2"/>
  <c r="J9" i="2" s="1"/>
  <c r="I10" i="2"/>
  <c r="J10" i="2" s="1"/>
  <c r="I11" i="2"/>
  <c r="I12" i="2"/>
  <c r="I13" i="2"/>
  <c r="I14" i="2"/>
  <c r="I15" i="2"/>
  <c r="J15" i="2" s="1"/>
  <c r="E13" i="2"/>
  <c r="E8" i="2"/>
  <c r="F8" i="2" s="1"/>
  <c r="G8" i="2" s="1"/>
  <c r="E16" i="2"/>
  <c r="G7" i="2"/>
  <c r="G15" i="2"/>
  <c r="F6" i="2"/>
  <c r="F7" i="2"/>
  <c r="F9" i="2"/>
  <c r="G9" i="2" s="1"/>
  <c r="F10" i="2"/>
  <c r="G10" i="2" s="1"/>
  <c r="F11" i="2"/>
  <c r="G11" i="2" s="1"/>
  <c r="F12" i="2"/>
  <c r="G12" i="2" s="1"/>
  <c r="F13" i="2"/>
  <c r="G13" i="2" s="1"/>
  <c r="F14" i="2"/>
  <c r="G14" i="2" s="1"/>
  <c r="F15" i="2"/>
  <c r="F4" i="2"/>
  <c r="G4" i="2" s="1"/>
  <c r="I4" i="2"/>
  <c r="J4" i="2" s="1"/>
  <c r="L4" i="2"/>
  <c r="M4" i="2" s="1"/>
  <c r="K11" i="1"/>
  <c r="K6" i="1"/>
  <c r="K12" i="1" s="1"/>
  <c r="H16" i="2"/>
  <c r="J4" i="1"/>
  <c r="L5" i="1"/>
  <c r="L7" i="1"/>
  <c r="L8" i="1"/>
  <c r="M8" i="1" s="1"/>
  <c r="L9" i="1"/>
  <c r="M9" i="1" s="1"/>
  <c r="L10" i="1"/>
  <c r="M10" i="1" s="1"/>
  <c r="L11" i="1"/>
  <c r="M11" i="1" s="1"/>
  <c r="M7" i="1"/>
  <c r="M4" i="1"/>
  <c r="L4" i="1"/>
  <c r="J8" i="1"/>
  <c r="I5" i="1"/>
  <c r="J5" i="1" s="1"/>
  <c r="I6" i="1"/>
  <c r="J6" i="1" s="1"/>
  <c r="I7" i="1"/>
  <c r="J7" i="1" s="1"/>
  <c r="I8" i="1"/>
  <c r="I9" i="1"/>
  <c r="J9" i="1" s="1"/>
  <c r="I10" i="1"/>
  <c r="J10" i="1" s="1"/>
  <c r="I11" i="1"/>
  <c r="J11" i="1" s="1"/>
  <c r="I4" i="1"/>
  <c r="H12" i="1"/>
  <c r="F12" i="1"/>
  <c r="E12" i="1"/>
  <c r="G5" i="1"/>
  <c r="G6" i="1"/>
  <c r="G7" i="1"/>
  <c r="G8" i="1"/>
  <c r="G9" i="1"/>
  <c r="G10" i="1"/>
  <c r="G11" i="1"/>
  <c r="G4" i="1"/>
  <c r="G30" i="4" l="1"/>
  <c r="F30" i="4"/>
  <c r="I30" i="4"/>
  <c r="F13" i="4"/>
  <c r="G13" i="4" s="1"/>
  <c r="J30" i="4"/>
  <c r="M30" i="4"/>
  <c r="K4" i="4"/>
  <c r="K30" i="4" s="1"/>
  <c r="O4" i="4"/>
  <c r="N6" i="4"/>
  <c r="O6" i="4" s="1"/>
  <c r="G4" i="4"/>
  <c r="N25" i="3"/>
  <c r="F8" i="3"/>
  <c r="G8" i="3" s="1"/>
  <c r="K16" i="2"/>
  <c r="L6" i="2"/>
  <c r="M6" i="2" s="1"/>
  <c r="L6" i="1"/>
  <c r="M6" i="1" s="1"/>
  <c r="I16" i="2"/>
  <c r="J16" i="2"/>
  <c r="J12" i="1"/>
  <c r="M5" i="1"/>
  <c r="I12" i="1"/>
  <c r="G12" i="1"/>
  <c r="O30" i="4" l="1"/>
  <c r="N30" i="4"/>
  <c r="L12" i="1"/>
  <c r="M12" i="1"/>
</calcChain>
</file>

<file path=xl/sharedStrings.xml><?xml version="1.0" encoding="utf-8"?>
<sst xmlns="http://schemas.openxmlformats.org/spreadsheetml/2006/main" count="149" uniqueCount="45">
  <si>
    <t>TÊN SẢN PHẨM</t>
  </si>
  <si>
    <t>GIÁ CŨ</t>
  </si>
  <si>
    <t>GIÁ MỚI</t>
  </si>
  <si>
    <t>GÀ ĐÔNG LẠNH (SIZE 1.2-1.6KG)</t>
  </si>
  <si>
    <t>VỊT ĐÔNG LẠNH</t>
  </si>
  <si>
    <t>CÁ BASA CẮT KHÚC</t>
  </si>
  <si>
    <t xml:space="preserve">MÓNG HEO CẮT </t>
  </si>
  <si>
    <t>BẮP HEO CẮT LÁT</t>
  </si>
  <si>
    <t>NƯỚC NUMBERONE</t>
  </si>
  <si>
    <t>NƯỚC STING DÂU</t>
  </si>
  <si>
    <t>BÒ HÚC THÁI</t>
  </si>
  <si>
    <t>GIÁ VỐN</t>
  </si>
  <si>
    <t>TRUNG BÌNH TUẦN</t>
  </si>
  <si>
    <t>DOANH THU</t>
  </si>
  <si>
    <t>DỰ KIẾN</t>
  </si>
  <si>
    <t>THỰC TẾ</t>
  </si>
  <si>
    <t>SL BÁN</t>
  </si>
  <si>
    <t>LỢI NHUẬN</t>
  </si>
  <si>
    <t>TỔNG</t>
  </si>
  <si>
    <t>HẠT NÊM KNORR</t>
  </si>
  <si>
    <t>MÌ TÔM HẢO HẢO THÙNG</t>
  </si>
  <si>
    <t>MÌ TÔM KOKOMI THÙNG</t>
  </si>
  <si>
    <t>THỜI GIAN ÁP DỤNG : 30/06/2025 - 06/07/2025</t>
  </si>
  <si>
    <t>THỜI GIAN ÁP DỤNG : 23/06/2025 - 29/06/2025</t>
  </si>
  <si>
    <t>MÌ TÔM 3 MIỀN CHUA CAY THƯỜNG</t>
  </si>
  <si>
    <t>GÀ ĐÔNG LẠNH</t>
  </si>
  <si>
    <t>MÓNG HEO CẮT</t>
  </si>
  <si>
    <t>SẢ TƯƠI</t>
  </si>
  <si>
    <t>THỜI GIAN ÁP DỤNG : 07/07/2025 - 13/07/2025</t>
  </si>
  <si>
    <t>BA CHỈ CÓ DA</t>
  </si>
  <si>
    <t>TƯƠNG ỚT CHINSU 520ML</t>
  </si>
  <si>
    <t>NƯỚC MẮM NAM NGƯ 750ML</t>
  </si>
  <si>
    <t>MUỐI HẢO HẢO</t>
  </si>
  <si>
    <t>ỚT ĐÔNG LẠNH</t>
  </si>
  <si>
    <t>SẦU RIÊNG ĐÔNG LẠNH</t>
  </si>
  <si>
    <t>BÚN SAFOCO - GÓI</t>
  </si>
  <si>
    <t>BÚN SAFOCO - THÙNG</t>
  </si>
  <si>
    <t>TỔNG DT TUẦN</t>
  </si>
  <si>
    <t>CHÈ SẦU RIÊNG</t>
  </si>
  <si>
    <t>CHÈ DỪA DẦM</t>
  </si>
  <si>
    <t>CHÈ DỪA NON</t>
  </si>
  <si>
    <t>CHÈ THỐT NỐT</t>
  </si>
  <si>
    <t>THỜI GIAN ÁP DỤNG : 14/07/2025 - 20/07/2025</t>
  </si>
  <si>
    <t>SƯỜN GIÀ CẮT SẴN</t>
  </si>
  <si>
    <t xml:space="preserve">TRÍCH LỢI NHUẬN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</si>
</sst>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[Red]\(0\)"/>
    <numFmt numFmtId="165" formatCode="[$¥]#,##0"/>
    <numFmt numFmtId="166" formatCode="[$¥-411]#,##0;[Red][$¥-411]#,##0"/>
    <numFmt numFmtId="167" formatCode="[$¥-411]#,##0"/>
  </numFmts>
  <fonts count="9" x14ac:knownFonts="1"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scheme val="major"/>
    </font>
    <font>
      <b/>
      <sz val="20"/>
      <color theme="1"/>
      <name val="Times New Roman"/>
      <family val="1"/>
      <scheme val="major"/>
    </font>
    <font>
      <b/>
      <sz val="20"/>
      <color rgb="FFEE0000"/>
      <name val="Times New Roman"/>
      <family val="1"/>
      <scheme val="major"/>
    </font>
    <font>
      <b/>
      <strike/>
      <sz val="20"/>
      <color rgb="FF000000"/>
      <name val="Times New Roman"/>
      <family val="1"/>
      <scheme val="major"/>
    </font>
    <font>
      <sz val="20"/>
      <color theme="1"/>
      <name val="Times New Roman"/>
      <family val="1"/>
      <scheme val="major"/>
    </font>
    <font>
      <sz val="35"/>
      <color theme="1"/>
      <name val="Times New Roman"/>
      <family val="1"/>
      <scheme val="major"/>
    </font>
    <font>
      <b/>
      <sz val="15"/>
      <color rgb="FFEE0000"/>
      <name val="Times New Roman"/>
      <family val="1"/>
      <scheme val="major"/>
    </font>
    <font>
      <sz val="40"/>
      <color theme="1"/>
      <name val="Times New Roman"/>
      <family val="1"/>
      <scheme val="maj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 tint="-0.14999847407452621"/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2DA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0000"/>
      </right>
      <top style="thin">
        <color indexed="64"/>
      </top>
      <bottom/>
      <diagonal/>
    </border>
    <border>
      <left style="thin">
        <color indexed="64"/>
      </left>
      <right style="thick">
        <color rgb="FF00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n">
        <color indexed="64"/>
      </top>
      <bottom/>
      <diagonal/>
    </border>
    <border>
      <left style="thick">
        <color rgb="FF000000"/>
      </left>
      <right style="thick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5" fillId="5" borderId="1" xfId="0" applyNumberFormat="1" applyFont="1" applyFill="1" applyBorder="1" applyAlignment="1">
      <alignment horizontal="left" vertical="center" shrinkToFit="1"/>
    </xf>
    <xf numFmtId="167" fontId="3" fillId="6" borderId="1" xfId="0" applyNumberFormat="1" applyFont="1" applyFill="1" applyBorder="1" applyAlignment="1">
      <alignment horizontal="center" vertical="center" shrinkToFit="1"/>
    </xf>
    <xf numFmtId="165" fontId="4" fillId="3" borderId="1" xfId="0" applyNumberFormat="1" applyFont="1" applyFill="1" applyBorder="1" applyAlignment="1">
      <alignment horizontal="right" vertical="center" shrinkToFit="1"/>
    </xf>
    <xf numFmtId="166" fontId="2" fillId="4" borderId="2" xfId="0" applyNumberFormat="1" applyFont="1" applyFill="1" applyBorder="1" applyAlignment="1">
      <alignment horizontal="center" vertical="center" shrinkToFit="1"/>
    </xf>
    <xf numFmtId="2" fontId="2" fillId="7" borderId="2" xfId="0" applyNumberFormat="1" applyFont="1" applyFill="1" applyBorder="1" applyAlignment="1">
      <alignment horizontal="center" vertical="center" shrinkToFit="1"/>
    </xf>
    <xf numFmtId="167" fontId="2" fillId="7" borderId="2" xfId="0" applyNumberFormat="1" applyFont="1" applyFill="1" applyBorder="1" applyAlignment="1">
      <alignment horizontal="center" vertical="center" shrinkToFit="1"/>
    </xf>
    <xf numFmtId="2" fontId="2" fillId="5" borderId="2" xfId="0" applyNumberFormat="1" applyFont="1" applyFill="1" applyBorder="1" applyAlignment="1">
      <alignment horizontal="center" vertical="center" shrinkToFit="1"/>
    </xf>
    <xf numFmtId="167" fontId="2" fillId="5" borderId="2" xfId="0" applyNumberFormat="1" applyFont="1" applyFill="1" applyBorder="1" applyAlignment="1">
      <alignment horizontal="center" vertical="center" shrinkToFit="1"/>
    </xf>
    <xf numFmtId="2" fontId="2" fillId="4" borderId="2" xfId="0" applyNumberFormat="1" applyFont="1" applyFill="1" applyBorder="1" applyAlignment="1">
      <alignment horizontal="center" vertical="center" shrinkToFit="1"/>
    </xf>
    <xf numFmtId="167" fontId="2" fillId="4" borderId="2" xfId="0" applyNumberFormat="1" applyFont="1" applyFill="1" applyBorder="1" applyAlignment="1">
      <alignment horizontal="center" vertical="center" shrinkToFit="1"/>
    </xf>
    <xf numFmtId="0" fontId="1" fillId="0" borderId="0" xfId="0" applyFont="1"/>
    <xf numFmtId="164" fontId="7" fillId="7" borderId="10" xfId="0" applyNumberFormat="1" applyFont="1" applyFill="1" applyBorder="1" applyAlignment="1">
      <alignment horizontal="center" vertical="center" shrinkToFit="1"/>
    </xf>
    <xf numFmtId="164" fontId="7" fillId="7" borderId="11" xfId="0" applyNumberFormat="1" applyFont="1" applyFill="1" applyBorder="1" applyAlignment="1">
      <alignment horizontal="center" vertical="center" shrinkToFit="1"/>
    </xf>
    <xf numFmtId="164" fontId="7" fillId="7" borderId="9" xfId="0" applyNumberFormat="1" applyFont="1" applyFill="1" applyBorder="1" applyAlignment="1">
      <alignment horizontal="center" vertical="center" shrinkToFit="1"/>
    </xf>
    <xf numFmtId="164" fontId="7" fillId="5" borderId="10" xfId="0" applyNumberFormat="1" applyFont="1" applyFill="1" applyBorder="1" applyAlignment="1">
      <alignment horizontal="center" vertical="center" shrinkToFit="1"/>
    </xf>
    <xf numFmtId="164" fontId="7" fillId="5" borderId="11" xfId="0" applyNumberFormat="1" applyFont="1" applyFill="1" applyBorder="1" applyAlignment="1">
      <alignment horizontal="center" vertical="center" shrinkToFit="1"/>
    </xf>
    <xf numFmtId="164" fontId="7" fillId="4" borderId="10" xfId="0" applyNumberFormat="1" applyFont="1" applyFill="1" applyBorder="1" applyAlignment="1">
      <alignment horizontal="center" vertical="center" shrinkToFit="1"/>
    </xf>
    <xf numFmtId="164" fontId="7" fillId="4" borderId="11" xfId="0" applyNumberFormat="1" applyFont="1" applyFill="1" applyBorder="1" applyAlignment="1">
      <alignment horizontal="center" vertical="center" shrinkToFit="1"/>
    </xf>
    <xf numFmtId="2" fontId="2" fillId="9" borderId="2" xfId="0" applyNumberFormat="1" applyFont="1" applyFill="1" applyBorder="1" applyAlignment="1">
      <alignment horizontal="center" vertical="center" shrinkToFit="1"/>
    </xf>
    <xf numFmtId="167" fontId="2" fillId="9" borderId="2" xfId="0" applyNumberFormat="1" applyFont="1" applyFill="1" applyBorder="1" applyAlignment="1">
      <alignment horizontal="center" vertical="center" shrinkToFit="1"/>
    </xf>
    <xf numFmtId="164" fontId="7" fillId="5" borderId="9" xfId="0" applyNumberFormat="1" applyFont="1" applyFill="1" applyBorder="1" applyAlignment="1">
      <alignment horizontal="center" vertical="center" shrinkToFit="1"/>
    </xf>
    <xf numFmtId="2" fontId="2" fillId="10" borderId="2" xfId="0" applyNumberFormat="1" applyFont="1" applyFill="1" applyBorder="1" applyAlignment="1">
      <alignment horizontal="center" vertical="center" shrinkToFit="1"/>
    </xf>
    <xf numFmtId="167" fontId="2" fillId="10" borderId="2" xfId="0" applyNumberFormat="1" applyFont="1" applyFill="1" applyBorder="1" applyAlignment="1">
      <alignment horizontal="center" vertical="center" shrinkToFit="1"/>
    </xf>
    <xf numFmtId="0" fontId="6" fillId="8" borderId="7" xfId="0" applyFont="1" applyFill="1" applyBorder="1" applyAlignment="1">
      <alignment horizontal="center"/>
    </xf>
    <xf numFmtId="164" fontId="2" fillId="7" borderId="12" xfId="0" applyNumberFormat="1" applyFont="1" applyFill="1" applyBorder="1" applyAlignment="1">
      <alignment horizontal="center" vertical="center" shrinkToFit="1"/>
    </xf>
    <xf numFmtId="164" fontId="2" fillId="7" borderId="13" xfId="0" applyNumberFormat="1" applyFont="1" applyFill="1" applyBorder="1" applyAlignment="1">
      <alignment horizontal="center" vertical="center" shrinkToFit="1"/>
    </xf>
    <xf numFmtId="164" fontId="2" fillId="7" borderId="14" xfId="0" applyNumberFormat="1" applyFont="1" applyFill="1" applyBorder="1" applyAlignment="1">
      <alignment horizontal="center" vertical="center" shrinkToFit="1"/>
    </xf>
    <xf numFmtId="0" fontId="6" fillId="8" borderId="7" xfId="0" applyFont="1" applyFill="1" applyBorder="1" applyAlignment="1">
      <alignment horizontal="center"/>
    </xf>
    <xf numFmtId="164" fontId="2" fillId="4" borderId="15" xfId="0" applyNumberFormat="1" applyFont="1" applyFill="1" applyBorder="1" applyAlignment="1">
      <alignment horizontal="center" vertical="center" shrinkToFit="1"/>
    </xf>
    <xf numFmtId="164" fontId="2" fillId="4" borderId="13" xfId="0" applyNumberFormat="1" applyFont="1" applyFill="1" applyBorder="1" applyAlignment="1">
      <alignment horizontal="center" vertical="center" shrinkToFit="1"/>
    </xf>
    <xf numFmtId="164" fontId="2" fillId="5" borderId="16" xfId="0" applyNumberFormat="1" applyFont="1" applyFill="1" applyBorder="1" applyAlignment="1">
      <alignment horizontal="center" vertical="center" shrinkToFit="1"/>
    </xf>
    <xf numFmtId="164" fontId="2" fillId="5" borderId="17" xfId="0" applyNumberFormat="1" applyFont="1" applyFill="1" applyBorder="1" applyAlignment="1">
      <alignment horizontal="center" vertical="center" shrinkToFit="1"/>
    </xf>
    <xf numFmtId="164" fontId="2" fillId="5" borderId="18" xfId="0" applyNumberFormat="1" applyFont="1" applyFill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 shrinkToFit="1"/>
    </xf>
    <xf numFmtId="164" fontId="2" fillId="2" borderId="4" xfId="0" applyNumberFormat="1" applyFont="1" applyFill="1" applyBorder="1" applyAlignment="1">
      <alignment horizontal="center" vertical="center" shrinkToFit="1"/>
    </xf>
    <xf numFmtId="164" fontId="3" fillId="6" borderId="3" xfId="0" applyNumberFormat="1" applyFont="1" applyFill="1" applyBorder="1" applyAlignment="1">
      <alignment horizontal="center" vertical="center" shrinkToFit="1"/>
    </xf>
    <xf numFmtId="164" fontId="3" fillId="6" borderId="4" xfId="0" applyNumberFormat="1" applyFont="1" applyFill="1" applyBorder="1" applyAlignment="1">
      <alignment horizontal="center" vertical="center" shrinkToFit="1"/>
    </xf>
    <xf numFmtId="165" fontId="4" fillId="3" borderId="3" xfId="0" applyNumberFormat="1" applyFont="1" applyFill="1" applyBorder="1" applyAlignment="1">
      <alignment horizontal="center" vertical="center" shrinkToFit="1"/>
    </xf>
    <xf numFmtId="165" fontId="4" fillId="3" borderId="4" xfId="0" applyNumberFormat="1" applyFont="1" applyFill="1" applyBorder="1" applyAlignment="1">
      <alignment horizontal="center" vertical="center" shrinkToFit="1"/>
    </xf>
    <xf numFmtId="164" fontId="2" fillId="4" borderId="5" xfId="0" applyNumberFormat="1" applyFont="1" applyFill="1" applyBorder="1" applyAlignment="1">
      <alignment horizontal="center" vertical="center" shrinkToFit="1"/>
    </xf>
    <xf numFmtId="164" fontId="2" fillId="4" borderId="6" xfId="0" applyNumberFormat="1" applyFont="1" applyFill="1" applyBorder="1" applyAlignment="1">
      <alignment horizontal="center" vertical="center" shrinkToFit="1"/>
    </xf>
    <xf numFmtId="165" fontId="4" fillId="3" borderId="5" xfId="0" applyNumberFormat="1" applyFont="1" applyFill="1" applyBorder="1" applyAlignment="1">
      <alignment horizontal="center" vertical="center" shrinkToFit="1"/>
    </xf>
    <xf numFmtId="165" fontId="4" fillId="3" borderId="6" xfId="0" applyNumberFormat="1" applyFont="1" applyFill="1" applyBorder="1" applyAlignment="1">
      <alignment horizontal="center" vertical="center" shrinkToFit="1"/>
    </xf>
    <xf numFmtId="164" fontId="2" fillId="4" borderId="19" xfId="0" applyNumberFormat="1" applyFont="1" applyFill="1" applyBorder="1" applyAlignment="1">
      <alignment horizontal="center" vertical="center" shrinkToFit="1"/>
    </xf>
    <xf numFmtId="164" fontId="2" fillId="4" borderId="20" xfId="0" applyNumberFormat="1" applyFont="1" applyFill="1" applyBorder="1" applyAlignment="1">
      <alignment horizontal="center" vertical="center" shrinkToFit="1"/>
    </xf>
    <xf numFmtId="164" fontId="2" fillId="5" borderId="15" xfId="0" applyNumberFormat="1" applyFont="1" applyFill="1" applyBorder="1" applyAlignment="1">
      <alignment horizontal="center" vertical="center" shrinkToFit="1"/>
    </xf>
    <xf numFmtId="164" fontId="2" fillId="5" borderId="13" xfId="0" applyNumberFormat="1" applyFont="1" applyFill="1" applyBorder="1" applyAlignment="1">
      <alignment horizontal="center" vertical="center" shrinkToFit="1"/>
    </xf>
    <xf numFmtId="164" fontId="2" fillId="5" borderId="14" xfId="0" applyNumberFormat="1" applyFont="1" applyFill="1" applyBorder="1" applyAlignment="1">
      <alignment horizontal="center" vertical="center" shrinkToFit="1"/>
    </xf>
    <xf numFmtId="164" fontId="2" fillId="4" borderId="21" xfId="0" applyNumberFormat="1" applyFont="1" applyFill="1" applyBorder="1" applyAlignment="1">
      <alignment horizontal="center" vertical="center" shrinkToFit="1"/>
    </xf>
    <xf numFmtId="164" fontId="2" fillId="4" borderId="0" xfId="0" applyNumberFormat="1" applyFont="1" applyFill="1" applyAlignment="1">
      <alignment horizontal="center" vertical="center" shrinkToFit="1"/>
    </xf>
    <xf numFmtId="167" fontId="2" fillId="9" borderId="19" xfId="0" applyNumberFormat="1" applyFont="1" applyFill="1" applyBorder="1" applyAlignment="1">
      <alignment horizontal="center" vertical="center" shrinkToFit="1"/>
    </xf>
    <xf numFmtId="167" fontId="2" fillId="9" borderId="22" xfId="0" applyNumberFormat="1" applyFont="1" applyFill="1" applyBorder="1" applyAlignment="1">
      <alignment horizontal="center" vertical="center" shrinkToFit="1"/>
    </xf>
    <xf numFmtId="167" fontId="2" fillId="9" borderId="20" xfId="0" applyNumberFormat="1" applyFont="1" applyFill="1" applyBorder="1" applyAlignment="1">
      <alignment horizontal="center" vertical="center" shrinkToFit="1"/>
    </xf>
    <xf numFmtId="167" fontId="2" fillId="5" borderId="19" xfId="0" applyNumberFormat="1" applyFont="1" applyFill="1" applyBorder="1" applyAlignment="1">
      <alignment horizontal="center" vertical="center" shrinkToFit="1"/>
    </xf>
    <xf numFmtId="167" fontId="2" fillId="5" borderId="22" xfId="0" applyNumberFormat="1" applyFont="1" applyFill="1" applyBorder="1" applyAlignment="1">
      <alignment horizontal="center" vertical="center" shrinkToFit="1"/>
    </xf>
    <xf numFmtId="167" fontId="2" fillId="5" borderId="20" xfId="0" applyNumberFormat="1" applyFont="1" applyFill="1" applyBorder="1" applyAlignment="1">
      <alignment horizontal="center" vertical="center" shrinkToFit="1"/>
    </xf>
    <xf numFmtId="167" fontId="2" fillId="7" borderId="19" xfId="0" applyNumberFormat="1" applyFont="1" applyFill="1" applyBorder="1" applyAlignment="1">
      <alignment horizontal="center" vertical="center" shrinkToFit="1"/>
    </xf>
    <xf numFmtId="167" fontId="2" fillId="7" borderId="22" xfId="0" applyNumberFormat="1" applyFont="1" applyFill="1" applyBorder="1" applyAlignment="1">
      <alignment horizontal="center" vertical="center" shrinkToFit="1"/>
    </xf>
    <xf numFmtId="167" fontId="2" fillId="7" borderId="20" xfId="0" applyNumberFormat="1" applyFont="1" applyFill="1" applyBorder="1" applyAlignment="1">
      <alignment horizontal="center" vertical="center" shrinkToFit="1"/>
    </xf>
    <xf numFmtId="0" fontId="3" fillId="0" borderId="0" xfId="0" applyFont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 shrinkToFit="1"/>
    </xf>
    <xf numFmtId="2" fontId="2" fillId="9" borderId="5" xfId="0" applyNumberFormat="1" applyFont="1" applyFill="1" applyBorder="1" applyAlignment="1">
      <alignment horizontal="center" vertical="center" shrinkToFit="1"/>
    </xf>
    <xf numFmtId="167" fontId="2" fillId="9" borderId="5" xfId="0" applyNumberFormat="1" applyFont="1" applyFill="1" applyBorder="1" applyAlignment="1">
      <alignment horizontal="center" vertical="center" shrinkToFit="1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167" fontId="8" fillId="0" borderId="2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253BA-CFE4-41A3-BD46-706FBED822B9}">
  <dimension ref="A1:M15"/>
  <sheetViews>
    <sheetView zoomScale="40" zoomScaleNormal="40" workbookViewId="0">
      <selection activeCell="F15" sqref="F15"/>
    </sheetView>
  </sheetViews>
  <sheetFormatPr defaultColWidth="23.625" defaultRowHeight="42.75" customHeight="1" x14ac:dyDescent="0.25"/>
  <cols>
    <col min="1" max="1" width="52.25" style="11" customWidth="1"/>
    <col min="2" max="2" width="14.125" style="11" customWidth="1"/>
    <col min="3" max="3" width="13.625" style="11" customWidth="1"/>
    <col min="4" max="4" width="16" style="11" customWidth="1"/>
    <col min="5" max="7" width="17.75" style="11" customWidth="1"/>
    <col min="8" max="10" width="16" style="11" customWidth="1"/>
    <col min="11" max="11" width="14.875" style="11" customWidth="1"/>
    <col min="12" max="12" width="15.75" style="11" customWidth="1"/>
    <col min="13" max="13" width="14.875" style="11" customWidth="1"/>
    <col min="14" max="16384" width="23.625" style="11"/>
  </cols>
  <sheetData>
    <row r="1" spans="1:13" ht="42.75" customHeight="1" x14ac:dyDescent="0.25">
      <c r="A1" s="34" t="s">
        <v>23</v>
      </c>
      <c r="B1" s="34"/>
      <c r="C1" s="34"/>
    </row>
    <row r="2" spans="1:13" ht="42.75" customHeight="1" x14ac:dyDescent="0.25">
      <c r="A2" s="35" t="s">
        <v>0</v>
      </c>
      <c r="B2" s="37" t="s">
        <v>11</v>
      </c>
      <c r="C2" s="39" t="s">
        <v>1</v>
      </c>
      <c r="D2" s="41" t="s">
        <v>2</v>
      </c>
      <c r="E2" s="25" t="s">
        <v>12</v>
      </c>
      <c r="F2" s="26"/>
      <c r="G2" s="27"/>
      <c r="H2" s="31" t="s">
        <v>14</v>
      </c>
      <c r="I2" s="32"/>
      <c r="J2" s="33"/>
      <c r="K2" s="29" t="s">
        <v>15</v>
      </c>
      <c r="L2" s="30"/>
      <c r="M2" s="30"/>
    </row>
    <row r="3" spans="1:13" ht="42.75" customHeight="1" x14ac:dyDescent="0.25">
      <c r="A3" s="36"/>
      <c r="B3" s="38"/>
      <c r="C3" s="40"/>
      <c r="D3" s="42"/>
      <c r="E3" s="12" t="s">
        <v>16</v>
      </c>
      <c r="F3" s="13" t="s">
        <v>13</v>
      </c>
      <c r="G3" s="14" t="s">
        <v>17</v>
      </c>
      <c r="H3" s="15" t="s">
        <v>16</v>
      </c>
      <c r="I3" s="16" t="s">
        <v>13</v>
      </c>
      <c r="J3" s="21" t="s">
        <v>17</v>
      </c>
      <c r="K3" s="17" t="s">
        <v>16</v>
      </c>
      <c r="L3" s="18" t="s">
        <v>13</v>
      </c>
      <c r="M3" s="18" t="s">
        <v>17</v>
      </c>
    </row>
    <row r="4" spans="1:13" ht="42.75" customHeight="1" x14ac:dyDescent="0.25">
      <c r="A4" s="1" t="s">
        <v>3</v>
      </c>
      <c r="B4" s="2">
        <v>515</v>
      </c>
      <c r="C4" s="3">
        <v>750</v>
      </c>
      <c r="D4" s="4">
        <v>550</v>
      </c>
      <c r="E4" s="5">
        <v>108</v>
      </c>
      <c r="F4" s="6">
        <v>81000</v>
      </c>
      <c r="G4" s="6">
        <f>F4-E4*B4</f>
        <v>25380</v>
      </c>
      <c r="H4" s="7">
        <v>130</v>
      </c>
      <c r="I4" s="8">
        <f>H4*D4</f>
        <v>71500</v>
      </c>
      <c r="J4" s="8">
        <f>I4-H4*B4</f>
        <v>4550</v>
      </c>
      <c r="K4" s="9">
        <v>141</v>
      </c>
      <c r="L4" s="10">
        <f>K4*D4</f>
        <v>77550</v>
      </c>
      <c r="M4" s="10">
        <f>L4-B4*K4</f>
        <v>4935</v>
      </c>
    </row>
    <row r="5" spans="1:13" ht="42.75" customHeight="1" x14ac:dyDescent="0.25">
      <c r="A5" s="1" t="s">
        <v>4</v>
      </c>
      <c r="B5" s="2">
        <v>1080</v>
      </c>
      <c r="C5" s="3">
        <v>1470</v>
      </c>
      <c r="D5" s="4">
        <v>1199</v>
      </c>
      <c r="E5" s="5">
        <v>49</v>
      </c>
      <c r="F5" s="6">
        <v>72030</v>
      </c>
      <c r="G5" s="6">
        <f t="shared" ref="G5:G11" si="0">F5-E5*B5</f>
        <v>19110</v>
      </c>
      <c r="H5" s="7">
        <v>60</v>
      </c>
      <c r="I5" s="8">
        <f t="shared" ref="I5:I11" si="1">H5*D5</f>
        <v>71940</v>
      </c>
      <c r="J5" s="8">
        <f t="shared" ref="J5:J11" si="2">I5-H5*B5</f>
        <v>7140</v>
      </c>
      <c r="K5" s="9">
        <v>71</v>
      </c>
      <c r="L5" s="10">
        <f t="shared" ref="L5:L11" si="3">K5*D5</f>
        <v>85129</v>
      </c>
      <c r="M5" s="10">
        <f t="shared" ref="M5:M11" si="4">L5-B5*K5</f>
        <v>8449</v>
      </c>
    </row>
    <row r="6" spans="1:13" ht="42.75" customHeight="1" x14ac:dyDescent="0.25">
      <c r="A6" s="1" t="s">
        <v>5</v>
      </c>
      <c r="B6" s="2">
        <v>285</v>
      </c>
      <c r="C6" s="3">
        <v>395</v>
      </c>
      <c r="D6" s="4">
        <v>299</v>
      </c>
      <c r="E6" s="5">
        <v>96</v>
      </c>
      <c r="F6" s="6">
        <v>37920</v>
      </c>
      <c r="G6" s="6">
        <f t="shared" si="0"/>
        <v>10560</v>
      </c>
      <c r="H6" s="7">
        <v>200</v>
      </c>
      <c r="I6" s="8">
        <f t="shared" si="1"/>
        <v>59800</v>
      </c>
      <c r="J6" s="8">
        <f t="shared" si="2"/>
        <v>2800</v>
      </c>
      <c r="K6" s="9">
        <f>128+73</f>
        <v>201</v>
      </c>
      <c r="L6" s="10">
        <f t="shared" si="3"/>
        <v>60099</v>
      </c>
      <c r="M6" s="10">
        <f t="shared" si="4"/>
        <v>2814</v>
      </c>
    </row>
    <row r="7" spans="1:13" ht="42.75" customHeight="1" x14ac:dyDescent="0.25">
      <c r="A7" s="1" t="s">
        <v>6</v>
      </c>
      <c r="B7" s="2">
        <v>245</v>
      </c>
      <c r="C7" s="3">
        <v>432</v>
      </c>
      <c r="D7" s="4">
        <v>299</v>
      </c>
      <c r="E7" s="5">
        <v>36.79</v>
      </c>
      <c r="F7" s="6">
        <v>15892</v>
      </c>
      <c r="G7" s="6">
        <f t="shared" si="0"/>
        <v>6878.4500000000007</v>
      </c>
      <c r="H7" s="7">
        <v>60</v>
      </c>
      <c r="I7" s="8">
        <f t="shared" si="1"/>
        <v>17940</v>
      </c>
      <c r="J7" s="8">
        <f t="shared" si="2"/>
        <v>3240</v>
      </c>
      <c r="K7" s="9">
        <v>42.7</v>
      </c>
      <c r="L7" s="10">
        <f t="shared" si="3"/>
        <v>12767.300000000001</v>
      </c>
      <c r="M7" s="10">
        <f t="shared" si="4"/>
        <v>2305.8000000000011</v>
      </c>
    </row>
    <row r="8" spans="1:13" ht="42.75" customHeight="1" x14ac:dyDescent="0.25">
      <c r="A8" s="1" t="s">
        <v>7</v>
      </c>
      <c r="B8" s="2">
        <v>635</v>
      </c>
      <c r="C8" s="3">
        <v>984</v>
      </c>
      <c r="D8" s="4">
        <v>799</v>
      </c>
      <c r="E8" s="5">
        <v>33.72</v>
      </c>
      <c r="F8" s="6">
        <v>32888</v>
      </c>
      <c r="G8" s="6">
        <f t="shared" si="0"/>
        <v>11475.8</v>
      </c>
      <c r="H8" s="7">
        <v>50</v>
      </c>
      <c r="I8" s="8">
        <f t="shared" si="1"/>
        <v>39950</v>
      </c>
      <c r="J8" s="8">
        <f t="shared" si="2"/>
        <v>8200</v>
      </c>
      <c r="K8" s="9">
        <v>38.479999999999997</v>
      </c>
      <c r="L8" s="10">
        <f t="shared" si="3"/>
        <v>30745.519999999997</v>
      </c>
      <c r="M8" s="10">
        <f t="shared" si="4"/>
        <v>6310.7199999999975</v>
      </c>
    </row>
    <row r="9" spans="1:13" ht="42.75" customHeight="1" x14ac:dyDescent="0.25">
      <c r="A9" s="1" t="s">
        <v>8</v>
      </c>
      <c r="B9" s="2">
        <v>100</v>
      </c>
      <c r="C9" s="3">
        <v>250</v>
      </c>
      <c r="D9" s="4">
        <v>119</v>
      </c>
      <c r="E9" s="5">
        <v>8</v>
      </c>
      <c r="F9" s="6">
        <v>2000</v>
      </c>
      <c r="G9" s="6">
        <f t="shared" si="0"/>
        <v>1200</v>
      </c>
      <c r="H9" s="7">
        <v>100</v>
      </c>
      <c r="I9" s="8">
        <f t="shared" si="1"/>
        <v>11900</v>
      </c>
      <c r="J9" s="8">
        <f t="shared" si="2"/>
        <v>1900</v>
      </c>
      <c r="K9" s="9">
        <v>40</v>
      </c>
      <c r="L9" s="10">
        <f t="shared" si="3"/>
        <v>4760</v>
      </c>
      <c r="M9" s="10">
        <f t="shared" si="4"/>
        <v>760</v>
      </c>
    </row>
    <row r="10" spans="1:13" ht="42.75" customHeight="1" x14ac:dyDescent="0.25">
      <c r="A10" s="1" t="s">
        <v>9</v>
      </c>
      <c r="B10" s="2">
        <v>180</v>
      </c>
      <c r="C10" s="3">
        <v>330</v>
      </c>
      <c r="D10" s="4">
        <v>199</v>
      </c>
      <c r="E10" s="5">
        <v>28</v>
      </c>
      <c r="F10" s="6">
        <v>9210</v>
      </c>
      <c r="G10" s="6">
        <f t="shared" si="0"/>
        <v>4170</v>
      </c>
      <c r="H10" s="7">
        <v>100</v>
      </c>
      <c r="I10" s="8">
        <f t="shared" si="1"/>
        <v>19900</v>
      </c>
      <c r="J10" s="8">
        <f t="shared" si="2"/>
        <v>1900</v>
      </c>
      <c r="K10" s="9">
        <v>69</v>
      </c>
      <c r="L10" s="10">
        <f t="shared" si="3"/>
        <v>13731</v>
      </c>
      <c r="M10" s="10">
        <f t="shared" si="4"/>
        <v>1311</v>
      </c>
    </row>
    <row r="11" spans="1:13" ht="42.75" customHeight="1" x14ac:dyDescent="0.25">
      <c r="A11" s="1" t="s">
        <v>10</v>
      </c>
      <c r="B11" s="2">
        <v>180</v>
      </c>
      <c r="C11" s="3">
        <v>315</v>
      </c>
      <c r="D11" s="4">
        <v>199</v>
      </c>
      <c r="E11" s="5">
        <v>40</v>
      </c>
      <c r="F11" s="6">
        <v>12420</v>
      </c>
      <c r="G11" s="6">
        <f t="shared" si="0"/>
        <v>5220</v>
      </c>
      <c r="H11" s="7">
        <v>100</v>
      </c>
      <c r="I11" s="8">
        <f t="shared" si="1"/>
        <v>19900</v>
      </c>
      <c r="J11" s="8">
        <f t="shared" si="2"/>
        <v>1900</v>
      </c>
      <c r="K11" s="9">
        <f>72+40</f>
        <v>112</v>
      </c>
      <c r="L11" s="10">
        <f t="shared" si="3"/>
        <v>22288</v>
      </c>
      <c r="M11" s="10">
        <f t="shared" si="4"/>
        <v>2128</v>
      </c>
    </row>
    <row r="12" spans="1:13" ht="42.75" customHeight="1" thickBot="1" x14ac:dyDescent="0.65">
      <c r="A12" s="28" t="s">
        <v>18</v>
      </c>
      <c r="B12" s="28"/>
      <c r="C12" s="28"/>
      <c r="D12" s="28"/>
      <c r="E12" s="19">
        <f>SUM(E4:E11)</f>
        <v>399.51</v>
      </c>
      <c r="F12" s="20">
        <f t="shared" ref="F12:G12" si="5">SUM(F4:F11)</f>
        <v>263360</v>
      </c>
      <c r="G12" s="20">
        <f t="shared" si="5"/>
        <v>83994.25</v>
      </c>
      <c r="H12" s="22">
        <f>SUM(H4:H11)</f>
        <v>800</v>
      </c>
      <c r="I12" s="23">
        <f t="shared" ref="I12" si="6">SUM(I4:I11)</f>
        <v>312830</v>
      </c>
      <c r="J12" s="23">
        <f t="shared" ref="J12" si="7">SUM(J4:J11)</f>
        <v>31630</v>
      </c>
      <c r="K12" s="19">
        <f>SUM(K4:K11)</f>
        <v>715.18000000000006</v>
      </c>
      <c r="L12" s="20">
        <f t="shared" ref="L12" si="8">SUM(L4:L11)</f>
        <v>307069.82</v>
      </c>
      <c r="M12" s="20">
        <f t="shared" ref="M12" si="9">SUM(M4:M11)</f>
        <v>29013.52</v>
      </c>
    </row>
    <row r="13" spans="1:13" ht="42.75" customHeight="1" thickTop="1" x14ac:dyDescent="0.25">
      <c r="A13" s="65" t="s">
        <v>44</v>
      </c>
      <c r="B13" s="65"/>
      <c r="C13" s="65"/>
      <c r="D13" s="65"/>
      <c r="E13" s="65"/>
      <c r="F13" s="67">
        <f>G12-M12</f>
        <v>54980.729999999996</v>
      </c>
      <c r="G13" s="65"/>
    </row>
    <row r="14" spans="1:13" ht="42.75" customHeight="1" thickBot="1" x14ac:dyDescent="0.3">
      <c r="A14" s="66"/>
      <c r="B14" s="66"/>
      <c r="C14" s="66"/>
      <c r="D14" s="66"/>
      <c r="E14" s="66"/>
      <c r="F14" s="66"/>
      <c r="G14" s="66"/>
    </row>
    <row r="15" spans="1:13" ht="42.75" customHeight="1" thickTop="1" x14ac:dyDescent="0.25"/>
  </sheetData>
  <mergeCells count="11">
    <mergeCell ref="A13:E14"/>
    <mergeCell ref="F13:G14"/>
    <mergeCell ref="E2:G2"/>
    <mergeCell ref="A12:D12"/>
    <mergeCell ref="K2:M2"/>
    <mergeCell ref="H2:J2"/>
    <mergeCell ref="A1:C1"/>
    <mergeCell ref="A2:A3"/>
    <mergeCell ref="B2:B3"/>
    <mergeCell ref="C2:C3"/>
    <mergeCell ref="D2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D05A-D1C7-4CFA-87BC-C9C54139AEF0}">
  <dimension ref="A1:M19"/>
  <sheetViews>
    <sheetView zoomScale="40" zoomScaleNormal="40" workbookViewId="0">
      <pane xSplit="1" topLeftCell="B1" activePane="topRight" state="frozen"/>
      <selection pane="topRight" activeCell="A34" sqref="A34"/>
    </sheetView>
  </sheetViews>
  <sheetFormatPr defaultColWidth="23.625" defaultRowHeight="42.75" customHeight="1" x14ac:dyDescent="0.25"/>
  <cols>
    <col min="1" max="1" width="49.625" style="11" customWidth="1"/>
    <col min="2" max="4" width="16" style="11" customWidth="1"/>
    <col min="5" max="7" width="17.75" style="11" customWidth="1"/>
    <col min="8" max="10" width="16" style="11" customWidth="1"/>
    <col min="11" max="11" width="14.875" style="11" customWidth="1"/>
    <col min="12" max="12" width="15.75" style="11" customWidth="1"/>
    <col min="13" max="13" width="14.875" style="11" customWidth="1"/>
    <col min="14" max="16384" width="23.625" style="11"/>
  </cols>
  <sheetData>
    <row r="1" spans="1:13" ht="42.75" customHeight="1" x14ac:dyDescent="0.25">
      <c r="A1" s="34" t="s">
        <v>22</v>
      </c>
      <c r="B1" s="34"/>
      <c r="C1" s="34"/>
    </row>
    <row r="2" spans="1:13" ht="42.75" customHeight="1" x14ac:dyDescent="0.25">
      <c r="A2" s="35" t="s">
        <v>0</v>
      </c>
      <c r="B2" s="37" t="s">
        <v>11</v>
      </c>
      <c r="C2" s="43" t="s">
        <v>1</v>
      </c>
      <c r="D2" s="45" t="s">
        <v>2</v>
      </c>
      <c r="E2" s="25" t="s">
        <v>12</v>
      </c>
      <c r="F2" s="26"/>
      <c r="G2" s="27"/>
      <c r="H2" s="31" t="s">
        <v>14</v>
      </c>
      <c r="I2" s="32"/>
      <c r="J2" s="33"/>
      <c r="K2" s="29" t="s">
        <v>15</v>
      </c>
      <c r="L2" s="30"/>
      <c r="M2" s="30"/>
    </row>
    <row r="3" spans="1:13" ht="42.75" customHeight="1" x14ac:dyDescent="0.25">
      <c r="A3" s="36"/>
      <c r="B3" s="38"/>
      <c r="C3" s="44"/>
      <c r="D3" s="46"/>
      <c r="E3" s="12" t="s">
        <v>16</v>
      </c>
      <c r="F3" s="13" t="s">
        <v>13</v>
      </c>
      <c r="G3" s="14" t="s">
        <v>17</v>
      </c>
      <c r="H3" s="15" t="s">
        <v>16</v>
      </c>
      <c r="I3" s="16" t="s">
        <v>13</v>
      </c>
      <c r="J3" s="21" t="s">
        <v>17</v>
      </c>
      <c r="K3" s="17" t="s">
        <v>16</v>
      </c>
      <c r="L3" s="18" t="s">
        <v>13</v>
      </c>
      <c r="M3" s="18" t="s">
        <v>17</v>
      </c>
    </row>
    <row r="4" spans="1:13" ht="42.75" customHeight="1" x14ac:dyDescent="0.25">
      <c r="A4" s="1" t="s">
        <v>19</v>
      </c>
      <c r="B4" s="2">
        <v>270</v>
      </c>
      <c r="C4" s="3">
        <v>420</v>
      </c>
      <c r="D4" s="4">
        <v>350</v>
      </c>
      <c r="E4" s="5">
        <v>52</v>
      </c>
      <c r="F4" s="6">
        <f>E4*C4</f>
        <v>21840</v>
      </c>
      <c r="G4" s="6">
        <f t="shared" ref="G4:G15" si="0">F4-E4*B4</f>
        <v>7800</v>
      </c>
      <c r="H4" s="7">
        <v>50</v>
      </c>
      <c r="I4" s="8">
        <f t="shared" ref="I4:I15" si="1">H4*D4</f>
        <v>17500</v>
      </c>
      <c r="J4" s="8">
        <f t="shared" ref="J4:J15" si="2">I4-H4*B4</f>
        <v>4000</v>
      </c>
      <c r="K4" s="9">
        <v>56</v>
      </c>
      <c r="L4" s="10">
        <f t="shared" ref="L4:L15" si="3">K4*D4</f>
        <v>19600</v>
      </c>
      <c r="M4" s="10">
        <f t="shared" ref="M4:M15" si="4">L4-B4*K4</f>
        <v>4480</v>
      </c>
    </row>
    <row r="5" spans="1:13" ht="42.75" customHeight="1" x14ac:dyDescent="0.25">
      <c r="A5" s="1" t="s">
        <v>27</v>
      </c>
      <c r="B5" s="2">
        <v>225</v>
      </c>
      <c r="C5" s="3">
        <v>300</v>
      </c>
      <c r="D5" s="4">
        <v>250</v>
      </c>
      <c r="E5" s="5">
        <v>200</v>
      </c>
      <c r="F5" s="6">
        <f>E5*C5</f>
        <v>60000</v>
      </c>
      <c r="G5" s="6">
        <f t="shared" si="0"/>
        <v>15000</v>
      </c>
      <c r="H5" s="7">
        <v>250</v>
      </c>
      <c r="I5" s="8">
        <f>H5*D5</f>
        <v>62500</v>
      </c>
      <c r="J5" s="8">
        <f t="shared" si="2"/>
        <v>6250</v>
      </c>
      <c r="K5" s="9">
        <v>157.80000000000001</v>
      </c>
      <c r="L5" s="10">
        <f t="shared" si="3"/>
        <v>39450</v>
      </c>
      <c r="M5" s="10">
        <f t="shared" si="4"/>
        <v>3945</v>
      </c>
    </row>
    <row r="6" spans="1:13" ht="42.75" customHeight="1" x14ac:dyDescent="0.25">
      <c r="A6" s="1" t="s">
        <v>8</v>
      </c>
      <c r="B6" s="2">
        <v>100</v>
      </c>
      <c r="C6" s="3">
        <v>250</v>
      </c>
      <c r="D6" s="4">
        <v>119</v>
      </c>
      <c r="E6" s="5">
        <v>7</v>
      </c>
      <c r="F6" s="6">
        <f t="shared" ref="F6:F15" si="5">E6*C6</f>
        <v>1750</v>
      </c>
      <c r="G6" s="6">
        <f t="shared" si="0"/>
        <v>1050</v>
      </c>
      <c r="H6" s="7">
        <v>40</v>
      </c>
      <c r="I6" s="8">
        <f t="shared" si="1"/>
        <v>4760</v>
      </c>
      <c r="J6" s="8">
        <f t="shared" si="2"/>
        <v>760</v>
      </c>
      <c r="K6" s="9">
        <f>12+37</f>
        <v>49</v>
      </c>
      <c r="L6" s="10">
        <f t="shared" si="3"/>
        <v>5831</v>
      </c>
      <c r="M6" s="10">
        <f t="shared" si="4"/>
        <v>931</v>
      </c>
    </row>
    <row r="7" spans="1:13" ht="42.75" customHeight="1" x14ac:dyDescent="0.25">
      <c r="A7" s="1" t="s">
        <v>9</v>
      </c>
      <c r="B7" s="2">
        <v>180</v>
      </c>
      <c r="C7" s="3">
        <v>330</v>
      </c>
      <c r="D7" s="4">
        <v>199</v>
      </c>
      <c r="E7" s="5">
        <v>16</v>
      </c>
      <c r="F7" s="6">
        <f t="shared" si="5"/>
        <v>5280</v>
      </c>
      <c r="G7" s="6">
        <f t="shared" si="0"/>
        <v>2400</v>
      </c>
      <c r="H7" s="7">
        <v>50</v>
      </c>
      <c r="I7" s="8">
        <f t="shared" si="1"/>
        <v>9950</v>
      </c>
      <c r="J7" s="8">
        <f t="shared" si="2"/>
        <v>950</v>
      </c>
      <c r="K7" s="9">
        <f>4*6+53</f>
        <v>77</v>
      </c>
      <c r="L7" s="10">
        <f t="shared" si="3"/>
        <v>15323</v>
      </c>
      <c r="M7" s="10">
        <f t="shared" si="4"/>
        <v>1463</v>
      </c>
    </row>
    <row r="8" spans="1:13" ht="42.75" customHeight="1" x14ac:dyDescent="0.25">
      <c r="A8" s="1" t="s">
        <v>10</v>
      </c>
      <c r="B8" s="2">
        <v>180</v>
      </c>
      <c r="C8" s="3">
        <v>315</v>
      </c>
      <c r="D8" s="4">
        <v>199</v>
      </c>
      <c r="E8" s="5">
        <f>24+46</f>
        <v>70</v>
      </c>
      <c r="F8" s="6">
        <f t="shared" si="5"/>
        <v>22050</v>
      </c>
      <c r="G8" s="6">
        <f t="shared" si="0"/>
        <v>9450</v>
      </c>
      <c r="H8" s="7">
        <v>100</v>
      </c>
      <c r="I8" s="8">
        <f t="shared" si="1"/>
        <v>19900</v>
      </c>
      <c r="J8" s="8">
        <f t="shared" si="2"/>
        <v>1900</v>
      </c>
      <c r="K8" s="9">
        <f>16*4+83</f>
        <v>147</v>
      </c>
      <c r="L8" s="10">
        <f t="shared" si="3"/>
        <v>29253</v>
      </c>
      <c r="M8" s="10">
        <f t="shared" si="4"/>
        <v>2793</v>
      </c>
    </row>
    <row r="9" spans="1:13" ht="42.75" customHeight="1" x14ac:dyDescent="0.25">
      <c r="A9" s="1" t="s">
        <v>24</v>
      </c>
      <c r="B9" s="2">
        <v>1470</v>
      </c>
      <c r="C9" s="3">
        <v>1700</v>
      </c>
      <c r="D9" s="4">
        <v>1550</v>
      </c>
      <c r="E9" s="5">
        <v>6</v>
      </c>
      <c r="F9" s="6">
        <f t="shared" si="5"/>
        <v>10200</v>
      </c>
      <c r="G9" s="6">
        <f t="shared" si="0"/>
        <v>1380</v>
      </c>
      <c r="H9" s="7">
        <v>20</v>
      </c>
      <c r="I9" s="8">
        <f t="shared" si="1"/>
        <v>31000</v>
      </c>
      <c r="J9" s="8">
        <f t="shared" si="2"/>
        <v>1600</v>
      </c>
      <c r="K9" s="9">
        <v>18</v>
      </c>
      <c r="L9" s="10">
        <f t="shared" si="3"/>
        <v>27900</v>
      </c>
      <c r="M9" s="10">
        <f t="shared" si="4"/>
        <v>1440</v>
      </c>
    </row>
    <row r="10" spans="1:13" ht="42.75" customHeight="1" x14ac:dyDescent="0.25">
      <c r="A10" s="1" t="s">
        <v>20</v>
      </c>
      <c r="B10" s="2">
        <v>1853</v>
      </c>
      <c r="C10" s="3">
        <v>2400</v>
      </c>
      <c r="D10" s="4">
        <v>1998</v>
      </c>
      <c r="E10" s="5">
        <v>13</v>
      </c>
      <c r="F10" s="6">
        <f t="shared" si="5"/>
        <v>31200</v>
      </c>
      <c r="G10" s="6">
        <f t="shared" si="0"/>
        <v>7111</v>
      </c>
      <c r="H10" s="7">
        <v>30</v>
      </c>
      <c r="I10" s="8">
        <f t="shared" si="1"/>
        <v>59940</v>
      </c>
      <c r="J10" s="8">
        <f t="shared" si="2"/>
        <v>4350</v>
      </c>
      <c r="K10" s="9">
        <v>14.5</v>
      </c>
      <c r="L10" s="10">
        <f t="shared" si="3"/>
        <v>28971</v>
      </c>
      <c r="M10" s="10">
        <f t="shared" si="4"/>
        <v>2102.5</v>
      </c>
    </row>
    <row r="11" spans="1:13" ht="42.75" customHeight="1" x14ac:dyDescent="0.25">
      <c r="A11" s="1" t="s">
        <v>21</v>
      </c>
      <c r="B11" s="2">
        <v>1650</v>
      </c>
      <c r="C11" s="3">
        <v>2300</v>
      </c>
      <c r="D11" s="4">
        <v>1998</v>
      </c>
      <c r="E11" s="5">
        <v>1</v>
      </c>
      <c r="F11" s="6">
        <f t="shared" si="5"/>
        <v>2300</v>
      </c>
      <c r="G11" s="6">
        <f t="shared" si="0"/>
        <v>650</v>
      </c>
      <c r="H11" s="7">
        <v>30</v>
      </c>
      <c r="I11" s="8">
        <f t="shared" si="1"/>
        <v>59940</v>
      </c>
      <c r="J11" s="8">
        <f t="shared" si="2"/>
        <v>10440</v>
      </c>
      <c r="K11" s="9">
        <v>7</v>
      </c>
      <c r="L11" s="10">
        <f t="shared" si="3"/>
        <v>13986</v>
      </c>
      <c r="M11" s="10">
        <f t="shared" si="4"/>
        <v>2436</v>
      </c>
    </row>
    <row r="12" spans="1:13" ht="42.75" customHeight="1" x14ac:dyDescent="0.25">
      <c r="A12" s="1" t="s">
        <v>4</v>
      </c>
      <c r="B12" s="2">
        <v>1135</v>
      </c>
      <c r="C12" s="3">
        <v>1470</v>
      </c>
      <c r="D12" s="4">
        <v>1199</v>
      </c>
      <c r="E12" s="5">
        <v>56</v>
      </c>
      <c r="F12" s="6">
        <f t="shared" si="5"/>
        <v>82320</v>
      </c>
      <c r="G12" s="6">
        <f t="shared" si="0"/>
        <v>18760</v>
      </c>
      <c r="H12" s="7">
        <v>80</v>
      </c>
      <c r="I12" s="8">
        <f t="shared" si="1"/>
        <v>95920</v>
      </c>
      <c r="J12" s="8">
        <f t="shared" si="2"/>
        <v>5120</v>
      </c>
      <c r="K12" s="9">
        <v>86</v>
      </c>
      <c r="L12" s="10">
        <f t="shared" si="3"/>
        <v>103114</v>
      </c>
      <c r="M12" s="10">
        <f t="shared" si="4"/>
        <v>5504</v>
      </c>
    </row>
    <row r="13" spans="1:13" ht="42.75" customHeight="1" x14ac:dyDescent="0.25">
      <c r="A13" s="1" t="s">
        <v>5</v>
      </c>
      <c r="B13" s="2">
        <v>285</v>
      </c>
      <c r="C13" s="3">
        <v>394</v>
      </c>
      <c r="D13" s="4">
        <v>299</v>
      </c>
      <c r="E13" s="5">
        <f>109+42</f>
        <v>151</v>
      </c>
      <c r="F13" s="6">
        <f t="shared" si="5"/>
        <v>59494</v>
      </c>
      <c r="G13" s="6">
        <f t="shared" si="0"/>
        <v>16459</v>
      </c>
      <c r="H13" s="7">
        <v>200</v>
      </c>
      <c r="I13" s="8">
        <f t="shared" si="1"/>
        <v>59800</v>
      </c>
      <c r="J13" s="8">
        <f t="shared" si="2"/>
        <v>2800</v>
      </c>
      <c r="K13" s="9">
        <f>47+110</f>
        <v>157</v>
      </c>
      <c r="L13" s="10">
        <f t="shared" si="3"/>
        <v>46943</v>
      </c>
      <c r="M13" s="10">
        <f t="shared" si="4"/>
        <v>2198</v>
      </c>
    </row>
    <row r="14" spans="1:13" ht="42.75" customHeight="1" x14ac:dyDescent="0.25">
      <c r="A14" s="1" t="s">
        <v>26</v>
      </c>
      <c r="B14" s="2">
        <v>245</v>
      </c>
      <c r="C14" s="3">
        <v>432</v>
      </c>
      <c r="D14" s="4">
        <v>299</v>
      </c>
      <c r="E14" s="5">
        <v>42.68</v>
      </c>
      <c r="F14" s="6">
        <f t="shared" si="5"/>
        <v>18437.759999999998</v>
      </c>
      <c r="G14" s="6">
        <f t="shared" si="0"/>
        <v>7981.159999999998</v>
      </c>
      <c r="H14" s="7">
        <v>50</v>
      </c>
      <c r="I14" s="8">
        <f t="shared" si="1"/>
        <v>14950</v>
      </c>
      <c r="J14" s="8">
        <f t="shared" si="2"/>
        <v>2700</v>
      </c>
      <c r="K14" s="9">
        <v>47.43</v>
      </c>
      <c r="L14" s="10">
        <f t="shared" si="3"/>
        <v>14181.57</v>
      </c>
      <c r="M14" s="10">
        <f t="shared" si="4"/>
        <v>2561.2199999999993</v>
      </c>
    </row>
    <row r="15" spans="1:13" ht="42" customHeight="1" x14ac:dyDescent="0.25">
      <c r="A15" s="1" t="s">
        <v>25</v>
      </c>
      <c r="B15" s="2">
        <v>520</v>
      </c>
      <c r="C15" s="3">
        <v>750</v>
      </c>
      <c r="D15" s="4">
        <v>550</v>
      </c>
      <c r="E15" s="5">
        <v>69</v>
      </c>
      <c r="F15" s="6">
        <f t="shared" si="5"/>
        <v>51750</v>
      </c>
      <c r="G15" s="6">
        <f t="shared" si="0"/>
        <v>15870</v>
      </c>
      <c r="H15" s="7">
        <v>100</v>
      </c>
      <c r="I15" s="8">
        <f t="shared" si="1"/>
        <v>55000</v>
      </c>
      <c r="J15" s="8">
        <f t="shared" si="2"/>
        <v>3000</v>
      </c>
      <c r="K15" s="9">
        <v>167</v>
      </c>
      <c r="L15" s="10">
        <f t="shared" si="3"/>
        <v>91850</v>
      </c>
      <c r="M15" s="10">
        <f t="shared" si="4"/>
        <v>5010</v>
      </c>
    </row>
    <row r="16" spans="1:13" ht="42.75" customHeight="1" thickBot="1" x14ac:dyDescent="0.65">
      <c r="A16" s="28" t="s">
        <v>18</v>
      </c>
      <c r="B16" s="28"/>
      <c r="C16" s="28"/>
      <c r="D16" s="28"/>
      <c r="E16" s="19">
        <f t="shared" ref="E16:K16" si="6">SUM(E4:E15)</f>
        <v>683.68</v>
      </c>
      <c r="F16" s="20">
        <f>SUM(F4:F15)</f>
        <v>366621.76</v>
      </c>
      <c r="G16" s="20">
        <f>SUM(G4:G15)</f>
        <v>103911.16</v>
      </c>
      <c r="H16" s="22">
        <f t="shared" si="6"/>
        <v>1000</v>
      </c>
      <c r="I16" s="23">
        <f t="shared" si="6"/>
        <v>491160</v>
      </c>
      <c r="J16" s="23">
        <f t="shared" si="6"/>
        <v>43870</v>
      </c>
      <c r="K16" s="19">
        <f t="shared" si="6"/>
        <v>983.7299999999999</v>
      </c>
      <c r="L16" s="20">
        <f>SUM(L4:L15)</f>
        <v>436402.57</v>
      </c>
      <c r="M16" s="20">
        <f>SUM(M4:M15)</f>
        <v>34863.72</v>
      </c>
    </row>
    <row r="17" spans="1:7" ht="42.75" customHeight="1" thickTop="1" x14ac:dyDescent="0.25">
      <c r="A17" s="65" t="s">
        <v>44</v>
      </c>
      <c r="B17" s="65"/>
      <c r="C17" s="65"/>
      <c r="D17" s="65"/>
      <c r="E17" s="65"/>
      <c r="F17" s="67">
        <f>G16-M16</f>
        <v>69047.44</v>
      </c>
      <c r="G17" s="65"/>
    </row>
    <row r="18" spans="1:7" ht="42.75" customHeight="1" thickBot="1" x14ac:dyDescent="0.3">
      <c r="A18" s="66"/>
      <c r="B18" s="66"/>
      <c r="C18" s="66"/>
      <c r="D18" s="66"/>
      <c r="E18" s="66"/>
      <c r="F18" s="66"/>
      <c r="G18" s="66"/>
    </row>
    <row r="19" spans="1:7" ht="42.75" customHeight="1" thickTop="1" x14ac:dyDescent="0.25"/>
  </sheetData>
  <mergeCells count="11">
    <mergeCell ref="A17:E18"/>
    <mergeCell ref="F17:G18"/>
    <mergeCell ref="K2:M2"/>
    <mergeCell ref="A16:D16"/>
    <mergeCell ref="A1:C1"/>
    <mergeCell ref="A2:A3"/>
    <mergeCell ref="B2:B3"/>
    <mergeCell ref="C2:C3"/>
    <mergeCell ref="D2:D3"/>
    <mergeCell ref="E2:G2"/>
    <mergeCell ref="H2:J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B3F4-043D-4616-BA28-132691CB4608}">
  <dimension ref="A1:P28"/>
  <sheetViews>
    <sheetView zoomScale="60" zoomScaleNormal="60" workbookViewId="0">
      <pane xSplit="1" topLeftCell="B1" activePane="topRight" state="frozen"/>
      <selection pane="topRight" activeCell="A26" sqref="A26:G27"/>
    </sheetView>
  </sheetViews>
  <sheetFormatPr defaultColWidth="23.625" defaultRowHeight="42.75" customHeight="1" x14ac:dyDescent="0.25"/>
  <cols>
    <col min="1" max="1" width="44.375" style="11" customWidth="1"/>
    <col min="2" max="4" width="16" style="11" customWidth="1"/>
    <col min="5" max="6" width="17.75" style="11" customWidth="1"/>
    <col min="7" max="7" width="15.25" style="11" customWidth="1"/>
    <col min="8" max="8" width="22.125" style="11" customWidth="1"/>
    <col min="9" max="11" width="16" style="11" customWidth="1"/>
    <col min="12" max="12" width="21.125" style="11" customWidth="1"/>
    <col min="13" max="13" width="14.875" style="11" customWidth="1"/>
    <col min="14" max="14" width="15.75" style="11" customWidth="1"/>
    <col min="15" max="15" width="14.875" style="11" customWidth="1"/>
    <col min="16" max="16" width="18.625" style="11" customWidth="1"/>
    <col min="17" max="16384" width="23.625" style="11"/>
  </cols>
  <sheetData>
    <row r="1" spans="1:16" ht="42.75" customHeight="1" x14ac:dyDescent="0.25">
      <c r="A1" s="34" t="s">
        <v>28</v>
      </c>
      <c r="B1" s="34"/>
      <c r="C1" s="34"/>
    </row>
    <row r="2" spans="1:16" ht="42.75" customHeight="1" x14ac:dyDescent="0.25">
      <c r="A2" s="35" t="s">
        <v>0</v>
      </c>
      <c r="B2" s="43" t="s">
        <v>1</v>
      </c>
      <c r="C2" s="45" t="s">
        <v>2</v>
      </c>
      <c r="D2" s="37" t="s">
        <v>11</v>
      </c>
      <c r="E2" s="25" t="s">
        <v>12</v>
      </c>
      <c r="F2" s="26"/>
      <c r="G2" s="26"/>
      <c r="H2" s="27"/>
      <c r="I2" s="47" t="s">
        <v>14</v>
      </c>
      <c r="J2" s="48"/>
      <c r="K2" s="48"/>
      <c r="L2" s="49"/>
      <c r="M2" s="50" t="s">
        <v>15</v>
      </c>
      <c r="N2" s="51"/>
      <c r="O2" s="51"/>
      <c r="P2" s="51"/>
    </row>
    <row r="3" spans="1:16" ht="42.75" customHeight="1" x14ac:dyDescent="0.25">
      <c r="A3" s="36"/>
      <c r="B3" s="44"/>
      <c r="C3" s="46"/>
      <c r="D3" s="38"/>
      <c r="E3" s="12" t="s">
        <v>16</v>
      </c>
      <c r="F3" s="13" t="s">
        <v>13</v>
      </c>
      <c r="G3" s="14" t="s">
        <v>17</v>
      </c>
      <c r="H3" s="14" t="s">
        <v>37</v>
      </c>
      <c r="I3" s="15" t="s">
        <v>16</v>
      </c>
      <c r="J3" s="16" t="s">
        <v>13</v>
      </c>
      <c r="K3" s="21" t="s">
        <v>17</v>
      </c>
      <c r="L3" s="21" t="s">
        <v>37</v>
      </c>
      <c r="M3" s="17" t="s">
        <v>16</v>
      </c>
      <c r="N3" s="18" t="s">
        <v>13</v>
      </c>
      <c r="O3" s="18" t="s">
        <v>17</v>
      </c>
      <c r="P3" s="18" t="s">
        <v>37</v>
      </c>
    </row>
    <row r="4" spans="1:16" ht="27" customHeight="1" x14ac:dyDescent="0.25">
      <c r="A4" s="1" t="s">
        <v>19</v>
      </c>
      <c r="B4" s="3">
        <v>420</v>
      </c>
      <c r="C4" s="4">
        <v>350</v>
      </c>
      <c r="D4" s="2">
        <v>270</v>
      </c>
      <c r="E4" s="5">
        <v>42</v>
      </c>
      <c r="F4" s="6">
        <f>E4*B4</f>
        <v>17640</v>
      </c>
      <c r="G4" s="6">
        <f>F4-E4*D4</f>
        <v>6300</v>
      </c>
      <c r="H4" s="58">
        <v>4175696</v>
      </c>
      <c r="I4" s="7">
        <v>60</v>
      </c>
      <c r="J4" s="8">
        <f t="shared" ref="J4:J15" si="0">I4*C4</f>
        <v>21000</v>
      </c>
      <c r="K4" s="8">
        <f>J4-I4*D4</f>
        <v>4800</v>
      </c>
      <c r="L4" s="55">
        <v>4190000</v>
      </c>
      <c r="M4" s="9">
        <v>62</v>
      </c>
      <c r="N4" s="10">
        <f t="shared" ref="N4:N15" si="1">M4*C4</f>
        <v>21700</v>
      </c>
      <c r="O4" s="10">
        <f t="shared" ref="O4:O24" si="2">N4-D4*M4</f>
        <v>4960</v>
      </c>
      <c r="P4" s="52">
        <v>4169505</v>
      </c>
    </row>
    <row r="5" spans="1:16" ht="27" customHeight="1" x14ac:dyDescent="0.25">
      <c r="A5" s="1" t="s">
        <v>27</v>
      </c>
      <c r="B5" s="3">
        <v>300</v>
      </c>
      <c r="C5" s="4">
        <v>250</v>
      </c>
      <c r="D5" s="2">
        <v>225</v>
      </c>
      <c r="E5" s="5">
        <v>156</v>
      </c>
      <c r="F5" s="6">
        <f>E5*B5</f>
        <v>46800</v>
      </c>
      <c r="G5" s="6">
        <f t="shared" ref="G5:G24" si="3">F5-E5*D5</f>
        <v>11700</v>
      </c>
      <c r="H5" s="59"/>
      <c r="I5" s="7">
        <v>200</v>
      </c>
      <c r="J5" s="8">
        <f>I5*C5</f>
        <v>50000</v>
      </c>
      <c r="K5" s="8">
        <f t="shared" ref="K5:K24" si="4">J5-I5*D5</f>
        <v>5000</v>
      </c>
      <c r="L5" s="56"/>
      <c r="M5" s="9">
        <v>193</v>
      </c>
      <c r="N5" s="10">
        <f t="shared" si="1"/>
        <v>48250</v>
      </c>
      <c r="O5" s="10">
        <f t="shared" si="2"/>
        <v>4825</v>
      </c>
      <c r="P5" s="53"/>
    </row>
    <row r="6" spans="1:16" ht="27" customHeight="1" x14ac:dyDescent="0.25">
      <c r="A6" s="1" t="s">
        <v>8</v>
      </c>
      <c r="B6" s="3">
        <v>250</v>
      </c>
      <c r="C6" s="4">
        <v>119</v>
      </c>
      <c r="D6" s="2">
        <v>100</v>
      </c>
      <c r="E6" s="5">
        <v>28</v>
      </c>
      <c r="F6" s="6">
        <f t="shared" ref="F6:F15" si="5">E6*B6</f>
        <v>7000</v>
      </c>
      <c r="G6" s="6">
        <f t="shared" si="3"/>
        <v>4200</v>
      </c>
      <c r="H6" s="59"/>
      <c r="I6" s="7">
        <v>60</v>
      </c>
      <c r="J6" s="8">
        <f t="shared" si="0"/>
        <v>7140</v>
      </c>
      <c r="K6" s="8">
        <f t="shared" si="4"/>
        <v>1140</v>
      </c>
      <c r="L6" s="56"/>
      <c r="M6" s="9">
        <f>5*6+54</f>
        <v>84</v>
      </c>
      <c r="N6" s="10">
        <f t="shared" si="1"/>
        <v>9996</v>
      </c>
      <c r="O6" s="10">
        <f t="shared" si="2"/>
        <v>1596</v>
      </c>
      <c r="P6" s="53"/>
    </row>
    <row r="7" spans="1:16" ht="27" customHeight="1" x14ac:dyDescent="0.25">
      <c r="A7" s="1" t="s">
        <v>9</v>
      </c>
      <c r="B7" s="3">
        <v>330</v>
      </c>
      <c r="C7" s="4">
        <v>199</v>
      </c>
      <c r="D7" s="2">
        <v>180</v>
      </c>
      <c r="E7" s="5">
        <v>28</v>
      </c>
      <c r="F7" s="6">
        <f t="shared" si="5"/>
        <v>9240</v>
      </c>
      <c r="G7" s="6">
        <f t="shared" si="3"/>
        <v>4200</v>
      </c>
      <c r="H7" s="59"/>
      <c r="I7" s="7">
        <v>90</v>
      </c>
      <c r="J7" s="8">
        <f t="shared" si="0"/>
        <v>17910</v>
      </c>
      <c r="K7" s="8">
        <f t="shared" si="4"/>
        <v>1710</v>
      </c>
      <c r="L7" s="56"/>
      <c r="M7" s="9">
        <f>4*6+69</f>
        <v>93</v>
      </c>
      <c r="N7" s="10">
        <f t="shared" si="1"/>
        <v>18507</v>
      </c>
      <c r="O7" s="10">
        <f t="shared" si="2"/>
        <v>1767</v>
      </c>
      <c r="P7" s="53"/>
    </row>
    <row r="8" spans="1:16" ht="27" customHeight="1" x14ac:dyDescent="0.25">
      <c r="A8" s="1" t="s">
        <v>10</v>
      </c>
      <c r="B8" s="3">
        <v>315</v>
      </c>
      <c r="C8" s="4">
        <v>199</v>
      </c>
      <c r="D8" s="2">
        <v>180</v>
      </c>
      <c r="E8" s="5">
        <v>40</v>
      </c>
      <c r="F8" s="6">
        <f t="shared" si="5"/>
        <v>12600</v>
      </c>
      <c r="G8" s="6">
        <f t="shared" si="3"/>
        <v>5400</v>
      </c>
      <c r="H8" s="59"/>
      <c r="I8" s="7">
        <v>150</v>
      </c>
      <c r="J8" s="8">
        <f t="shared" si="0"/>
        <v>29850</v>
      </c>
      <c r="K8" s="8">
        <f t="shared" si="4"/>
        <v>2850</v>
      </c>
      <c r="L8" s="56"/>
      <c r="M8" s="9">
        <f>12*6+102</f>
        <v>174</v>
      </c>
      <c r="N8" s="10">
        <f t="shared" si="1"/>
        <v>34626</v>
      </c>
      <c r="O8" s="10">
        <f t="shared" si="2"/>
        <v>3306</v>
      </c>
      <c r="P8" s="53"/>
    </row>
    <row r="9" spans="1:16" ht="27" customHeight="1" x14ac:dyDescent="0.25">
      <c r="A9" s="1" t="s">
        <v>24</v>
      </c>
      <c r="B9" s="3">
        <v>1700</v>
      </c>
      <c r="C9" s="4">
        <v>1550</v>
      </c>
      <c r="D9" s="2">
        <v>1470</v>
      </c>
      <c r="E9" s="5">
        <v>1</v>
      </c>
      <c r="F9" s="6">
        <f t="shared" si="5"/>
        <v>1700</v>
      </c>
      <c r="G9" s="6">
        <f t="shared" si="3"/>
        <v>230</v>
      </c>
      <c r="H9" s="59"/>
      <c r="I9" s="7">
        <v>20</v>
      </c>
      <c r="J9" s="8">
        <f t="shared" si="0"/>
        <v>31000</v>
      </c>
      <c r="K9" s="8">
        <f t="shared" si="4"/>
        <v>1600</v>
      </c>
      <c r="L9" s="56"/>
      <c r="M9" s="9">
        <v>13</v>
      </c>
      <c r="N9" s="10">
        <f t="shared" si="1"/>
        <v>20150</v>
      </c>
      <c r="O9" s="10">
        <f t="shared" si="2"/>
        <v>1040</v>
      </c>
      <c r="P9" s="53"/>
    </row>
    <row r="10" spans="1:16" ht="27" customHeight="1" x14ac:dyDescent="0.25">
      <c r="A10" s="1" t="s">
        <v>20</v>
      </c>
      <c r="B10" s="3">
        <v>2400</v>
      </c>
      <c r="C10" s="4">
        <v>1998</v>
      </c>
      <c r="D10" s="2">
        <v>1853</v>
      </c>
      <c r="E10" s="5">
        <v>21</v>
      </c>
      <c r="F10" s="6">
        <f t="shared" si="5"/>
        <v>50400</v>
      </c>
      <c r="G10" s="6">
        <f t="shared" si="3"/>
        <v>11487</v>
      </c>
      <c r="H10" s="59"/>
      <c r="I10" s="7">
        <v>20</v>
      </c>
      <c r="J10" s="8">
        <f t="shared" si="0"/>
        <v>39960</v>
      </c>
      <c r="K10" s="8">
        <f t="shared" si="4"/>
        <v>2900</v>
      </c>
      <c r="L10" s="56"/>
      <c r="M10" s="9">
        <v>23</v>
      </c>
      <c r="N10" s="10">
        <f t="shared" si="1"/>
        <v>45954</v>
      </c>
      <c r="O10" s="10">
        <f t="shared" si="2"/>
        <v>3335</v>
      </c>
      <c r="P10" s="53"/>
    </row>
    <row r="11" spans="1:16" ht="27" customHeight="1" x14ac:dyDescent="0.25">
      <c r="A11" s="1" t="s">
        <v>21</v>
      </c>
      <c r="B11" s="3">
        <v>2300</v>
      </c>
      <c r="C11" s="4">
        <v>1998</v>
      </c>
      <c r="D11" s="2">
        <v>1650</v>
      </c>
      <c r="E11" s="5">
        <v>6</v>
      </c>
      <c r="F11" s="6">
        <f t="shared" si="5"/>
        <v>13800</v>
      </c>
      <c r="G11" s="6">
        <f t="shared" si="3"/>
        <v>3900</v>
      </c>
      <c r="H11" s="59"/>
      <c r="I11" s="7">
        <v>15</v>
      </c>
      <c r="J11" s="8">
        <f t="shared" si="0"/>
        <v>29970</v>
      </c>
      <c r="K11" s="8">
        <f t="shared" si="4"/>
        <v>5220</v>
      </c>
      <c r="L11" s="56"/>
      <c r="M11" s="9">
        <v>7</v>
      </c>
      <c r="N11" s="10">
        <f t="shared" si="1"/>
        <v>13986</v>
      </c>
      <c r="O11" s="10">
        <f t="shared" si="2"/>
        <v>2436</v>
      </c>
      <c r="P11" s="53"/>
    </row>
    <row r="12" spans="1:16" ht="27" customHeight="1" x14ac:dyDescent="0.25">
      <c r="A12" s="1" t="s">
        <v>4</v>
      </c>
      <c r="B12" s="3">
        <v>1470</v>
      </c>
      <c r="C12" s="4">
        <v>1199</v>
      </c>
      <c r="D12" s="2">
        <v>1080</v>
      </c>
      <c r="E12" s="5">
        <v>49</v>
      </c>
      <c r="F12" s="6">
        <f t="shared" si="5"/>
        <v>72030</v>
      </c>
      <c r="G12" s="6">
        <f t="shared" si="3"/>
        <v>19110</v>
      </c>
      <c r="H12" s="59"/>
      <c r="I12" s="7">
        <v>90</v>
      </c>
      <c r="J12" s="8">
        <f t="shared" si="0"/>
        <v>107910</v>
      </c>
      <c r="K12" s="8">
        <f t="shared" si="4"/>
        <v>10710</v>
      </c>
      <c r="L12" s="56"/>
      <c r="M12" s="9">
        <v>81</v>
      </c>
      <c r="N12" s="10">
        <f t="shared" si="1"/>
        <v>97119</v>
      </c>
      <c r="O12" s="10">
        <f t="shared" si="2"/>
        <v>9639</v>
      </c>
      <c r="P12" s="53"/>
    </row>
    <row r="13" spans="1:16" ht="27" customHeight="1" x14ac:dyDescent="0.25">
      <c r="A13" s="1" t="s">
        <v>5</v>
      </c>
      <c r="B13" s="3">
        <v>394</v>
      </c>
      <c r="C13" s="4">
        <v>299</v>
      </c>
      <c r="D13" s="2">
        <v>285</v>
      </c>
      <c r="E13" s="5">
        <f>96+24</f>
        <v>120</v>
      </c>
      <c r="F13" s="6">
        <f t="shared" si="5"/>
        <v>47280</v>
      </c>
      <c r="G13" s="6">
        <f t="shared" si="3"/>
        <v>13080</v>
      </c>
      <c r="H13" s="59"/>
      <c r="I13" s="7">
        <v>200</v>
      </c>
      <c r="J13" s="8">
        <f t="shared" si="0"/>
        <v>59800</v>
      </c>
      <c r="K13" s="8">
        <f t="shared" si="4"/>
        <v>2800</v>
      </c>
      <c r="L13" s="56"/>
      <c r="M13" s="9">
        <f>122+88</f>
        <v>210</v>
      </c>
      <c r="N13" s="10">
        <f t="shared" si="1"/>
        <v>62790</v>
      </c>
      <c r="O13" s="10">
        <f t="shared" si="2"/>
        <v>2940</v>
      </c>
      <c r="P13" s="53"/>
    </row>
    <row r="14" spans="1:16" ht="27" customHeight="1" x14ac:dyDescent="0.25">
      <c r="A14" s="1" t="s">
        <v>26</v>
      </c>
      <c r="B14" s="3">
        <v>432</v>
      </c>
      <c r="C14" s="4">
        <v>299</v>
      </c>
      <c r="D14" s="2">
        <v>245</v>
      </c>
      <c r="E14" s="5">
        <v>47.23</v>
      </c>
      <c r="F14" s="6">
        <f t="shared" si="5"/>
        <v>20403.359999999997</v>
      </c>
      <c r="G14" s="6">
        <f t="shared" si="3"/>
        <v>8832.0099999999984</v>
      </c>
      <c r="H14" s="59"/>
      <c r="I14" s="7">
        <v>50</v>
      </c>
      <c r="J14" s="8">
        <f t="shared" si="0"/>
        <v>14950</v>
      </c>
      <c r="K14" s="8">
        <f t="shared" si="4"/>
        <v>2700</v>
      </c>
      <c r="L14" s="56"/>
      <c r="M14" s="9">
        <v>73.86</v>
      </c>
      <c r="N14" s="10">
        <f t="shared" si="1"/>
        <v>22084.14</v>
      </c>
      <c r="O14" s="10">
        <f t="shared" si="2"/>
        <v>3988.4399999999987</v>
      </c>
      <c r="P14" s="53"/>
    </row>
    <row r="15" spans="1:16" ht="27" customHeight="1" x14ac:dyDescent="0.25">
      <c r="A15" s="1" t="s">
        <v>25</v>
      </c>
      <c r="B15" s="3">
        <v>750</v>
      </c>
      <c r="C15" s="4">
        <v>550</v>
      </c>
      <c r="D15" s="2">
        <v>520</v>
      </c>
      <c r="E15" s="5">
        <v>100</v>
      </c>
      <c r="F15" s="6">
        <f t="shared" si="5"/>
        <v>75000</v>
      </c>
      <c r="G15" s="6">
        <f t="shared" si="3"/>
        <v>23000</v>
      </c>
      <c r="H15" s="59"/>
      <c r="I15" s="7">
        <v>170</v>
      </c>
      <c r="J15" s="8">
        <f t="shared" si="0"/>
        <v>93500</v>
      </c>
      <c r="K15" s="8">
        <f t="shared" si="4"/>
        <v>5100</v>
      </c>
      <c r="L15" s="56"/>
      <c r="M15" s="9">
        <v>198</v>
      </c>
      <c r="N15" s="10">
        <f t="shared" si="1"/>
        <v>108900</v>
      </c>
      <c r="O15" s="10">
        <f t="shared" si="2"/>
        <v>5940</v>
      </c>
      <c r="P15" s="53"/>
    </row>
    <row r="16" spans="1:16" ht="27" customHeight="1" x14ac:dyDescent="0.25">
      <c r="A16" s="1" t="s">
        <v>7</v>
      </c>
      <c r="B16" s="3">
        <v>984</v>
      </c>
      <c r="C16" s="4">
        <v>799</v>
      </c>
      <c r="D16" s="2">
        <v>635</v>
      </c>
      <c r="E16" s="5">
        <v>17.61</v>
      </c>
      <c r="F16" s="6">
        <f t="shared" ref="F16" si="6">E16*B16</f>
        <v>17328.239999999998</v>
      </c>
      <c r="G16" s="6">
        <f t="shared" si="3"/>
        <v>6145.8899999999976</v>
      </c>
      <c r="H16" s="59"/>
      <c r="I16" s="7">
        <v>40</v>
      </c>
      <c r="J16" s="8">
        <f t="shared" ref="J16" si="7">I16*C16</f>
        <v>31960</v>
      </c>
      <c r="K16" s="8">
        <f t="shared" si="4"/>
        <v>6560</v>
      </c>
      <c r="L16" s="56"/>
      <c r="M16" s="9">
        <v>32.979999999999997</v>
      </c>
      <c r="N16" s="10">
        <f t="shared" ref="N16" si="8">M16*C16</f>
        <v>26351.019999999997</v>
      </c>
      <c r="O16" s="10">
        <f t="shared" si="2"/>
        <v>5408.7199999999975</v>
      </c>
      <c r="P16" s="53"/>
    </row>
    <row r="17" spans="1:16" ht="27" customHeight="1" x14ac:dyDescent="0.25">
      <c r="A17" s="1" t="s">
        <v>29</v>
      </c>
      <c r="B17" s="3">
        <v>1200</v>
      </c>
      <c r="C17" s="4">
        <v>1090</v>
      </c>
      <c r="D17" s="2">
        <v>925</v>
      </c>
      <c r="E17" s="5">
        <v>175.5</v>
      </c>
      <c r="F17" s="6">
        <f t="shared" ref="F17:F19" si="9">E17*B17</f>
        <v>210600</v>
      </c>
      <c r="G17" s="6">
        <f t="shared" si="3"/>
        <v>48262.5</v>
      </c>
      <c r="H17" s="59"/>
      <c r="I17" s="7">
        <v>200</v>
      </c>
      <c r="J17" s="8">
        <f t="shared" ref="J17:J19" si="10">I17*C17</f>
        <v>218000</v>
      </c>
      <c r="K17" s="8">
        <f t="shared" si="4"/>
        <v>33000</v>
      </c>
      <c r="L17" s="56"/>
      <c r="M17" s="9">
        <v>153.88</v>
      </c>
      <c r="N17" s="10">
        <f t="shared" ref="N17:N19" si="11">M17*C17</f>
        <v>167729.19999999998</v>
      </c>
      <c r="O17" s="10">
        <f t="shared" si="2"/>
        <v>25390.199999999983</v>
      </c>
      <c r="P17" s="53"/>
    </row>
    <row r="18" spans="1:16" ht="27" customHeight="1" x14ac:dyDescent="0.25">
      <c r="A18" s="1" t="s">
        <v>31</v>
      </c>
      <c r="B18" s="3">
        <v>491</v>
      </c>
      <c r="C18" s="4">
        <v>450</v>
      </c>
      <c r="D18" s="2">
        <v>445</v>
      </c>
      <c r="E18" s="5">
        <v>232</v>
      </c>
      <c r="F18" s="6">
        <f t="shared" si="9"/>
        <v>113912</v>
      </c>
      <c r="G18" s="6">
        <f t="shared" si="3"/>
        <v>10672</v>
      </c>
      <c r="H18" s="59"/>
      <c r="I18" s="7">
        <v>240</v>
      </c>
      <c r="J18" s="8">
        <f t="shared" si="10"/>
        <v>108000</v>
      </c>
      <c r="K18" s="8">
        <f t="shared" si="4"/>
        <v>1200</v>
      </c>
      <c r="L18" s="56"/>
      <c r="M18" s="9">
        <v>178</v>
      </c>
      <c r="N18" s="10">
        <f t="shared" si="11"/>
        <v>80100</v>
      </c>
      <c r="O18" s="10">
        <f t="shared" si="2"/>
        <v>890</v>
      </c>
      <c r="P18" s="53"/>
    </row>
    <row r="19" spans="1:16" ht="27" customHeight="1" x14ac:dyDescent="0.25">
      <c r="A19" s="1" t="s">
        <v>30</v>
      </c>
      <c r="B19" s="3">
        <v>394</v>
      </c>
      <c r="C19" s="4">
        <v>350</v>
      </c>
      <c r="D19" s="2">
        <v>305</v>
      </c>
      <c r="E19" s="5">
        <v>198</v>
      </c>
      <c r="F19" s="6">
        <f t="shared" si="9"/>
        <v>78012</v>
      </c>
      <c r="G19" s="6">
        <f t="shared" si="3"/>
        <v>17622</v>
      </c>
      <c r="H19" s="59"/>
      <c r="I19" s="7">
        <v>200</v>
      </c>
      <c r="J19" s="8">
        <f t="shared" si="10"/>
        <v>70000</v>
      </c>
      <c r="K19" s="8">
        <f t="shared" si="4"/>
        <v>9000</v>
      </c>
      <c r="L19" s="56"/>
      <c r="M19" s="9">
        <v>190</v>
      </c>
      <c r="N19" s="10">
        <f t="shared" si="11"/>
        <v>66500</v>
      </c>
      <c r="O19" s="10">
        <f t="shared" si="2"/>
        <v>8550</v>
      </c>
      <c r="P19" s="53"/>
    </row>
    <row r="20" spans="1:16" ht="27" customHeight="1" x14ac:dyDescent="0.25">
      <c r="A20" s="1" t="s">
        <v>32</v>
      </c>
      <c r="B20" s="3">
        <v>250</v>
      </c>
      <c r="C20" s="4">
        <v>200</v>
      </c>
      <c r="D20" s="2">
        <v>175</v>
      </c>
      <c r="E20" s="5">
        <v>107</v>
      </c>
      <c r="F20" s="6">
        <f t="shared" ref="F20" si="12">E20*B20</f>
        <v>26750</v>
      </c>
      <c r="G20" s="6">
        <f t="shared" si="3"/>
        <v>8025</v>
      </c>
      <c r="H20" s="59"/>
      <c r="I20" s="7">
        <v>120</v>
      </c>
      <c r="J20" s="8">
        <f t="shared" ref="J20" si="13">I20*C20</f>
        <v>24000</v>
      </c>
      <c r="K20" s="8">
        <f t="shared" si="4"/>
        <v>3000</v>
      </c>
      <c r="L20" s="56"/>
      <c r="M20" s="9">
        <v>180</v>
      </c>
      <c r="N20" s="10">
        <f t="shared" ref="N20" si="14">M20*C20</f>
        <v>36000</v>
      </c>
      <c r="O20" s="10">
        <f t="shared" si="2"/>
        <v>4500</v>
      </c>
      <c r="P20" s="53"/>
    </row>
    <row r="21" spans="1:16" ht="27" customHeight="1" x14ac:dyDescent="0.25">
      <c r="A21" s="1" t="s">
        <v>33</v>
      </c>
      <c r="B21" s="3">
        <v>260</v>
      </c>
      <c r="C21" s="4">
        <v>200</v>
      </c>
      <c r="D21" s="2">
        <v>189</v>
      </c>
      <c r="E21" s="5">
        <v>130</v>
      </c>
      <c r="F21" s="6">
        <f t="shared" ref="F21" si="15">E21*B21</f>
        <v>33800</v>
      </c>
      <c r="G21" s="6">
        <f t="shared" si="3"/>
        <v>9230</v>
      </c>
      <c r="H21" s="59"/>
      <c r="I21" s="7">
        <v>150</v>
      </c>
      <c r="J21" s="8">
        <f t="shared" ref="J21" si="16">I21*C21</f>
        <v>30000</v>
      </c>
      <c r="K21" s="8">
        <f t="shared" si="4"/>
        <v>1650</v>
      </c>
      <c r="L21" s="56"/>
      <c r="M21" s="9">
        <v>189</v>
      </c>
      <c r="N21" s="10">
        <f t="shared" ref="N21" si="17">M21*C21</f>
        <v>37800</v>
      </c>
      <c r="O21" s="10">
        <f t="shared" si="2"/>
        <v>2079</v>
      </c>
      <c r="P21" s="53"/>
    </row>
    <row r="22" spans="1:16" ht="27" customHeight="1" x14ac:dyDescent="0.25">
      <c r="A22" s="1" t="s">
        <v>34</v>
      </c>
      <c r="B22" s="3">
        <v>1250</v>
      </c>
      <c r="C22" s="4">
        <v>1100</v>
      </c>
      <c r="D22" s="2">
        <v>950</v>
      </c>
      <c r="E22" s="5">
        <v>19</v>
      </c>
      <c r="F22" s="6">
        <f t="shared" ref="F22" si="18">E22*B22</f>
        <v>23750</v>
      </c>
      <c r="G22" s="6">
        <f t="shared" si="3"/>
        <v>5700</v>
      </c>
      <c r="H22" s="59"/>
      <c r="I22" s="7">
        <v>30</v>
      </c>
      <c r="J22" s="8">
        <f t="shared" ref="J22" si="19">I22*C22</f>
        <v>33000</v>
      </c>
      <c r="K22" s="8">
        <f t="shared" si="4"/>
        <v>4500</v>
      </c>
      <c r="L22" s="56"/>
      <c r="M22" s="9">
        <v>21</v>
      </c>
      <c r="N22" s="10">
        <f t="shared" ref="N22" si="20">M22*C22</f>
        <v>23100</v>
      </c>
      <c r="O22" s="10">
        <f t="shared" si="2"/>
        <v>3150</v>
      </c>
      <c r="P22" s="53"/>
    </row>
    <row r="23" spans="1:16" ht="27" customHeight="1" x14ac:dyDescent="0.25">
      <c r="A23" s="1" t="s">
        <v>35</v>
      </c>
      <c r="B23" s="3">
        <v>180</v>
      </c>
      <c r="C23" s="4">
        <v>150</v>
      </c>
      <c r="D23" s="2">
        <v>135</v>
      </c>
      <c r="E23" s="5">
        <v>310</v>
      </c>
      <c r="F23" s="6">
        <f t="shared" ref="F23" si="21">E23*B23</f>
        <v>55800</v>
      </c>
      <c r="G23" s="6">
        <f t="shared" si="3"/>
        <v>13950</v>
      </c>
      <c r="H23" s="59"/>
      <c r="I23" s="7">
        <v>400</v>
      </c>
      <c r="J23" s="8">
        <f t="shared" ref="J23" si="22">I23*C23</f>
        <v>60000</v>
      </c>
      <c r="K23" s="8">
        <f t="shared" si="4"/>
        <v>6000</v>
      </c>
      <c r="L23" s="56"/>
      <c r="M23" s="9">
        <v>534</v>
      </c>
      <c r="N23" s="10">
        <f t="shared" ref="N23" si="23">M23*C23</f>
        <v>80100</v>
      </c>
      <c r="O23" s="10">
        <f t="shared" si="2"/>
        <v>8010</v>
      </c>
      <c r="P23" s="53"/>
    </row>
    <row r="24" spans="1:16" ht="27" customHeight="1" x14ac:dyDescent="0.25">
      <c r="A24" s="1" t="s">
        <v>36</v>
      </c>
      <c r="B24" s="3">
        <v>5000</v>
      </c>
      <c r="C24" s="4">
        <v>4500</v>
      </c>
      <c r="D24" s="2">
        <v>4050</v>
      </c>
      <c r="E24" s="5">
        <v>0</v>
      </c>
      <c r="F24" s="6">
        <f t="shared" ref="F24" si="24">E24*B24</f>
        <v>0</v>
      </c>
      <c r="G24" s="6">
        <f t="shared" si="3"/>
        <v>0</v>
      </c>
      <c r="H24" s="59"/>
      <c r="I24" s="7">
        <v>5</v>
      </c>
      <c r="J24" s="8">
        <f t="shared" ref="J24" si="25">I24*C24</f>
        <v>22500</v>
      </c>
      <c r="K24" s="8">
        <f t="shared" si="4"/>
        <v>2250</v>
      </c>
      <c r="L24" s="56"/>
      <c r="M24" s="9">
        <v>6</v>
      </c>
      <c r="N24" s="10">
        <f t="shared" ref="N24" si="26">M24*C24</f>
        <v>27000</v>
      </c>
      <c r="O24" s="10">
        <f t="shared" si="2"/>
        <v>2700</v>
      </c>
      <c r="P24" s="53"/>
    </row>
    <row r="25" spans="1:16" ht="42.75" customHeight="1" thickBot="1" x14ac:dyDescent="0.65">
      <c r="A25" s="28" t="s">
        <v>18</v>
      </c>
      <c r="B25" s="28"/>
      <c r="C25" s="28"/>
      <c r="D25" s="24"/>
      <c r="E25" s="19">
        <f>SUM(E4:E24)</f>
        <v>1827.3400000000001</v>
      </c>
      <c r="F25" s="20">
        <f>SUM(F4:F24)</f>
        <v>933845.6</v>
      </c>
      <c r="G25" s="20">
        <f>SUM(G4:G24)</f>
        <v>231046.39999999999</v>
      </c>
      <c r="H25" s="60"/>
      <c r="I25" s="22">
        <f>SUM(I4:I24)</f>
        <v>2510</v>
      </c>
      <c r="J25" s="23">
        <f>SUM(J4:J24)</f>
        <v>1100450</v>
      </c>
      <c r="K25" s="23">
        <f>SUM(K4:K24)</f>
        <v>113690</v>
      </c>
      <c r="L25" s="57"/>
      <c r="M25" s="19">
        <f>SUM(M4:M24)</f>
        <v>2696.7200000000003</v>
      </c>
      <c r="N25" s="20">
        <f>SUM(N4:N24)</f>
        <v>1048742.3599999999</v>
      </c>
      <c r="O25" s="20">
        <f>SUM(O4:O24)</f>
        <v>106450.35999999999</v>
      </c>
      <c r="P25" s="54"/>
    </row>
    <row r="26" spans="1:16" ht="42.75" customHeight="1" thickTop="1" x14ac:dyDescent="0.25">
      <c r="A26" s="65" t="s">
        <v>44</v>
      </c>
      <c r="B26" s="65"/>
      <c r="C26" s="65"/>
      <c r="D26" s="65"/>
      <c r="E26" s="65"/>
      <c r="F26" s="67">
        <f>G25-O25</f>
        <v>124596.04000000001</v>
      </c>
      <c r="G26" s="65"/>
    </row>
    <row r="27" spans="1:16" ht="42.75" customHeight="1" thickBot="1" x14ac:dyDescent="0.3">
      <c r="A27" s="66"/>
      <c r="B27" s="66"/>
      <c r="C27" s="66"/>
      <c r="D27" s="66"/>
      <c r="E27" s="66"/>
      <c r="F27" s="66"/>
      <c r="G27" s="66"/>
    </row>
    <row r="28" spans="1:16" ht="42.75" customHeight="1" thickTop="1" x14ac:dyDescent="0.25"/>
  </sheetData>
  <mergeCells count="14">
    <mergeCell ref="A26:E27"/>
    <mergeCell ref="F26:G27"/>
    <mergeCell ref="A1:C1"/>
    <mergeCell ref="E2:H2"/>
    <mergeCell ref="I2:L2"/>
    <mergeCell ref="M2:P2"/>
    <mergeCell ref="A25:C25"/>
    <mergeCell ref="A2:A3"/>
    <mergeCell ref="B2:B3"/>
    <mergeCell ref="C2:C3"/>
    <mergeCell ref="D2:D3"/>
    <mergeCell ref="P4:P25"/>
    <mergeCell ref="L4:L25"/>
    <mergeCell ref="H4:H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5539D-91EB-4D97-8906-8B4885D616C6}">
  <dimension ref="A1:P33"/>
  <sheetViews>
    <sheetView tabSelected="1" zoomScale="60" zoomScaleNormal="60" workbookViewId="0">
      <pane xSplit="1" topLeftCell="B1" activePane="topRight" state="frozen"/>
      <selection pane="topRight" activeCell="D21" sqref="D21"/>
    </sheetView>
  </sheetViews>
  <sheetFormatPr defaultColWidth="23.625" defaultRowHeight="42.75" customHeight="1" x14ac:dyDescent="0.25"/>
  <cols>
    <col min="1" max="1" width="44.375" style="11" customWidth="1"/>
    <col min="2" max="4" width="16" style="11" customWidth="1"/>
    <col min="5" max="6" width="17.75" style="11" customWidth="1"/>
    <col min="7" max="7" width="15.25" style="11" customWidth="1"/>
    <col min="8" max="8" width="22.125" style="11" customWidth="1"/>
    <col min="9" max="11" width="16" style="11" customWidth="1"/>
    <col min="12" max="12" width="21.125" style="11" customWidth="1"/>
    <col min="13" max="13" width="14.875" style="11" customWidth="1"/>
    <col min="14" max="14" width="15.75" style="11" customWidth="1"/>
    <col min="15" max="15" width="14.875" style="11" customWidth="1"/>
    <col min="16" max="16" width="18.625" style="11" customWidth="1"/>
    <col min="17" max="16384" width="23.625" style="11"/>
  </cols>
  <sheetData>
    <row r="1" spans="1:16" ht="42.75" customHeight="1" x14ac:dyDescent="0.25">
      <c r="A1" s="61" t="s">
        <v>42</v>
      </c>
      <c r="B1" s="61"/>
      <c r="C1" s="61"/>
      <c r="D1" s="61"/>
      <c r="E1" s="61"/>
      <c r="F1" s="61"/>
      <c r="G1" s="61"/>
    </row>
    <row r="2" spans="1:16" ht="42.75" customHeight="1" x14ac:dyDescent="0.25">
      <c r="A2" s="35" t="s">
        <v>0</v>
      </c>
      <c r="B2" s="43" t="s">
        <v>1</v>
      </c>
      <c r="C2" s="45" t="s">
        <v>2</v>
      </c>
      <c r="D2" s="37" t="s">
        <v>11</v>
      </c>
      <c r="E2" s="25" t="s">
        <v>12</v>
      </c>
      <c r="F2" s="26"/>
      <c r="G2" s="26"/>
      <c r="H2" s="27"/>
      <c r="I2" s="47" t="s">
        <v>14</v>
      </c>
      <c r="J2" s="48"/>
      <c r="K2" s="48"/>
      <c r="L2" s="49"/>
      <c r="M2" s="50" t="s">
        <v>15</v>
      </c>
      <c r="N2" s="51"/>
      <c r="O2" s="51"/>
      <c r="P2" s="51"/>
    </row>
    <row r="3" spans="1:16" ht="42.75" customHeight="1" x14ac:dyDescent="0.25">
      <c r="A3" s="36"/>
      <c r="B3" s="44"/>
      <c r="C3" s="46"/>
      <c r="D3" s="38"/>
      <c r="E3" s="12" t="s">
        <v>16</v>
      </c>
      <c r="F3" s="13" t="s">
        <v>13</v>
      </c>
      <c r="G3" s="14" t="s">
        <v>17</v>
      </c>
      <c r="H3" s="14" t="s">
        <v>37</v>
      </c>
      <c r="I3" s="15" t="s">
        <v>16</v>
      </c>
      <c r="J3" s="16" t="s">
        <v>13</v>
      </c>
      <c r="K3" s="21" t="s">
        <v>17</v>
      </c>
      <c r="L3" s="21" t="s">
        <v>37</v>
      </c>
      <c r="M3" s="17" t="s">
        <v>16</v>
      </c>
      <c r="N3" s="18" t="s">
        <v>13</v>
      </c>
      <c r="O3" s="18" t="s">
        <v>17</v>
      </c>
      <c r="P3" s="18" t="s">
        <v>37</v>
      </c>
    </row>
    <row r="4" spans="1:16" ht="27" customHeight="1" x14ac:dyDescent="0.25">
      <c r="A4" s="1" t="s">
        <v>19</v>
      </c>
      <c r="B4" s="3">
        <v>420</v>
      </c>
      <c r="C4" s="4">
        <v>350</v>
      </c>
      <c r="D4" s="2">
        <v>270</v>
      </c>
      <c r="E4" s="5">
        <v>33</v>
      </c>
      <c r="F4" s="6">
        <f>E4*B4</f>
        <v>13860</v>
      </c>
      <c r="G4" s="6">
        <f>F4-E4*D4</f>
        <v>4950</v>
      </c>
      <c r="H4" s="58">
        <v>3388671</v>
      </c>
      <c r="I4" s="62">
        <f>1.5*E4</f>
        <v>49.5</v>
      </c>
      <c r="J4" s="8">
        <f t="shared" ref="J4:J29" si="0">I4*C4</f>
        <v>17325</v>
      </c>
      <c r="K4" s="8">
        <f>J4-I4*D4</f>
        <v>3960</v>
      </c>
      <c r="L4" s="55">
        <f>H4*1.2</f>
        <v>4066405.1999999997</v>
      </c>
      <c r="M4" s="9">
        <v>57</v>
      </c>
      <c r="N4" s="10">
        <f t="shared" ref="N4:N29" si="1">M4*C4</f>
        <v>19950</v>
      </c>
      <c r="O4" s="10">
        <f t="shared" ref="O4:O23" si="2">N4-D4*M4</f>
        <v>4560</v>
      </c>
      <c r="P4" s="52">
        <v>3976445</v>
      </c>
    </row>
    <row r="5" spans="1:16" ht="27" customHeight="1" x14ac:dyDescent="0.25">
      <c r="A5" s="1" t="s">
        <v>27</v>
      </c>
      <c r="B5" s="3">
        <v>300</v>
      </c>
      <c r="C5" s="4">
        <v>250</v>
      </c>
      <c r="D5" s="2">
        <v>225</v>
      </c>
      <c r="E5" s="5">
        <v>129</v>
      </c>
      <c r="F5" s="6">
        <f>E5*B5</f>
        <v>38700</v>
      </c>
      <c r="G5" s="6">
        <f t="shared" ref="G5:G29" si="3">F5-E5*D5</f>
        <v>9675</v>
      </c>
      <c r="H5" s="59"/>
      <c r="I5" s="62">
        <f t="shared" ref="I5:I29" si="4">1.5*E5</f>
        <v>193.5</v>
      </c>
      <c r="J5" s="8">
        <f>I5*C5</f>
        <v>48375</v>
      </c>
      <c r="K5" s="8">
        <f t="shared" ref="K5:K29" si="5">J5-I5*D5</f>
        <v>4837.5</v>
      </c>
      <c r="L5" s="56"/>
      <c r="M5" s="9">
        <v>157</v>
      </c>
      <c r="N5" s="10">
        <f t="shared" si="1"/>
        <v>39250</v>
      </c>
      <c r="O5" s="10">
        <f t="shared" si="2"/>
        <v>3925</v>
      </c>
      <c r="P5" s="53"/>
    </row>
    <row r="6" spans="1:16" ht="27" customHeight="1" x14ac:dyDescent="0.25">
      <c r="A6" s="1" t="s">
        <v>8</v>
      </c>
      <c r="B6" s="3">
        <v>250</v>
      </c>
      <c r="C6" s="4">
        <v>119</v>
      </c>
      <c r="D6" s="2">
        <v>100</v>
      </c>
      <c r="E6" s="5">
        <v>38</v>
      </c>
      <c r="F6" s="6">
        <f t="shared" ref="F6:F29" si="6">E6*B6</f>
        <v>9500</v>
      </c>
      <c r="G6" s="6">
        <f t="shared" si="3"/>
        <v>5700</v>
      </c>
      <c r="H6" s="59"/>
      <c r="I6" s="62">
        <f t="shared" si="4"/>
        <v>57</v>
      </c>
      <c r="J6" s="8">
        <f t="shared" si="0"/>
        <v>6783</v>
      </c>
      <c r="K6" s="8">
        <f t="shared" si="5"/>
        <v>1083</v>
      </c>
      <c r="L6" s="56"/>
      <c r="M6" s="9">
        <f>8*6+40</f>
        <v>88</v>
      </c>
      <c r="N6" s="10">
        <f t="shared" si="1"/>
        <v>10472</v>
      </c>
      <c r="O6" s="10">
        <f t="shared" si="2"/>
        <v>1672</v>
      </c>
      <c r="P6" s="53"/>
    </row>
    <row r="7" spans="1:16" ht="27" customHeight="1" x14ac:dyDescent="0.25">
      <c r="A7" s="1" t="s">
        <v>9</v>
      </c>
      <c r="B7" s="3">
        <v>330</v>
      </c>
      <c r="C7" s="4">
        <v>199</v>
      </c>
      <c r="D7" s="2">
        <v>180</v>
      </c>
      <c r="E7" s="5">
        <v>57</v>
      </c>
      <c r="F7" s="6">
        <f t="shared" si="6"/>
        <v>18810</v>
      </c>
      <c r="G7" s="6">
        <f t="shared" si="3"/>
        <v>8550</v>
      </c>
      <c r="H7" s="59"/>
      <c r="I7" s="62">
        <f t="shared" si="4"/>
        <v>85.5</v>
      </c>
      <c r="J7" s="8">
        <f t="shared" si="0"/>
        <v>17014.5</v>
      </c>
      <c r="K7" s="8">
        <f t="shared" si="5"/>
        <v>1624.5</v>
      </c>
      <c r="L7" s="56"/>
      <c r="M7" s="9">
        <v>76</v>
      </c>
      <c r="N7" s="10">
        <f t="shared" si="1"/>
        <v>15124</v>
      </c>
      <c r="O7" s="10">
        <f t="shared" si="2"/>
        <v>1444</v>
      </c>
      <c r="P7" s="53"/>
    </row>
    <row r="8" spans="1:16" ht="27" customHeight="1" x14ac:dyDescent="0.25">
      <c r="A8" s="1" t="s">
        <v>10</v>
      </c>
      <c r="B8" s="3">
        <v>315</v>
      </c>
      <c r="C8" s="4">
        <v>199</v>
      </c>
      <c r="D8" s="2">
        <v>180</v>
      </c>
      <c r="E8" s="5">
        <v>78</v>
      </c>
      <c r="F8" s="6">
        <f t="shared" si="6"/>
        <v>24570</v>
      </c>
      <c r="G8" s="6">
        <f t="shared" si="3"/>
        <v>10530</v>
      </c>
      <c r="H8" s="59"/>
      <c r="I8" s="62">
        <f t="shared" si="4"/>
        <v>117</v>
      </c>
      <c r="J8" s="8">
        <f t="shared" si="0"/>
        <v>23283</v>
      </c>
      <c r="K8" s="8">
        <f t="shared" si="5"/>
        <v>2223</v>
      </c>
      <c r="L8" s="56"/>
      <c r="M8" s="9">
        <f>8*6+84</f>
        <v>132</v>
      </c>
      <c r="N8" s="10">
        <f t="shared" si="1"/>
        <v>26268</v>
      </c>
      <c r="O8" s="10">
        <f t="shared" si="2"/>
        <v>2508</v>
      </c>
      <c r="P8" s="53"/>
    </row>
    <row r="9" spans="1:16" ht="27" customHeight="1" x14ac:dyDescent="0.25">
      <c r="A9" s="1" t="s">
        <v>24</v>
      </c>
      <c r="B9" s="3">
        <v>1700</v>
      </c>
      <c r="C9" s="4">
        <v>1550</v>
      </c>
      <c r="D9" s="2">
        <v>1470</v>
      </c>
      <c r="E9" s="5">
        <v>2</v>
      </c>
      <c r="F9" s="6">
        <f t="shared" si="6"/>
        <v>3400</v>
      </c>
      <c r="G9" s="6">
        <f t="shared" si="3"/>
        <v>460</v>
      </c>
      <c r="H9" s="59"/>
      <c r="I9" s="62">
        <f t="shared" si="4"/>
        <v>3</v>
      </c>
      <c r="J9" s="8">
        <f t="shared" si="0"/>
        <v>4650</v>
      </c>
      <c r="K9" s="8">
        <f t="shared" si="5"/>
        <v>240</v>
      </c>
      <c r="L9" s="56"/>
      <c r="M9" s="9">
        <v>8</v>
      </c>
      <c r="N9" s="10">
        <f t="shared" si="1"/>
        <v>12400</v>
      </c>
      <c r="O9" s="10">
        <f t="shared" si="2"/>
        <v>640</v>
      </c>
      <c r="P9" s="53"/>
    </row>
    <row r="10" spans="1:16" ht="27" customHeight="1" x14ac:dyDescent="0.25">
      <c r="A10" s="1" t="s">
        <v>20</v>
      </c>
      <c r="B10" s="3">
        <v>2400</v>
      </c>
      <c r="C10" s="4">
        <v>1998</v>
      </c>
      <c r="D10" s="2">
        <v>1853</v>
      </c>
      <c r="E10" s="5">
        <v>21.5</v>
      </c>
      <c r="F10" s="6">
        <f t="shared" si="6"/>
        <v>51600</v>
      </c>
      <c r="G10" s="6">
        <f t="shared" si="3"/>
        <v>11760.5</v>
      </c>
      <c r="H10" s="59"/>
      <c r="I10" s="62">
        <f t="shared" si="4"/>
        <v>32.25</v>
      </c>
      <c r="J10" s="8">
        <f t="shared" si="0"/>
        <v>64435.5</v>
      </c>
      <c r="K10" s="8">
        <f t="shared" si="5"/>
        <v>4676.25</v>
      </c>
      <c r="L10" s="56"/>
      <c r="M10" s="9">
        <v>26</v>
      </c>
      <c r="N10" s="10">
        <f t="shared" si="1"/>
        <v>51948</v>
      </c>
      <c r="O10" s="10">
        <f t="shared" si="2"/>
        <v>3770</v>
      </c>
      <c r="P10" s="53"/>
    </row>
    <row r="11" spans="1:16" ht="27" customHeight="1" x14ac:dyDescent="0.25">
      <c r="A11" s="1" t="s">
        <v>21</v>
      </c>
      <c r="B11" s="3">
        <v>2300</v>
      </c>
      <c r="C11" s="4">
        <v>1998</v>
      </c>
      <c r="D11" s="2">
        <v>1650</v>
      </c>
      <c r="E11" s="5">
        <v>5</v>
      </c>
      <c r="F11" s="6">
        <f t="shared" si="6"/>
        <v>11500</v>
      </c>
      <c r="G11" s="6">
        <f t="shared" si="3"/>
        <v>3250</v>
      </c>
      <c r="H11" s="59"/>
      <c r="I11" s="62">
        <f t="shared" si="4"/>
        <v>7.5</v>
      </c>
      <c r="J11" s="8">
        <f t="shared" si="0"/>
        <v>14985</v>
      </c>
      <c r="K11" s="8">
        <f t="shared" si="5"/>
        <v>2610</v>
      </c>
      <c r="L11" s="56"/>
      <c r="M11" s="9">
        <v>5</v>
      </c>
      <c r="N11" s="10">
        <f t="shared" si="1"/>
        <v>9990</v>
      </c>
      <c r="O11" s="10">
        <f t="shared" si="2"/>
        <v>1740</v>
      </c>
      <c r="P11" s="53"/>
    </row>
    <row r="12" spans="1:16" ht="27" customHeight="1" x14ac:dyDescent="0.25">
      <c r="A12" s="1" t="s">
        <v>4</v>
      </c>
      <c r="B12" s="3">
        <v>1470</v>
      </c>
      <c r="C12" s="4">
        <v>1199</v>
      </c>
      <c r="D12" s="2">
        <v>1080</v>
      </c>
      <c r="E12" s="5">
        <v>58</v>
      </c>
      <c r="F12" s="6">
        <f t="shared" si="6"/>
        <v>85260</v>
      </c>
      <c r="G12" s="6">
        <f t="shared" si="3"/>
        <v>22620</v>
      </c>
      <c r="H12" s="59"/>
      <c r="I12" s="62">
        <f t="shared" si="4"/>
        <v>87</v>
      </c>
      <c r="J12" s="8">
        <f t="shared" si="0"/>
        <v>104313</v>
      </c>
      <c r="K12" s="8">
        <f t="shared" si="5"/>
        <v>10353</v>
      </c>
      <c r="L12" s="56"/>
      <c r="M12" s="9">
        <v>101</v>
      </c>
      <c r="N12" s="10">
        <f t="shared" si="1"/>
        <v>121099</v>
      </c>
      <c r="O12" s="10">
        <f t="shared" si="2"/>
        <v>12019</v>
      </c>
      <c r="P12" s="53"/>
    </row>
    <row r="13" spans="1:16" ht="27" customHeight="1" x14ac:dyDescent="0.25">
      <c r="A13" s="1" t="s">
        <v>5</v>
      </c>
      <c r="B13" s="3">
        <v>394</v>
      </c>
      <c r="C13" s="4">
        <v>299</v>
      </c>
      <c r="D13" s="2">
        <v>285</v>
      </c>
      <c r="E13" s="5">
        <v>106</v>
      </c>
      <c r="F13" s="6">
        <f t="shared" si="6"/>
        <v>41764</v>
      </c>
      <c r="G13" s="6">
        <f t="shared" si="3"/>
        <v>11554</v>
      </c>
      <c r="H13" s="59"/>
      <c r="I13" s="62">
        <f t="shared" si="4"/>
        <v>159</v>
      </c>
      <c r="J13" s="8">
        <f t="shared" si="0"/>
        <v>47541</v>
      </c>
      <c r="K13" s="8">
        <f t="shared" si="5"/>
        <v>2226</v>
      </c>
      <c r="L13" s="56"/>
      <c r="M13" s="9">
        <v>165</v>
      </c>
      <c r="N13" s="10">
        <f t="shared" si="1"/>
        <v>49335</v>
      </c>
      <c r="O13" s="10">
        <f t="shared" si="2"/>
        <v>2310</v>
      </c>
      <c r="P13" s="53"/>
    </row>
    <row r="14" spans="1:16" ht="27" customHeight="1" x14ac:dyDescent="0.25">
      <c r="A14" s="1" t="s">
        <v>26</v>
      </c>
      <c r="B14" s="3">
        <v>432</v>
      </c>
      <c r="C14" s="4">
        <v>299</v>
      </c>
      <c r="D14" s="2">
        <v>245</v>
      </c>
      <c r="E14" s="5">
        <v>38.08</v>
      </c>
      <c r="F14" s="6">
        <f t="shared" si="6"/>
        <v>16450.559999999998</v>
      </c>
      <c r="G14" s="6">
        <f t="shared" si="3"/>
        <v>7120.9599999999973</v>
      </c>
      <c r="H14" s="59"/>
      <c r="I14" s="62">
        <f t="shared" si="4"/>
        <v>57.12</v>
      </c>
      <c r="J14" s="8">
        <f t="shared" si="0"/>
        <v>17078.88</v>
      </c>
      <c r="K14" s="8">
        <f t="shared" si="5"/>
        <v>3084.4800000000014</v>
      </c>
      <c r="L14" s="56"/>
      <c r="M14" s="9">
        <v>45.98</v>
      </c>
      <c r="N14" s="10">
        <f t="shared" si="1"/>
        <v>13748.019999999999</v>
      </c>
      <c r="O14" s="10">
        <f t="shared" si="2"/>
        <v>2482.92</v>
      </c>
      <c r="P14" s="53"/>
    </row>
    <row r="15" spans="1:16" ht="27" customHeight="1" x14ac:dyDescent="0.25">
      <c r="A15" s="1" t="s">
        <v>25</v>
      </c>
      <c r="B15" s="3">
        <v>750</v>
      </c>
      <c r="C15" s="4">
        <v>550</v>
      </c>
      <c r="D15" s="2">
        <v>520</v>
      </c>
      <c r="E15" s="5">
        <v>100</v>
      </c>
      <c r="F15" s="6">
        <f t="shared" si="6"/>
        <v>75000</v>
      </c>
      <c r="G15" s="6">
        <f t="shared" si="3"/>
        <v>23000</v>
      </c>
      <c r="H15" s="59"/>
      <c r="I15" s="62">
        <f t="shared" si="4"/>
        <v>150</v>
      </c>
      <c r="J15" s="8">
        <f t="shared" si="0"/>
        <v>82500</v>
      </c>
      <c r="K15" s="8">
        <f t="shared" si="5"/>
        <v>4500</v>
      </c>
      <c r="L15" s="56"/>
      <c r="M15" s="9">
        <v>171</v>
      </c>
      <c r="N15" s="10">
        <f t="shared" si="1"/>
        <v>94050</v>
      </c>
      <c r="O15" s="10">
        <f t="shared" si="2"/>
        <v>5130</v>
      </c>
      <c r="P15" s="53"/>
    </row>
    <row r="16" spans="1:16" ht="27" customHeight="1" x14ac:dyDescent="0.25">
      <c r="A16" s="1" t="s">
        <v>7</v>
      </c>
      <c r="B16" s="3">
        <v>984</v>
      </c>
      <c r="C16" s="4">
        <v>799</v>
      </c>
      <c r="D16" s="2">
        <v>635</v>
      </c>
      <c r="E16" s="5">
        <v>18.48</v>
      </c>
      <c r="F16" s="6">
        <f t="shared" si="6"/>
        <v>18184.32</v>
      </c>
      <c r="G16" s="6">
        <f t="shared" si="3"/>
        <v>6449.5199999999986</v>
      </c>
      <c r="H16" s="59"/>
      <c r="I16" s="62">
        <f t="shared" si="4"/>
        <v>27.72</v>
      </c>
      <c r="J16" s="8">
        <f t="shared" si="0"/>
        <v>22148.28</v>
      </c>
      <c r="K16" s="8">
        <f t="shared" si="5"/>
        <v>4546.0799999999981</v>
      </c>
      <c r="L16" s="56"/>
      <c r="M16" s="9">
        <v>22.88</v>
      </c>
      <c r="N16" s="10">
        <f t="shared" si="1"/>
        <v>18281.12</v>
      </c>
      <c r="O16" s="10">
        <f t="shared" si="2"/>
        <v>3752.3199999999997</v>
      </c>
      <c r="P16" s="53"/>
    </row>
    <row r="17" spans="1:16" ht="27" customHeight="1" x14ac:dyDescent="0.25">
      <c r="A17" s="1" t="s">
        <v>29</v>
      </c>
      <c r="B17" s="3">
        <v>1200</v>
      </c>
      <c r="C17" s="4">
        <v>1090</v>
      </c>
      <c r="D17" s="2">
        <v>925</v>
      </c>
      <c r="E17" s="5">
        <v>145.32</v>
      </c>
      <c r="F17" s="6">
        <f t="shared" si="6"/>
        <v>174384</v>
      </c>
      <c r="G17" s="6">
        <f t="shared" si="3"/>
        <v>39963</v>
      </c>
      <c r="H17" s="59"/>
      <c r="I17" s="62">
        <f t="shared" si="4"/>
        <v>217.98</v>
      </c>
      <c r="J17" s="8">
        <f t="shared" si="0"/>
        <v>237598.19999999998</v>
      </c>
      <c r="K17" s="8">
        <f t="shared" si="5"/>
        <v>35966.699999999983</v>
      </c>
      <c r="L17" s="56"/>
      <c r="M17" s="9">
        <v>153.47999999999999</v>
      </c>
      <c r="N17" s="10">
        <f t="shared" si="1"/>
        <v>167293.19999999998</v>
      </c>
      <c r="O17" s="10">
        <f t="shared" si="2"/>
        <v>25324.199999999983</v>
      </c>
      <c r="P17" s="53"/>
    </row>
    <row r="18" spans="1:16" ht="27" customHeight="1" x14ac:dyDescent="0.25">
      <c r="A18" s="1" t="s">
        <v>43</v>
      </c>
      <c r="B18" s="3">
        <v>1218</v>
      </c>
      <c r="C18" s="4">
        <v>990</v>
      </c>
      <c r="D18" s="2">
        <v>840</v>
      </c>
      <c r="E18" s="5">
        <v>17.05</v>
      </c>
      <c r="F18" s="6">
        <f t="shared" si="6"/>
        <v>20766.900000000001</v>
      </c>
      <c r="G18" s="6">
        <f t="shared" si="3"/>
        <v>6444.9000000000015</v>
      </c>
      <c r="H18" s="59"/>
      <c r="I18" s="62">
        <f t="shared" si="4"/>
        <v>25.575000000000003</v>
      </c>
      <c r="J18" s="8">
        <f t="shared" si="0"/>
        <v>25319.250000000004</v>
      </c>
      <c r="K18" s="8">
        <f t="shared" si="5"/>
        <v>3836.25</v>
      </c>
      <c r="L18" s="56"/>
      <c r="M18" s="9">
        <v>19.98</v>
      </c>
      <c r="N18" s="10">
        <f t="shared" si="1"/>
        <v>19780.2</v>
      </c>
      <c r="O18" s="10">
        <f t="shared" si="2"/>
        <v>2997</v>
      </c>
      <c r="P18" s="53"/>
    </row>
    <row r="19" spans="1:16" ht="27" customHeight="1" x14ac:dyDescent="0.25">
      <c r="A19" s="1" t="s">
        <v>31</v>
      </c>
      <c r="B19" s="3">
        <v>491</v>
      </c>
      <c r="C19" s="4">
        <v>450</v>
      </c>
      <c r="D19" s="2">
        <v>445</v>
      </c>
      <c r="E19" s="5">
        <v>284</v>
      </c>
      <c r="F19" s="6">
        <f t="shared" si="6"/>
        <v>139444</v>
      </c>
      <c r="G19" s="6">
        <f t="shared" si="3"/>
        <v>13064</v>
      </c>
      <c r="H19" s="59"/>
      <c r="I19" s="62">
        <f t="shared" si="4"/>
        <v>426</v>
      </c>
      <c r="J19" s="8">
        <f t="shared" si="0"/>
        <v>191700</v>
      </c>
      <c r="K19" s="8">
        <f t="shared" si="5"/>
        <v>2130</v>
      </c>
      <c r="L19" s="56"/>
      <c r="M19" s="9">
        <v>153</v>
      </c>
      <c r="N19" s="10">
        <f t="shared" si="1"/>
        <v>68850</v>
      </c>
      <c r="O19" s="10">
        <f t="shared" si="2"/>
        <v>765</v>
      </c>
      <c r="P19" s="53"/>
    </row>
    <row r="20" spans="1:16" ht="27" customHeight="1" x14ac:dyDescent="0.25">
      <c r="A20" s="1" t="s">
        <v>30</v>
      </c>
      <c r="B20" s="3">
        <v>394</v>
      </c>
      <c r="C20" s="4">
        <v>350</v>
      </c>
      <c r="D20" s="2">
        <v>305</v>
      </c>
      <c r="E20" s="5">
        <v>182</v>
      </c>
      <c r="F20" s="6">
        <f t="shared" si="6"/>
        <v>71708</v>
      </c>
      <c r="G20" s="6">
        <f t="shared" si="3"/>
        <v>16198</v>
      </c>
      <c r="H20" s="59"/>
      <c r="I20" s="62">
        <f t="shared" si="4"/>
        <v>273</v>
      </c>
      <c r="J20" s="8">
        <f t="shared" si="0"/>
        <v>95550</v>
      </c>
      <c r="K20" s="8">
        <f t="shared" si="5"/>
        <v>12285</v>
      </c>
      <c r="L20" s="56"/>
      <c r="M20" s="9">
        <v>169</v>
      </c>
      <c r="N20" s="10">
        <f t="shared" si="1"/>
        <v>59150</v>
      </c>
      <c r="O20" s="10">
        <f t="shared" si="2"/>
        <v>7605</v>
      </c>
      <c r="P20" s="53"/>
    </row>
    <row r="21" spans="1:16" ht="27" customHeight="1" x14ac:dyDescent="0.25">
      <c r="A21" s="1" t="s">
        <v>32</v>
      </c>
      <c r="B21" s="3">
        <v>250</v>
      </c>
      <c r="C21" s="4">
        <v>200</v>
      </c>
      <c r="D21" s="2">
        <v>175</v>
      </c>
      <c r="E21" s="5">
        <v>97</v>
      </c>
      <c r="F21" s="6">
        <f t="shared" si="6"/>
        <v>24250</v>
      </c>
      <c r="G21" s="6">
        <f t="shared" si="3"/>
        <v>7275</v>
      </c>
      <c r="H21" s="59"/>
      <c r="I21" s="62">
        <f t="shared" si="4"/>
        <v>145.5</v>
      </c>
      <c r="J21" s="8">
        <f t="shared" si="0"/>
        <v>29100</v>
      </c>
      <c r="K21" s="8">
        <f t="shared" si="5"/>
        <v>3637.5</v>
      </c>
      <c r="L21" s="56"/>
      <c r="M21" s="9">
        <v>127</v>
      </c>
      <c r="N21" s="10">
        <f t="shared" si="1"/>
        <v>25400</v>
      </c>
      <c r="O21" s="10">
        <f t="shared" si="2"/>
        <v>3175</v>
      </c>
      <c r="P21" s="53"/>
    </row>
    <row r="22" spans="1:16" ht="28.5" customHeight="1" x14ac:dyDescent="0.25">
      <c r="A22" s="1" t="s">
        <v>33</v>
      </c>
      <c r="B22" s="3">
        <v>260</v>
      </c>
      <c r="C22" s="4">
        <v>200</v>
      </c>
      <c r="D22" s="2">
        <v>189</v>
      </c>
      <c r="E22" s="5">
        <v>100</v>
      </c>
      <c r="F22" s="6">
        <f t="shared" si="6"/>
        <v>26000</v>
      </c>
      <c r="G22" s="6">
        <f t="shared" si="3"/>
        <v>7100</v>
      </c>
      <c r="H22" s="59"/>
      <c r="I22" s="62">
        <f t="shared" si="4"/>
        <v>150</v>
      </c>
      <c r="J22" s="8">
        <f t="shared" si="0"/>
        <v>30000</v>
      </c>
      <c r="K22" s="8">
        <f t="shared" si="5"/>
        <v>1650</v>
      </c>
      <c r="L22" s="56"/>
      <c r="M22" s="9">
        <v>155</v>
      </c>
      <c r="N22" s="10">
        <f t="shared" si="1"/>
        <v>31000</v>
      </c>
      <c r="O22" s="10">
        <f t="shared" si="2"/>
        <v>1705</v>
      </c>
      <c r="P22" s="53"/>
    </row>
    <row r="23" spans="1:16" ht="27" customHeight="1" x14ac:dyDescent="0.25">
      <c r="A23" s="1" t="s">
        <v>34</v>
      </c>
      <c r="B23" s="3">
        <v>1250</v>
      </c>
      <c r="C23" s="4">
        <v>1100</v>
      </c>
      <c r="D23" s="2">
        <v>950</v>
      </c>
      <c r="E23" s="5">
        <v>16</v>
      </c>
      <c r="F23" s="6">
        <f t="shared" si="6"/>
        <v>20000</v>
      </c>
      <c r="G23" s="6">
        <f t="shared" si="3"/>
        <v>4800</v>
      </c>
      <c r="H23" s="59"/>
      <c r="I23" s="62">
        <f t="shared" si="4"/>
        <v>24</v>
      </c>
      <c r="J23" s="8">
        <f t="shared" si="0"/>
        <v>26400</v>
      </c>
      <c r="K23" s="8">
        <f t="shared" si="5"/>
        <v>3600</v>
      </c>
      <c r="L23" s="56"/>
      <c r="M23" s="9">
        <v>20</v>
      </c>
      <c r="N23" s="10">
        <f t="shared" si="1"/>
        <v>22000</v>
      </c>
      <c r="O23" s="10">
        <f t="shared" si="2"/>
        <v>3000</v>
      </c>
      <c r="P23" s="53"/>
    </row>
    <row r="24" spans="1:16" ht="27" customHeight="1" x14ac:dyDescent="0.25">
      <c r="A24" s="1" t="s">
        <v>38</v>
      </c>
      <c r="B24" s="3">
        <v>360</v>
      </c>
      <c r="C24" s="4">
        <v>299</v>
      </c>
      <c r="D24" s="2">
        <v>280</v>
      </c>
      <c r="E24" s="5">
        <v>35</v>
      </c>
      <c r="F24" s="6">
        <f t="shared" si="6"/>
        <v>12600</v>
      </c>
      <c r="G24" s="6">
        <f t="shared" si="3"/>
        <v>2800</v>
      </c>
      <c r="H24" s="59"/>
      <c r="I24" s="62">
        <f t="shared" si="4"/>
        <v>52.5</v>
      </c>
      <c r="J24" s="8">
        <f t="shared" si="0"/>
        <v>15697.5</v>
      </c>
      <c r="K24" s="8">
        <f t="shared" si="5"/>
        <v>997.5</v>
      </c>
      <c r="L24" s="56"/>
      <c r="M24" s="9">
        <v>74</v>
      </c>
      <c r="N24" s="10">
        <f t="shared" si="1"/>
        <v>22126</v>
      </c>
      <c r="O24" s="10">
        <f t="shared" ref="O24:O28" si="7">N24-D24*M24</f>
        <v>1406</v>
      </c>
      <c r="P24" s="53"/>
    </row>
    <row r="25" spans="1:16" ht="27" customHeight="1" x14ac:dyDescent="0.25">
      <c r="A25" s="1" t="s">
        <v>39</v>
      </c>
      <c r="B25" s="3">
        <v>360</v>
      </c>
      <c r="C25" s="4">
        <v>299</v>
      </c>
      <c r="D25" s="2">
        <v>280</v>
      </c>
      <c r="E25" s="5">
        <v>28</v>
      </c>
      <c r="F25" s="6">
        <f t="shared" si="6"/>
        <v>10080</v>
      </c>
      <c r="G25" s="6">
        <f t="shared" si="3"/>
        <v>2240</v>
      </c>
      <c r="H25" s="59"/>
      <c r="I25" s="62">
        <f t="shared" si="4"/>
        <v>42</v>
      </c>
      <c r="J25" s="8">
        <f t="shared" si="0"/>
        <v>12558</v>
      </c>
      <c r="K25" s="8">
        <f t="shared" si="5"/>
        <v>798</v>
      </c>
      <c r="L25" s="56"/>
      <c r="M25" s="9">
        <v>29</v>
      </c>
      <c r="N25" s="10">
        <f t="shared" si="1"/>
        <v>8671</v>
      </c>
      <c r="O25" s="10">
        <f t="shared" si="7"/>
        <v>551</v>
      </c>
      <c r="P25" s="53"/>
    </row>
    <row r="26" spans="1:16" ht="27" customHeight="1" x14ac:dyDescent="0.25">
      <c r="A26" s="1" t="s">
        <v>40</v>
      </c>
      <c r="B26" s="3">
        <v>360</v>
      </c>
      <c r="C26" s="4">
        <v>299</v>
      </c>
      <c r="D26" s="2">
        <v>280</v>
      </c>
      <c r="E26" s="5">
        <v>18</v>
      </c>
      <c r="F26" s="6">
        <f t="shared" si="6"/>
        <v>6480</v>
      </c>
      <c r="G26" s="6">
        <f t="shared" si="3"/>
        <v>1440</v>
      </c>
      <c r="H26" s="59"/>
      <c r="I26" s="62">
        <f t="shared" si="4"/>
        <v>27</v>
      </c>
      <c r="J26" s="8">
        <f t="shared" si="0"/>
        <v>8073</v>
      </c>
      <c r="K26" s="8">
        <f t="shared" si="5"/>
        <v>513</v>
      </c>
      <c r="L26" s="56"/>
      <c r="M26" s="9">
        <v>30</v>
      </c>
      <c r="N26" s="10">
        <f t="shared" si="1"/>
        <v>8970</v>
      </c>
      <c r="O26" s="10">
        <f t="shared" si="7"/>
        <v>570</v>
      </c>
      <c r="P26" s="53"/>
    </row>
    <row r="27" spans="1:16" ht="27" customHeight="1" x14ac:dyDescent="0.25">
      <c r="A27" s="1" t="s">
        <v>41</v>
      </c>
      <c r="B27" s="3">
        <v>360</v>
      </c>
      <c r="C27" s="4">
        <v>299</v>
      </c>
      <c r="D27" s="2">
        <v>280</v>
      </c>
      <c r="E27" s="5">
        <v>20</v>
      </c>
      <c r="F27" s="6">
        <f t="shared" si="6"/>
        <v>7200</v>
      </c>
      <c r="G27" s="6">
        <f t="shared" si="3"/>
        <v>1600</v>
      </c>
      <c r="H27" s="59"/>
      <c r="I27" s="62">
        <f t="shared" si="4"/>
        <v>30</v>
      </c>
      <c r="J27" s="8">
        <f t="shared" si="0"/>
        <v>8970</v>
      </c>
      <c r="K27" s="8">
        <f t="shared" si="5"/>
        <v>570</v>
      </c>
      <c r="L27" s="56"/>
      <c r="M27" s="9">
        <v>24</v>
      </c>
      <c r="N27" s="10">
        <f t="shared" si="1"/>
        <v>7176</v>
      </c>
      <c r="O27" s="10">
        <f t="shared" si="7"/>
        <v>456</v>
      </c>
      <c r="P27" s="53"/>
    </row>
    <row r="28" spans="1:16" ht="27" customHeight="1" x14ac:dyDescent="0.25">
      <c r="A28" s="1" t="s">
        <v>35</v>
      </c>
      <c r="B28" s="3">
        <v>180</v>
      </c>
      <c r="C28" s="4">
        <v>150</v>
      </c>
      <c r="D28" s="2">
        <v>135</v>
      </c>
      <c r="E28" s="5">
        <v>270</v>
      </c>
      <c r="F28" s="6">
        <f t="shared" si="6"/>
        <v>48600</v>
      </c>
      <c r="G28" s="6">
        <f t="shared" si="3"/>
        <v>12150</v>
      </c>
      <c r="H28" s="59"/>
      <c r="I28" s="62">
        <f t="shared" si="4"/>
        <v>405</v>
      </c>
      <c r="J28" s="8">
        <f t="shared" si="0"/>
        <v>60750</v>
      </c>
      <c r="K28" s="8">
        <f t="shared" si="5"/>
        <v>6075</v>
      </c>
      <c r="L28" s="56"/>
      <c r="M28" s="9">
        <v>364</v>
      </c>
      <c r="N28" s="10">
        <f t="shared" si="1"/>
        <v>54600</v>
      </c>
      <c r="O28" s="10">
        <f t="shared" si="7"/>
        <v>5460</v>
      </c>
      <c r="P28" s="53"/>
    </row>
    <row r="29" spans="1:16" ht="27" customHeight="1" x14ac:dyDescent="0.25">
      <c r="A29" s="1" t="s">
        <v>36</v>
      </c>
      <c r="B29" s="3">
        <v>5000</v>
      </c>
      <c r="C29" s="4">
        <v>4500</v>
      </c>
      <c r="D29" s="2">
        <v>4050</v>
      </c>
      <c r="E29" s="5">
        <v>0</v>
      </c>
      <c r="F29" s="6">
        <f t="shared" si="6"/>
        <v>0</v>
      </c>
      <c r="G29" s="6">
        <f t="shared" si="3"/>
        <v>0</v>
      </c>
      <c r="H29" s="59"/>
      <c r="I29" s="62">
        <f t="shared" si="4"/>
        <v>0</v>
      </c>
      <c r="J29" s="8">
        <f t="shared" si="0"/>
        <v>0</v>
      </c>
      <c r="K29" s="8">
        <f t="shared" si="5"/>
        <v>0</v>
      </c>
      <c r="L29" s="56"/>
      <c r="M29" s="9">
        <v>0</v>
      </c>
      <c r="N29" s="10">
        <f t="shared" si="1"/>
        <v>0</v>
      </c>
      <c r="O29" s="10">
        <f>N29-D29*M29</f>
        <v>0</v>
      </c>
      <c r="P29" s="53"/>
    </row>
    <row r="30" spans="1:16" ht="42.75" customHeight="1" thickBot="1" x14ac:dyDescent="0.65">
      <c r="A30" s="28" t="s">
        <v>18</v>
      </c>
      <c r="B30" s="28"/>
      <c r="C30" s="28"/>
      <c r="D30" s="24"/>
      <c r="E30" s="63">
        <f>SUM(E4:E29)</f>
        <v>1896.43</v>
      </c>
      <c r="F30" s="64">
        <f>SUM(F4:F29)</f>
        <v>970111.78</v>
      </c>
      <c r="G30" s="64">
        <f>SUM(G4:G29)</f>
        <v>240694.87999999998</v>
      </c>
      <c r="H30" s="60"/>
      <c r="I30" s="22">
        <f>SUM(I4:I29)</f>
        <v>2844.645</v>
      </c>
      <c r="J30" s="23">
        <f>SUM(J4:J29)</f>
        <v>1212148.1099999999</v>
      </c>
      <c r="K30" s="23">
        <f>SUM(K4:K29)</f>
        <v>118022.75999999998</v>
      </c>
      <c r="L30" s="57"/>
      <c r="M30" s="19">
        <f>SUM(M4:M29)</f>
        <v>2373.3200000000002</v>
      </c>
      <c r="N30" s="20">
        <f>SUM(N4:N29)</f>
        <v>976931.53999999992</v>
      </c>
      <c r="O30" s="20">
        <f>SUM(O4:O29)</f>
        <v>98967.439999999973</v>
      </c>
      <c r="P30" s="54"/>
    </row>
    <row r="31" spans="1:16" ht="42.75" customHeight="1" thickTop="1" x14ac:dyDescent="0.25">
      <c r="A31" s="65" t="s">
        <v>44</v>
      </c>
      <c r="B31" s="65"/>
      <c r="C31" s="65"/>
      <c r="D31" s="65"/>
      <c r="E31" s="65"/>
      <c r="F31" s="67">
        <f>G30-O30</f>
        <v>141727.44</v>
      </c>
      <c r="G31" s="65"/>
    </row>
    <row r="32" spans="1:16" ht="42.75" customHeight="1" thickBot="1" x14ac:dyDescent="0.3">
      <c r="A32" s="66"/>
      <c r="B32" s="66"/>
      <c r="C32" s="66"/>
      <c r="D32" s="66"/>
      <c r="E32" s="66"/>
      <c r="F32" s="66"/>
      <c r="G32" s="66"/>
    </row>
    <row r="33" ht="42.75" customHeight="1" thickTop="1" x14ac:dyDescent="0.25"/>
  </sheetData>
  <mergeCells count="14">
    <mergeCell ref="A1:G1"/>
    <mergeCell ref="A31:E32"/>
    <mergeCell ref="F31:G32"/>
    <mergeCell ref="A30:C30"/>
    <mergeCell ref="A2:A3"/>
    <mergeCell ref="B2:B3"/>
    <mergeCell ref="C2:C3"/>
    <mergeCell ref="D2:D3"/>
    <mergeCell ref="I2:L2"/>
    <mergeCell ref="M2:P2"/>
    <mergeCell ref="H4:H30"/>
    <mergeCell ref="L4:L30"/>
    <mergeCell ref="P4:P30"/>
    <mergeCell ref="E2:H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23-29_06</vt:lpstr>
      <vt:lpstr>30-06_07</vt:lpstr>
      <vt:lpstr>07-13_07</vt:lpstr>
      <vt:lpstr>14-20_07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LeVeL infinity</dc:creator>
  <cp:lastModifiedBy>LeVeL infinity</cp:lastModifiedBy>
  <cp:lastPrinted>2025-07-06T15:39:37Z</cp:lastPrinted>
  <dcterms:created xsi:type="dcterms:W3CDTF">2025-06-22T15:03:04Z</dcterms:created>
  <dcterms:modified xsi:type="dcterms:W3CDTF">2025-07-20T14:26:52Z</dcterms:modified>
</cp:coreProperties>
</file>