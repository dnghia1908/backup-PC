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ạp hóa\"/>
    </mc:Choice>
  </mc:AlternateContent>
  <xr:revisionPtr revIDLastSave="0" documentId="8_{E7053A35-7772-4006-AC8B-300132DBDCA9}" xr6:coauthVersionLast="47" xr6:coauthVersionMax="47" xr10:uidLastSave="{00000000-0000-0000-0000-000000000000}"/>
  <bookViews>
    <workbookView xWindow="-120" yWindow="-120" windowWidth="29040" windowHeight="15720" xr2:uid="{B5047A92-53E9-4A69-97DF-6B6513985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L2" i="1"/>
  <c r="L5" i="1"/>
  <c r="L6" i="1"/>
  <c r="L7" i="1"/>
  <c r="L8" i="1"/>
  <c r="L9" i="1"/>
  <c r="L10" i="1"/>
  <c r="L11" i="1"/>
  <c r="L12" i="1"/>
  <c r="L13" i="1"/>
  <c r="L14" i="1"/>
  <c r="L4" i="1"/>
  <c r="G2" i="1"/>
  <c r="G5" i="1"/>
  <c r="G6" i="1"/>
  <c r="G7" i="1"/>
  <c r="G8" i="1"/>
  <c r="G9" i="1"/>
  <c r="G13" i="1"/>
  <c r="F5" i="1"/>
  <c r="F6" i="1"/>
  <c r="F7" i="1"/>
  <c r="F8" i="1"/>
  <c r="F9" i="1"/>
  <c r="F10" i="1"/>
  <c r="G10" i="1" s="1"/>
  <c r="F11" i="1"/>
  <c r="F12" i="1"/>
  <c r="F13" i="1"/>
  <c r="F14" i="1"/>
  <c r="G14" i="1" s="1"/>
  <c r="F4" i="1"/>
  <c r="G4" i="1" s="1"/>
  <c r="I5" i="1"/>
  <c r="I6" i="1"/>
  <c r="I7" i="1"/>
  <c r="I8" i="1"/>
  <c r="I9" i="1"/>
  <c r="I10" i="1"/>
  <c r="I11" i="1"/>
  <c r="I12" i="1"/>
  <c r="I13" i="1"/>
  <c r="I14" i="1"/>
  <c r="I4" i="1"/>
  <c r="D5" i="1"/>
  <c r="D6" i="1"/>
  <c r="D7" i="1"/>
  <c r="D8" i="1"/>
  <c r="D9" i="1"/>
  <c r="D10" i="1"/>
  <c r="D11" i="1"/>
  <c r="G11" i="1" s="1"/>
  <c r="D12" i="1"/>
  <c r="G12" i="1" s="1"/>
  <c r="D13" i="1"/>
  <c r="D14" i="1"/>
  <c r="D4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<sst xmlns="http://schemas.openxmlformats.org/spreadsheetml/2006/main" count="20" uniqueCount="17">
  <si>
    <t>Cá basa</t>
    <phoneticPr fontId="1"/>
  </si>
  <si>
    <t>Kokomi</t>
    <phoneticPr fontId="1"/>
  </si>
  <si>
    <t>Sting dâu</t>
    <phoneticPr fontId="1"/>
  </si>
  <si>
    <t>Bò húc</t>
    <phoneticPr fontId="1"/>
  </si>
  <si>
    <t>Numberone</t>
    <phoneticPr fontId="1"/>
  </si>
  <si>
    <t>SL</t>
    <phoneticPr fontId="1"/>
  </si>
  <si>
    <t>Giá bán</t>
    <phoneticPr fontId="1"/>
  </si>
  <si>
    <t>Sale</t>
    <phoneticPr fontId="1"/>
  </si>
  <si>
    <t>Nước mắm nam ngư</t>
    <phoneticPr fontId="1"/>
  </si>
  <si>
    <t>Tương ớt chinsu</t>
    <phoneticPr fontId="1"/>
  </si>
  <si>
    <t>Hảo hảo thùng</t>
    <phoneticPr fontId="1"/>
  </si>
  <si>
    <t>Sả tươi</t>
    <phoneticPr fontId="1"/>
  </si>
  <si>
    <t>Ớt đông lạnh</t>
    <phoneticPr fontId="1"/>
  </si>
  <si>
    <t>Muối hảo hảo</t>
    <phoneticPr fontId="1"/>
  </si>
  <si>
    <t>Giá vốn</t>
    <phoneticPr fontId="1"/>
  </si>
  <si>
    <t>LN</t>
    <phoneticPr fontId="1"/>
  </si>
  <si>
    <t>DT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</si>
</sst>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[$¥-411]#,##0_);[Red]\([$¥-411]#,##0\)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2" fontId="2" fillId="0" borderId="1" xfId="0" applyNumberFormat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182" fontId="3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82" fontId="4" fillId="2" borderId="1" xfId="0" applyNumberFormat="1" applyFont="1" applyFill="1" applyBorder="1">
      <alignment vertical="center"/>
    </xf>
    <xf numFmtId="182" fontId="4" fillId="3" borderId="0" xfId="0" applyNumberFormat="1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B99D-DCA5-498F-9034-34D9945325D4}">
  <dimension ref="A2:M14"/>
  <sheetViews>
    <sheetView tabSelected="1" workbookViewId="0">
      <selection activeCell="M6" sqref="M6"/>
    </sheetView>
  </sheetViews>
  <sheetFormatPr defaultRowHeight="18.75" x14ac:dyDescent="0.4"/>
  <cols>
    <col min="1" max="1" width="26.125" style="1" customWidth="1"/>
    <col min="2" max="2" width="9" style="1"/>
    <col min="3" max="3" width="8" style="1" customWidth="1"/>
    <col min="4" max="4" width="10.5" style="1" customWidth="1"/>
    <col min="5" max="5" width="9.25" style="1" bestFit="1" customWidth="1"/>
    <col min="6" max="7" width="11.625" style="1" customWidth="1"/>
    <col min="8" max="8" width="8.5" style="1" customWidth="1"/>
    <col min="9" max="9" width="10.625" style="1" customWidth="1"/>
    <col min="10" max="10" width="9.25" style="1" bestFit="1" customWidth="1"/>
    <col min="11" max="12" width="11.25" style="1" bestFit="1" customWidth="1"/>
    <col min="13" max="13" width="12" style="1" customWidth="1"/>
    <col min="14" max="16384" width="9" style="1"/>
  </cols>
  <sheetData>
    <row r="2" spans="1:13" ht="37.5" customHeight="1" x14ac:dyDescent="0.4">
      <c r="G2" s="9">
        <f>SUM(G4:G14)</f>
        <v>324908</v>
      </c>
      <c r="L2" s="9">
        <f>SUM(L4:L14)</f>
        <v>168426</v>
      </c>
      <c r="M2" s="13">
        <f>G2-L2</f>
        <v>156482</v>
      </c>
    </row>
    <row r="3" spans="1:13" ht="30" customHeight="1" x14ac:dyDescent="0.4">
      <c r="A3" s="2"/>
      <c r="B3" s="3" t="s">
        <v>5</v>
      </c>
      <c r="C3" s="5" t="s">
        <v>14</v>
      </c>
      <c r="D3" s="6"/>
      <c r="E3" s="3" t="s">
        <v>6</v>
      </c>
      <c r="F3" s="8" t="s">
        <v>16</v>
      </c>
      <c r="G3" s="11" t="s">
        <v>15</v>
      </c>
      <c r="H3" s="5" t="s">
        <v>14</v>
      </c>
      <c r="I3" s="6"/>
      <c r="J3" s="3" t="s">
        <v>7</v>
      </c>
      <c r="K3" s="3" t="s">
        <v>16</v>
      </c>
      <c r="L3" s="10" t="s">
        <v>15</v>
      </c>
    </row>
    <row r="4" spans="1:13" ht="30" customHeight="1" x14ac:dyDescent="0.4">
      <c r="A4" s="4" t="s">
        <v>8</v>
      </c>
      <c r="B4" s="2">
        <v>762</v>
      </c>
      <c r="C4" s="7">
        <v>445</v>
      </c>
      <c r="D4" s="7">
        <f>C4*B4</f>
        <v>339090</v>
      </c>
      <c r="E4" s="7">
        <v>491</v>
      </c>
      <c r="F4" s="7">
        <f>B4*E4</f>
        <v>374142</v>
      </c>
      <c r="G4" s="12">
        <f>F4-D4</f>
        <v>35052</v>
      </c>
      <c r="H4" s="7">
        <v>422</v>
      </c>
      <c r="I4" s="7">
        <f>H4*B4</f>
        <v>321564</v>
      </c>
      <c r="J4" s="7">
        <v>450</v>
      </c>
      <c r="K4" s="7">
        <f>J4*B4</f>
        <v>342900</v>
      </c>
      <c r="L4" s="12">
        <f>K4-I4</f>
        <v>21336</v>
      </c>
    </row>
    <row r="5" spans="1:13" ht="30" customHeight="1" x14ac:dyDescent="0.4">
      <c r="A5" s="4" t="s">
        <v>9</v>
      </c>
      <c r="B5" s="2">
        <v>728</v>
      </c>
      <c r="C5" s="7">
        <v>315</v>
      </c>
      <c r="D5" s="7">
        <f t="shared" ref="D5:D14" si="0">C5*B5</f>
        <v>229320</v>
      </c>
      <c r="E5" s="7">
        <v>394</v>
      </c>
      <c r="F5" s="7">
        <f t="shared" ref="F5:F14" si="1">B5*E5</f>
        <v>286832</v>
      </c>
      <c r="G5" s="12">
        <f t="shared" ref="G5:G14" si="2">F5-D5</f>
        <v>57512</v>
      </c>
      <c r="H5" s="7">
        <v>307</v>
      </c>
      <c r="I5" s="7">
        <f>H5*B5</f>
        <v>223496</v>
      </c>
      <c r="J5" s="7">
        <v>350</v>
      </c>
      <c r="K5" s="7">
        <f>J5*B5</f>
        <v>254800</v>
      </c>
      <c r="L5" s="12">
        <f t="shared" ref="L5:L14" si="3">K5-I5</f>
        <v>31304</v>
      </c>
    </row>
    <row r="6" spans="1:13" ht="30" customHeight="1" x14ac:dyDescent="0.4">
      <c r="A6" s="4" t="s">
        <v>0</v>
      </c>
      <c r="B6" s="2">
        <v>277</v>
      </c>
      <c r="C6" s="7">
        <v>320</v>
      </c>
      <c r="D6" s="7">
        <f t="shared" si="0"/>
        <v>88640</v>
      </c>
      <c r="E6" s="7">
        <v>395</v>
      </c>
      <c r="F6" s="7">
        <f t="shared" si="1"/>
        <v>109415</v>
      </c>
      <c r="G6" s="12">
        <f t="shared" si="2"/>
        <v>20775</v>
      </c>
      <c r="H6" s="7">
        <v>289</v>
      </c>
      <c r="I6" s="7">
        <f>H6*B6</f>
        <v>80053</v>
      </c>
      <c r="J6" s="7">
        <v>350</v>
      </c>
      <c r="K6" s="7">
        <f>J6*B6</f>
        <v>96950</v>
      </c>
      <c r="L6" s="12">
        <f t="shared" si="3"/>
        <v>16897</v>
      </c>
    </row>
    <row r="7" spans="1:13" ht="30" customHeight="1" x14ac:dyDescent="0.4">
      <c r="A7" s="4" t="s">
        <v>10</v>
      </c>
      <c r="B7" s="2">
        <v>47</v>
      </c>
      <c r="C7" s="7">
        <v>1850</v>
      </c>
      <c r="D7" s="7">
        <f t="shared" si="0"/>
        <v>86950</v>
      </c>
      <c r="E7" s="7">
        <v>2400</v>
      </c>
      <c r="F7" s="7">
        <f t="shared" si="1"/>
        <v>112800</v>
      </c>
      <c r="G7" s="12">
        <f t="shared" si="2"/>
        <v>25850</v>
      </c>
      <c r="H7" s="7">
        <v>1650</v>
      </c>
      <c r="I7" s="7">
        <f>H7*B7</f>
        <v>77550</v>
      </c>
      <c r="J7" s="7">
        <v>2000</v>
      </c>
      <c r="K7" s="7">
        <f>J7*B7</f>
        <v>94000</v>
      </c>
      <c r="L7" s="12">
        <f t="shared" si="3"/>
        <v>16450</v>
      </c>
    </row>
    <row r="8" spans="1:13" ht="30" customHeight="1" x14ac:dyDescent="0.4">
      <c r="A8" s="4" t="s">
        <v>11</v>
      </c>
      <c r="B8" s="2">
        <v>639</v>
      </c>
      <c r="C8" s="7">
        <v>225</v>
      </c>
      <c r="D8" s="7">
        <f t="shared" si="0"/>
        <v>143775</v>
      </c>
      <c r="E8" s="7">
        <v>300</v>
      </c>
      <c r="F8" s="7">
        <f t="shared" si="1"/>
        <v>191700</v>
      </c>
      <c r="G8" s="12">
        <f t="shared" si="2"/>
        <v>47925</v>
      </c>
      <c r="H8" s="7">
        <v>225</v>
      </c>
      <c r="I8" s="7">
        <f>H8*B8</f>
        <v>143775</v>
      </c>
      <c r="J8" s="7">
        <v>250</v>
      </c>
      <c r="K8" s="7">
        <f>J8*B8</f>
        <v>159750</v>
      </c>
      <c r="L8" s="12">
        <f t="shared" si="3"/>
        <v>15975</v>
      </c>
    </row>
    <row r="9" spans="1:13" ht="30" customHeight="1" x14ac:dyDescent="0.4">
      <c r="A9" s="4" t="s">
        <v>12</v>
      </c>
      <c r="B9" s="2">
        <v>544</v>
      </c>
      <c r="C9" s="7">
        <v>189</v>
      </c>
      <c r="D9" s="7">
        <f t="shared" si="0"/>
        <v>102816</v>
      </c>
      <c r="E9" s="7">
        <v>260</v>
      </c>
      <c r="F9" s="7">
        <f t="shared" si="1"/>
        <v>141440</v>
      </c>
      <c r="G9" s="12">
        <f t="shared" si="2"/>
        <v>38624</v>
      </c>
      <c r="H9" s="7">
        <v>189</v>
      </c>
      <c r="I9" s="7">
        <f>H9*B9</f>
        <v>102816</v>
      </c>
      <c r="J9" s="7">
        <v>210</v>
      </c>
      <c r="K9" s="7">
        <f>J9*B9</f>
        <v>114240</v>
      </c>
      <c r="L9" s="12">
        <f t="shared" si="3"/>
        <v>11424</v>
      </c>
    </row>
    <row r="10" spans="1:13" ht="30" customHeight="1" x14ac:dyDescent="0.4">
      <c r="A10" s="4" t="s">
        <v>13</v>
      </c>
      <c r="B10" s="2">
        <v>439</v>
      </c>
      <c r="C10" s="7">
        <v>145</v>
      </c>
      <c r="D10" s="7">
        <f t="shared" si="0"/>
        <v>63655</v>
      </c>
      <c r="E10" s="7">
        <v>250</v>
      </c>
      <c r="F10" s="7">
        <f t="shared" si="1"/>
        <v>109750</v>
      </c>
      <c r="G10" s="12">
        <f t="shared" si="2"/>
        <v>46095</v>
      </c>
      <c r="H10" s="7">
        <v>145</v>
      </c>
      <c r="I10" s="7">
        <f>H10*B10</f>
        <v>63655</v>
      </c>
      <c r="J10" s="7">
        <v>210</v>
      </c>
      <c r="K10" s="7">
        <f>J10*B10</f>
        <v>92190</v>
      </c>
      <c r="L10" s="12">
        <f t="shared" si="3"/>
        <v>28535</v>
      </c>
    </row>
    <row r="11" spans="1:13" ht="30" customHeight="1" x14ac:dyDescent="0.4">
      <c r="A11" s="4" t="s">
        <v>1</v>
      </c>
      <c r="B11" s="2">
        <v>23</v>
      </c>
      <c r="C11" s="7">
        <v>1750</v>
      </c>
      <c r="D11" s="7">
        <f t="shared" si="0"/>
        <v>40250</v>
      </c>
      <c r="E11" s="7">
        <v>2300</v>
      </c>
      <c r="F11" s="7">
        <f t="shared" si="1"/>
        <v>52900</v>
      </c>
      <c r="G11" s="12">
        <f t="shared" si="2"/>
        <v>12650</v>
      </c>
      <c r="H11" s="7">
        <v>1650</v>
      </c>
      <c r="I11" s="7">
        <f>H11*B11</f>
        <v>37950</v>
      </c>
      <c r="J11" s="7">
        <v>2000</v>
      </c>
      <c r="K11" s="7">
        <f>J11*B11</f>
        <v>46000</v>
      </c>
      <c r="L11" s="12">
        <f t="shared" si="3"/>
        <v>8050</v>
      </c>
    </row>
    <row r="12" spans="1:13" ht="30" customHeight="1" x14ac:dyDescent="0.4">
      <c r="A12" s="4" t="s">
        <v>2</v>
      </c>
      <c r="B12" s="2">
        <v>127</v>
      </c>
      <c r="C12" s="7">
        <v>205</v>
      </c>
      <c r="D12" s="7">
        <f t="shared" si="0"/>
        <v>26035</v>
      </c>
      <c r="E12" s="7">
        <v>330</v>
      </c>
      <c r="F12" s="7">
        <f t="shared" si="1"/>
        <v>41910</v>
      </c>
      <c r="G12" s="12">
        <f t="shared" si="2"/>
        <v>15875</v>
      </c>
      <c r="H12" s="7">
        <v>205</v>
      </c>
      <c r="I12" s="7">
        <f>H12*B12</f>
        <v>26035</v>
      </c>
      <c r="J12" s="7">
        <v>250</v>
      </c>
      <c r="K12" s="7">
        <f>J12*B12</f>
        <v>31750</v>
      </c>
      <c r="L12" s="12">
        <f t="shared" si="3"/>
        <v>5715</v>
      </c>
    </row>
    <row r="13" spans="1:13" ht="30" customHeight="1" x14ac:dyDescent="0.4">
      <c r="A13" s="4" t="s">
        <v>3</v>
      </c>
      <c r="B13" s="2">
        <v>134</v>
      </c>
      <c r="C13" s="7">
        <v>220</v>
      </c>
      <c r="D13" s="7">
        <f t="shared" si="0"/>
        <v>29480</v>
      </c>
      <c r="E13" s="7">
        <v>330</v>
      </c>
      <c r="F13" s="7">
        <f t="shared" si="1"/>
        <v>44220</v>
      </c>
      <c r="G13" s="12">
        <f t="shared" si="2"/>
        <v>14740</v>
      </c>
      <c r="H13" s="7">
        <v>220</v>
      </c>
      <c r="I13" s="7">
        <f>H13*B13</f>
        <v>29480</v>
      </c>
      <c r="J13" s="7">
        <v>250</v>
      </c>
      <c r="K13" s="7">
        <f>J13*B13</f>
        <v>33500</v>
      </c>
      <c r="L13" s="12">
        <f t="shared" si="3"/>
        <v>4020</v>
      </c>
    </row>
    <row r="14" spans="1:13" ht="30" customHeight="1" x14ac:dyDescent="0.4">
      <c r="A14" s="4" t="s">
        <v>4</v>
      </c>
      <c r="B14" s="2">
        <v>109</v>
      </c>
      <c r="C14" s="7">
        <v>160</v>
      </c>
      <c r="D14" s="7">
        <f t="shared" si="0"/>
        <v>17440</v>
      </c>
      <c r="E14" s="7">
        <v>250</v>
      </c>
      <c r="F14" s="7">
        <f t="shared" si="1"/>
        <v>27250</v>
      </c>
      <c r="G14" s="12">
        <f t="shared" si="2"/>
        <v>9810</v>
      </c>
      <c r="H14" s="7">
        <v>120</v>
      </c>
      <c r="I14" s="7">
        <f>H14*B14</f>
        <v>13080</v>
      </c>
      <c r="J14" s="7">
        <v>200</v>
      </c>
      <c r="K14" s="7">
        <f>J14*B14</f>
        <v>21800</v>
      </c>
      <c r="L14" s="12">
        <f t="shared" si="3"/>
        <v>8720</v>
      </c>
    </row>
  </sheetData>
  <mergeCells count="2">
    <mergeCell ref="C3:D3"/>
    <mergeCell ref="H3:I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グェン　ドック ギャ</cp:lastModifiedBy>
  <dcterms:created xsi:type="dcterms:W3CDTF">2024-07-22T16:11:58Z</dcterms:created>
  <dcterms:modified xsi:type="dcterms:W3CDTF">2024-07-22T16:26:16Z</dcterms:modified>
</cp:coreProperties>
</file>