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"/>
    </mc:Choice>
  </mc:AlternateContent>
  <xr:revisionPtr revIDLastSave="0" documentId="13_ncr:1_{42A4CEA2-DB71-4E9B-8BAF-A6773312DE40}" xr6:coauthVersionLast="47" xr6:coauthVersionMax="47" xr10:uidLastSave="{00000000-0000-0000-0000-000000000000}"/>
  <bookViews>
    <workbookView xWindow="14295" yWindow="0" windowWidth="14610" windowHeight="15585" xr2:uid="{EA93C640-D795-42C6-A6EA-3D5F6634B8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1" l="1"/>
  <c r="C30" i="1"/>
  <c r="C26" i="1"/>
  <c r="C25" i="1"/>
  <c r="C22" i="1"/>
  <c r="C19" i="1"/>
  <c r="E2" i="1"/>
  <c r="F2" i="1"/>
  <c r="D2" i="1"/>
  <c r="C2" i="1" l="1"/>
  <c r="A3" i="1" s="1"/>
</calcChain>
</file>

<file path=xl/sharedStrings.xml><?xml version="1.0" encoding="utf-8"?>
<sst xmlns="http://schemas.openxmlformats.org/spreadsheetml/2006/main" count="43" uniqueCount="42">
  <si>
    <t>STT</t>
  </si>
  <si>
    <t>Tiền mặt</t>
  </si>
  <si>
    <t>Trả - hủy</t>
  </si>
  <si>
    <t>TÊN KHÁCH HÀNG</t>
  </si>
  <si>
    <t>ĐƠN HÀNG</t>
  </si>
  <si>
    <t>NỢ</t>
  </si>
  <si>
    <t>CHUYỂN KHOẢN</t>
  </si>
  <si>
    <t>SHIP KHU VỰC YAHATA</t>
  </si>
  <si>
    <t>Nhuyên Nie</t>
  </si>
  <si>
    <t>HT Oanh</t>
  </si>
  <si>
    <t>Hoàng Hiền</t>
  </si>
  <si>
    <t>Hương Em</t>
  </si>
  <si>
    <t>Đinh Tiến Đức</t>
  </si>
  <si>
    <t>Phan Việt Hoàn</t>
  </si>
  <si>
    <t>Lê Thị Hoài Thương</t>
  </si>
  <si>
    <t xml:space="preserve">Hoàng  </t>
  </si>
  <si>
    <t>Thu Thảo</t>
  </si>
  <si>
    <t>Trường Âm</t>
  </si>
  <si>
    <t>Linh Phương</t>
  </si>
  <si>
    <t>Thanh Hải</t>
  </si>
  <si>
    <t>Hà</t>
  </si>
  <si>
    <t>Thắng Cô Lô Nhuê</t>
  </si>
  <si>
    <t>Lê Minh Trang</t>
  </si>
  <si>
    <t xml:space="preserve">Nguyễn Văn Đức </t>
  </si>
  <si>
    <t>Pham Thanh</t>
  </si>
  <si>
    <t>Văn Hiếu</t>
  </si>
  <si>
    <t>Tú Đõ Xuân</t>
  </si>
  <si>
    <t>Hà Nguyễn</t>
  </si>
  <si>
    <t>Nguyễn Tông</t>
  </si>
  <si>
    <t>Hoàng Hùng</t>
  </si>
  <si>
    <t>Đinh Văn Quân</t>
  </si>
  <si>
    <t>Phi Nguyễn</t>
  </si>
  <si>
    <t>Thành</t>
  </si>
  <si>
    <t>Mai Nhân</t>
  </si>
  <si>
    <t>Tai Phung</t>
  </si>
  <si>
    <t>Lương Văn Hòa</t>
  </si>
  <si>
    <t>Long Đỗ</t>
  </si>
  <si>
    <t>Nguyễn Quang Thiện</t>
  </si>
  <si>
    <t>Nguyễn Văn Thắng</t>
  </si>
  <si>
    <t>Quán</t>
  </si>
  <si>
    <t>Quán ship</t>
  </si>
  <si>
    <t>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</si>
</sst>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¥-411]#,##0"/>
  </numFmts>
  <fonts count="13" x14ac:knownFonts="1">
    <font>
      <sz val="11"/>
      <color theme="1"/>
      <name val="Arial"/>
      <family val="2"/>
      <charset val="163"/>
      <scheme val="minor"/>
    </font>
    <font>
      <b/>
      <sz val="20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14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sz val="18"/>
      <color theme="1"/>
      <name val="Times New Roman"/>
      <family val="1"/>
      <scheme val="major"/>
    </font>
    <font>
      <b/>
      <sz val="20"/>
      <color rgb="FFFF0000"/>
      <name val="Times New Roman"/>
      <family val="1"/>
      <scheme val="major"/>
    </font>
    <font>
      <b/>
      <sz val="14"/>
      <color rgb="FFFF0000"/>
      <name val="Times New Roman"/>
      <family val="1"/>
      <scheme val="major"/>
    </font>
    <font>
      <b/>
      <sz val="14"/>
      <color rgb="FF7030A0"/>
      <name val="Times New Roman"/>
      <family val="1"/>
      <scheme val="major"/>
    </font>
    <font>
      <b/>
      <sz val="12"/>
      <color rgb="FF7030A0"/>
      <name val="Times New Roman"/>
      <family val="1"/>
      <scheme val="major"/>
    </font>
    <font>
      <b/>
      <sz val="10"/>
      <color rgb="FF7030A0"/>
      <name val="Times New Roman"/>
      <family val="1"/>
      <scheme val="major"/>
    </font>
    <font>
      <b/>
      <sz val="12"/>
      <color rgb="FFFF0000"/>
      <name val="Times New Roman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76E3FF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5" fillId="0" borderId="2" xfId="0" applyFont="1" applyBorder="1" applyAlignment="1">
      <alignment vertical="center" wrapText="1"/>
    </xf>
    <xf numFmtId="164" fontId="5" fillId="0" borderId="2" xfId="0" applyNumberFormat="1" applyFont="1" applyBorder="1" applyAlignment="1">
      <alignment wrapText="1"/>
    </xf>
    <xf numFmtId="0" fontId="5" fillId="0" borderId="0" xfId="0" applyFont="1"/>
    <xf numFmtId="164" fontId="5" fillId="5" borderId="2" xfId="0" applyNumberFormat="1" applyFont="1" applyFill="1" applyBorder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164" fontId="10" fillId="8" borderId="8" xfId="0" applyNumberFormat="1" applyFont="1" applyFill="1" applyBorder="1" applyAlignment="1">
      <alignment horizontal="center" vertical="center" wrapText="1"/>
    </xf>
    <xf numFmtId="164" fontId="9" fillId="8" borderId="8" xfId="0" applyNumberFormat="1" applyFont="1" applyFill="1" applyBorder="1" applyAlignment="1">
      <alignment horizontal="center" vertical="center" wrapText="1"/>
    </xf>
    <xf numFmtId="164" fontId="11" fillId="8" borderId="8" xfId="0" applyNumberFormat="1" applyFont="1" applyFill="1" applyBorder="1" applyAlignment="1">
      <alignment horizontal="center" vertical="center" wrapText="1"/>
    </xf>
    <xf numFmtId="164" fontId="12" fillId="9" borderId="2" xfId="0" applyNumberFormat="1" applyFont="1" applyFill="1" applyBorder="1" applyAlignment="1">
      <alignment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14" fontId="6" fillId="3" borderId="11" xfId="0" applyNumberFormat="1" applyFont="1" applyFill="1" applyBorder="1" applyAlignment="1">
      <alignment horizontal="center" vertical="center" wrapText="1"/>
    </xf>
    <xf numFmtId="14" fontId="6" fillId="3" borderId="0" xfId="0" applyNumberFormat="1" applyFont="1" applyFill="1" applyAlignment="1">
      <alignment horizontal="center" vertical="center" wrapText="1"/>
    </xf>
    <xf numFmtId="164" fontId="8" fillId="6" borderId="9" xfId="0" applyNumberFormat="1" applyFont="1" applyFill="1" applyBorder="1" applyAlignment="1">
      <alignment horizontal="center" vertical="center" wrapText="1"/>
    </xf>
    <xf numFmtId="164" fontId="8" fillId="6" borderId="10" xfId="0" applyNumberFormat="1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wrapText="1"/>
    </xf>
    <xf numFmtId="164" fontId="1" fillId="5" borderId="3" xfId="0" applyNumberFormat="1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9CF8-65DB-43EE-961F-88835B7A10D0}">
  <dimension ref="A1:F66"/>
  <sheetViews>
    <sheetView tabSelected="1" workbookViewId="0">
      <selection activeCell="C43" sqref="C43"/>
    </sheetView>
  </sheetViews>
  <sheetFormatPr defaultRowHeight="15" x14ac:dyDescent="0.25"/>
  <cols>
    <col min="1" max="1" width="5.875" style="1" customWidth="1"/>
    <col min="2" max="2" width="23" style="1" customWidth="1"/>
    <col min="3" max="3" width="13.625" style="1" customWidth="1"/>
    <col min="4" max="4" width="12.375" style="1" customWidth="1"/>
    <col min="5" max="5" width="16.25" style="1" customWidth="1"/>
    <col min="6" max="6" width="10.375" style="1" customWidth="1"/>
    <col min="7" max="16384" width="9" style="1"/>
  </cols>
  <sheetData>
    <row r="1" spans="1:6" ht="40.5" customHeight="1" x14ac:dyDescent="0.25">
      <c r="A1" s="13" t="s">
        <v>7</v>
      </c>
      <c r="B1" s="14"/>
      <c r="C1" s="14"/>
      <c r="D1" s="15"/>
      <c r="E1" s="18">
        <v>45301</v>
      </c>
      <c r="F1" s="19"/>
    </row>
    <row r="2" spans="1:6" ht="25.5" customHeight="1" x14ac:dyDescent="0.35">
      <c r="A2" s="22" t="s">
        <v>1</v>
      </c>
      <c r="B2" s="22"/>
      <c r="C2" s="16">
        <f>SUM(C5:C65)</f>
        <v>79293</v>
      </c>
      <c r="D2" s="16">
        <f>SUM(D5:D65)</f>
        <v>28142</v>
      </c>
      <c r="E2" s="16">
        <f>SUM(E5:E65)</f>
        <v>50462</v>
      </c>
      <c r="F2" s="20">
        <f>SUM(F5:F65)</f>
        <v>0</v>
      </c>
    </row>
    <row r="3" spans="1:6" ht="25.5" customHeight="1" x14ac:dyDescent="0.35">
      <c r="A3" s="23">
        <f>C2-D2-E2-F2</f>
        <v>689</v>
      </c>
      <c r="B3" s="24"/>
      <c r="C3" s="17"/>
      <c r="D3" s="17"/>
      <c r="E3" s="17"/>
      <c r="F3" s="21"/>
    </row>
    <row r="4" spans="1:6" ht="30.75" customHeight="1" thickBot="1" x14ac:dyDescent="0.3">
      <c r="A4" s="7" t="s">
        <v>0</v>
      </c>
      <c r="B4" s="8" t="s">
        <v>3</v>
      </c>
      <c r="C4" s="9" t="s">
        <v>4</v>
      </c>
      <c r="D4" s="10" t="s">
        <v>5</v>
      </c>
      <c r="E4" s="11" t="s">
        <v>6</v>
      </c>
      <c r="F4" s="10" t="s">
        <v>2</v>
      </c>
    </row>
    <row r="5" spans="1:6" ht="19.5" thickBot="1" x14ac:dyDescent="0.3">
      <c r="A5" s="6">
        <v>1</v>
      </c>
      <c r="B5" s="2" t="s">
        <v>8</v>
      </c>
      <c r="C5" s="3">
        <v>8904</v>
      </c>
      <c r="D5" s="12"/>
      <c r="E5" s="3"/>
      <c r="F5" s="5"/>
    </row>
    <row r="6" spans="1:6" ht="19.5" thickBot="1" x14ac:dyDescent="0.3">
      <c r="A6" s="6">
        <v>2</v>
      </c>
      <c r="B6" s="2" t="s">
        <v>9</v>
      </c>
      <c r="C6" s="3">
        <v>6117</v>
      </c>
      <c r="D6" s="12"/>
      <c r="E6" s="3"/>
      <c r="F6" s="5"/>
    </row>
    <row r="7" spans="1:6" ht="19.5" thickBot="1" x14ac:dyDescent="0.3">
      <c r="A7" s="6">
        <v>3</v>
      </c>
      <c r="B7" s="2" t="s">
        <v>10</v>
      </c>
      <c r="C7" s="3">
        <v>14207</v>
      </c>
      <c r="D7" s="12"/>
      <c r="E7" s="3"/>
      <c r="F7" s="5"/>
    </row>
    <row r="8" spans="1:6" ht="19.5" thickBot="1" x14ac:dyDescent="0.3">
      <c r="A8" s="6">
        <v>4</v>
      </c>
      <c r="B8" s="2" t="s">
        <v>11</v>
      </c>
      <c r="C8" s="3">
        <v>14207</v>
      </c>
      <c r="D8" s="12"/>
      <c r="E8" s="3">
        <v>14207</v>
      </c>
      <c r="F8" s="5"/>
    </row>
    <row r="9" spans="1:6" ht="19.5" thickBot="1" x14ac:dyDescent="0.3">
      <c r="A9" s="6">
        <v>5</v>
      </c>
      <c r="B9" s="2" t="s">
        <v>12</v>
      </c>
      <c r="C9" s="3">
        <v>22672</v>
      </c>
      <c r="D9" s="12"/>
      <c r="E9" s="3">
        <v>22672</v>
      </c>
      <c r="F9" s="5"/>
    </row>
    <row r="10" spans="1:6" ht="19.5" thickBot="1" x14ac:dyDescent="0.3">
      <c r="A10" s="6">
        <v>6</v>
      </c>
      <c r="B10" s="2" t="s">
        <v>13</v>
      </c>
      <c r="C10" s="3">
        <v>8648</v>
      </c>
      <c r="D10" s="12">
        <v>8648</v>
      </c>
      <c r="E10" s="3"/>
      <c r="F10" s="5"/>
    </row>
    <row r="11" spans="1:6" ht="19.5" thickBot="1" x14ac:dyDescent="0.3">
      <c r="A11" s="6">
        <v>7</v>
      </c>
      <c r="B11" s="2" t="s">
        <v>14</v>
      </c>
      <c r="C11" s="3">
        <v>13828</v>
      </c>
      <c r="D11" s="12"/>
      <c r="E11" s="3"/>
      <c r="F11" s="5"/>
    </row>
    <row r="12" spans="1:6" ht="19.5" thickBot="1" x14ac:dyDescent="0.3">
      <c r="A12" s="6">
        <v>8</v>
      </c>
      <c r="B12" s="2" t="s">
        <v>15</v>
      </c>
      <c r="C12" s="3">
        <v>5303</v>
      </c>
      <c r="D12" s="12"/>
      <c r="E12" s="3"/>
      <c r="F12" s="5"/>
    </row>
    <row r="13" spans="1:6" ht="19.5" thickBot="1" x14ac:dyDescent="0.3">
      <c r="A13" s="6">
        <v>9</v>
      </c>
      <c r="B13" s="2" t="s">
        <v>16</v>
      </c>
      <c r="C13" s="3">
        <v>7743</v>
      </c>
      <c r="D13" s="12">
        <v>7743</v>
      </c>
      <c r="E13" s="3"/>
      <c r="F13" s="5"/>
    </row>
    <row r="14" spans="1:6" ht="19.5" thickBot="1" x14ac:dyDescent="0.3">
      <c r="A14" s="6">
        <v>10</v>
      </c>
      <c r="B14" s="2" t="s">
        <v>17</v>
      </c>
      <c r="C14" s="3">
        <v>15216</v>
      </c>
      <c r="D14" s="12"/>
      <c r="E14" s="3"/>
      <c r="F14" s="5"/>
    </row>
    <row r="15" spans="1:6" ht="19.5" thickBot="1" x14ac:dyDescent="0.3">
      <c r="A15" s="6">
        <v>11</v>
      </c>
      <c r="B15" s="2" t="s">
        <v>18</v>
      </c>
      <c r="C15" s="3">
        <v>3986</v>
      </c>
      <c r="D15" s="12">
        <v>3986</v>
      </c>
      <c r="E15" s="3"/>
      <c r="F15" s="5"/>
    </row>
    <row r="16" spans="1:6" ht="19.5" thickBot="1" x14ac:dyDescent="0.3">
      <c r="A16" s="6">
        <v>12</v>
      </c>
      <c r="B16" s="2" t="s">
        <v>19</v>
      </c>
      <c r="C16" s="3">
        <v>3942</v>
      </c>
      <c r="D16" s="12"/>
      <c r="E16" s="3"/>
      <c r="F16" s="5"/>
    </row>
    <row r="17" spans="1:6" ht="19.5" thickBot="1" x14ac:dyDescent="0.3">
      <c r="A17" s="6">
        <v>13</v>
      </c>
      <c r="B17" s="2" t="s">
        <v>20</v>
      </c>
      <c r="C17" s="3">
        <v>13583</v>
      </c>
      <c r="D17" s="12"/>
      <c r="E17" s="3">
        <v>13583</v>
      </c>
      <c r="F17" s="5"/>
    </row>
    <row r="18" spans="1:6" ht="19.5" thickBot="1" x14ac:dyDescent="0.3">
      <c r="A18" s="6">
        <v>14</v>
      </c>
      <c r="B18" s="2" t="s">
        <v>21</v>
      </c>
      <c r="C18" s="3">
        <v>26687</v>
      </c>
      <c r="D18" s="12"/>
      <c r="E18" s="3"/>
      <c r="F18" s="5"/>
    </row>
    <row r="19" spans="1:6" ht="19.5" thickBot="1" x14ac:dyDescent="0.3">
      <c r="A19" s="6">
        <v>15</v>
      </c>
      <c r="B19" s="2" t="s">
        <v>22</v>
      </c>
      <c r="C19" s="3">
        <f>18733+400</f>
        <v>19133</v>
      </c>
      <c r="D19" s="12"/>
      <c r="E19" s="3"/>
      <c r="F19" s="5"/>
    </row>
    <row r="20" spans="1:6" ht="19.5" thickBot="1" x14ac:dyDescent="0.3">
      <c r="A20" s="6">
        <v>16</v>
      </c>
      <c r="B20" s="2" t="s">
        <v>23</v>
      </c>
      <c r="C20" s="3">
        <v>6393</v>
      </c>
      <c r="D20" s="12"/>
      <c r="E20" s="3"/>
      <c r="F20" s="5"/>
    </row>
    <row r="21" spans="1:6" ht="19.5" thickBot="1" x14ac:dyDescent="0.3">
      <c r="A21" s="6">
        <v>17</v>
      </c>
      <c r="B21" s="2" t="s">
        <v>24</v>
      </c>
      <c r="C21" s="3">
        <v>10629</v>
      </c>
      <c r="D21" s="12"/>
      <c r="E21" s="3"/>
      <c r="F21" s="5"/>
    </row>
    <row r="22" spans="1:6" ht="19.5" thickBot="1" x14ac:dyDescent="0.3">
      <c r="A22" s="6">
        <v>18</v>
      </c>
      <c r="B22" s="2" t="s">
        <v>25</v>
      </c>
      <c r="C22" s="3">
        <f>4699+3066</f>
        <v>7765</v>
      </c>
      <c r="D22" s="12">
        <v>7765</v>
      </c>
      <c r="E22" s="3"/>
      <c r="F22" s="5"/>
    </row>
    <row r="23" spans="1:6" ht="19.5" thickBot="1" x14ac:dyDescent="0.3">
      <c r="A23" s="6">
        <v>19</v>
      </c>
      <c r="B23" s="2" t="s">
        <v>26</v>
      </c>
      <c r="C23" s="3">
        <v>1940</v>
      </c>
      <c r="D23" s="12"/>
      <c r="E23" s="3"/>
      <c r="F23" s="5"/>
    </row>
    <row r="24" spans="1:6" ht="19.5" thickBot="1" x14ac:dyDescent="0.3">
      <c r="A24" s="6">
        <v>20</v>
      </c>
      <c r="B24" s="2" t="s">
        <v>27</v>
      </c>
      <c r="C24" s="3">
        <v>4557</v>
      </c>
      <c r="D24" s="12"/>
      <c r="E24" s="3"/>
      <c r="F24" s="5"/>
    </row>
    <row r="25" spans="1:6" ht="19.5" thickBot="1" x14ac:dyDescent="0.3">
      <c r="A25" s="6">
        <v>21</v>
      </c>
      <c r="B25" s="2" t="s">
        <v>28</v>
      </c>
      <c r="C25" s="3">
        <f>2558+3287+1415</f>
        <v>7260</v>
      </c>
      <c r="D25" s="12"/>
      <c r="E25" s="3"/>
      <c r="F25" s="5"/>
    </row>
    <row r="26" spans="1:6" ht="19.5" thickBot="1" x14ac:dyDescent="0.3">
      <c r="A26" s="6">
        <v>22</v>
      </c>
      <c r="B26" s="2" t="s">
        <v>29</v>
      </c>
      <c r="C26" s="3">
        <f>3177+5908</f>
        <v>9085</v>
      </c>
      <c r="D26" s="12"/>
      <c r="E26" s="3"/>
      <c r="F26" s="5"/>
    </row>
    <row r="27" spans="1:6" ht="19.5" thickBot="1" x14ac:dyDescent="0.3">
      <c r="A27" s="6">
        <v>23</v>
      </c>
      <c r="B27" s="2" t="s">
        <v>30</v>
      </c>
      <c r="C27" s="3">
        <v>6562</v>
      </c>
      <c r="D27" s="12"/>
      <c r="E27" s="3"/>
      <c r="F27" s="5"/>
    </row>
    <row r="28" spans="1:6" ht="19.5" thickBot="1" x14ac:dyDescent="0.3">
      <c r="A28" s="6">
        <v>24</v>
      </c>
      <c r="B28" s="2" t="s">
        <v>31</v>
      </c>
      <c r="C28" s="3">
        <v>2963</v>
      </c>
      <c r="D28" s="12"/>
      <c r="E28" s="3"/>
      <c r="F28" s="5"/>
    </row>
    <row r="29" spans="1:6" ht="19.5" thickBot="1" x14ac:dyDescent="0.3">
      <c r="A29" s="6">
        <v>25</v>
      </c>
      <c r="B29" s="2" t="s">
        <v>32</v>
      </c>
      <c r="C29" s="3">
        <v>4295</v>
      </c>
      <c r="D29" s="12"/>
      <c r="E29" s="3"/>
      <c r="F29" s="5"/>
    </row>
    <row r="30" spans="1:6" ht="19.5" thickBot="1" x14ac:dyDescent="0.3">
      <c r="A30" s="6">
        <v>26</v>
      </c>
      <c r="B30" s="2" t="s">
        <v>33</v>
      </c>
      <c r="C30" s="3">
        <f>2266+5200</f>
        <v>7466</v>
      </c>
      <c r="D30" s="12"/>
      <c r="E30" s="3"/>
      <c r="F30" s="5"/>
    </row>
    <row r="31" spans="1:6" ht="19.5" thickBot="1" x14ac:dyDescent="0.3">
      <c r="A31" s="6">
        <v>27</v>
      </c>
      <c r="B31" s="2" t="s">
        <v>34</v>
      </c>
      <c r="C31" s="3">
        <v>8163</v>
      </c>
      <c r="D31" s="12"/>
      <c r="E31" s="3"/>
      <c r="F31" s="5"/>
    </row>
    <row r="32" spans="1:6" ht="19.5" thickBot="1" x14ac:dyDescent="0.3">
      <c r="A32" s="6">
        <v>28</v>
      </c>
      <c r="B32" s="2" t="s">
        <v>35</v>
      </c>
      <c r="C32" s="3">
        <v>2238</v>
      </c>
      <c r="D32" s="12"/>
      <c r="E32" s="3"/>
      <c r="F32" s="5"/>
    </row>
    <row r="33" spans="1:6" ht="19.5" thickBot="1" x14ac:dyDescent="0.3">
      <c r="A33" s="6">
        <v>29</v>
      </c>
      <c r="B33" s="2" t="s">
        <v>36</v>
      </c>
      <c r="C33" s="3">
        <v>4675</v>
      </c>
      <c r="D33" s="12"/>
      <c r="E33" s="3"/>
      <c r="F33" s="5"/>
    </row>
    <row r="34" spans="1:6" ht="19.5" thickBot="1" x14ac:dyDescent="0.3">
      <c r="A34" s="6">
        <v>30</v>
      </c>
      <c r="B34" s="2" t="s">
        <v>37</v>
      </c>
      <c r="C34" s="3">
        <v>4557</v>
      </c>
      <c r="D34" s="12"/>
      <c r="E34" s="3"/>
      <c r="F34" s="5"/>
    </row>
    <row r="35" spans="1:6" ht="19.5" thickBot="1" x14ac:dyDescent="0.3">
      <c r="A35" s="6">
        <v>31</v>
      </c>
      <c r="B35" s="2" t="s">
        <v>38</v>
      </c>
      <c r="C35" s="3">
        <v>1506</v>
      </c>
      <c r="D35" s="12"/>
      <c r="E35" s="3"/>
      <c r="F35" s="5"/>
    </row>
    <row r="36" spans="1:6" ht="19.5" thickBot="1" x14ac:dyDescent="0.3">
      <c r="A36" s="6">
        <v>32</v>
      </c>
      <c r="B36" s="2"/>
      <c r="C36" s="3"/>
      <c r="D36" s="12"/>
      <c r="E36" s="3"/>
      <c r="F36" s="5"/>
    </row>
    <row r="37" spans="1:6" ht="19.5" thickBot="1" x14ac:dyDescent="0.3">
      <c r="A37" s="6">
        <v>33</v>
      </c>
      <c r="B37" s="2" t="s">
        <v>39</v>
      </c>
      <c r="C37" s="3">
        <v>100000</v>
      </c>
      <c r="D37" s="12"/>
      <c r="E37" s="3"/>
      <c r="F37" s="5"/>
    </row>
    <row r="38" spans="1:6" ht="19.5" thickBot="1" x14ac:dyDescent="0.3">
      <c r="A38" s="6">
        <v>34</v>
      </c>
      <c r="B38" s="2" t="s">
        <v>40</v>
      </c>
      <c r="C38" s="3">
        <v>20000</v>
      </c>
      <c r="D38" s="12"/>
      <c r="E38" s="3"/>
      <c r="F38" s="5"/>
    </row>
    <row r="39" spans="1:6" ht="19.5" thickBot="1" x14ac:dyDescent="0.3">
      <c r="A39" s="6">
        <v>35</v>
      </c>
      <c r="B39" s="2"/>
      <c r="C39" s="3"/>
      <c r="D39" s="12"/>
      <c r="E39" s="3"/>
      <c r="F39" s="5"/>
    </row>
    <row r="40" spans="1:6" ht="19.5" thickBot="1" x14ac:dyDescent="0.3">
      <c r="A40" s="6">
        <v>36</v>
      </c>
      <c r="B40" s="2"/>
      <c r="C40" s="3"/>
      <c r="D40" s="12"/>
      <c r="E40" s="3"/>
      <c r="F40" s="5"/>
    </row>
    <row r="41" spans="1:6" ht="19.5" thickBot="1" x14ac:dyDescent="0.3">
      <c r="A41" s="6">
        <v>37</v>
      </c>
      <c r="B41" s="2" t="s">
        <v>41</v>
      </c>
      <c r="C41" s="3">
        <f>-520-235300-5548-459</f>
        <v>-241827</v>
      </c>
      <c r="D41" s="12"/>
      <c r="E41" s="3"/>
      <c r="F41" s="5"/>
    </row>
    <row r="42" spans="1:6" ht="19.5" thickBot="1" x14ac:dyDescent="0.3">
      <c r="A42" s="6">
        <v>38</v>
      </c>
      <c r="B42" s="2" t="s">
        <v>1</v>
      </c>
      <c r="C42" s="3">
        <v>-73110</v>
      </c>
      <c r="D42" s="12"/>
      <c r="E42" s="3"/>
      <c r="F42" s="5"/>
    </row>
    <row r="43" spans="1:6" ht="19.5" thickBot="1" x14ac:dyDescent="0.3">
      <c r="A43" s="6">
        <v>39</v>
      </c>
      <c r="B43" s="2"/>
      <c r="C43" s="3"/>
      <c r="D43" s="12"/>
      <c r="E43" s="3"/>
      <c r="F43" s="5"/>
    </row>
    <row r="44" spans="1:6" ht="19.5" thickBot="1" x14ac:dyDescent="0.3">
      <c r="A44" s="6">
        <v>40</v>
      </c>
      <c r="B44" s="2"/>
      <c r="C44" s="3"/>
      <c r="D44" s="12"/>
      <c r="E44" s="3"/>
      <c r="F44" s="5"/>
    </row>
    <row r="45" spans="1:6" ht="19.5" thickBot="1" x14ac:dyDescent="0.3">
      <c r="A45" s="6">
        <v>41</v>
      </c>
      <c r="B45" s="2"/>
      <c r="C45" s="3"/>
      <c r="D45" s="12"/>
      <c r="E45" s="3"/>
      <c r="F45" s="5"/>
    </row>
    <row r="46" spans="1:6" ht="19.5" thickBot="1" x14ac:dyDescent="0.3">
      <c r="A46" s="6">
        <v>42</v>
      </c>
      <c r="B46" s="2"/>
      <c r="C46" s="3"/>
      <c r="D46" s="12"/>
      <c r="E46" s="3"/>
      <c r="F46" s="5"/>
    </row>
    <row r="47" spans="1:6" ht="19.5" thickBot="1" x14ac:dyDescent="0.3">
      <c r="A47" s="6">
        <v>43</v>
      </c>
      <c r="B47" s="2"/>
      <c r="C47" s="3"/>
      <c r="D47" s="12"/>
      <c r="E47" s="3"/>
      <c r="F47" s="5"/>
    </row>
    <row r="48" spans="1:6" ht="19.5" thickBot="1" x14ac:dyDescent="0.3">
      <c r="A48" s="6">
        <v>44</v>
      </c>
      <c r="B48" s="2"/>
      <c r="C48" s="3"/>
      <c r="D48" s="12"/>
      <c r="E48" s="3"/>
      <c r="F48" s="5"/>
    </row>
    <row r="49" spans="1:6" ht="19.5" thickBot="1" x14ac:dyDescent="0.3">
      <c r="A49" s="6">
        <v>45</v>
      </c>
      <c r="B49" s="2"/>
      <c r="C49" s="3"/>
      <c r="D49" s="12"/>
      <c r="E49" s="3"/>
      <c r="F49" s="5"/>
    </row>
    <row r="50" spans="1:6" ht="19.5" thickBot="1" x14ac:dyDescent="0.3">
      <c r="A50" s="6">
        <v>46</v>
      </c>
      <c r="B50" s="2"/>
      <c r="C50" s="3"/>
      <c r="D50" s="12"/>
      <c r="E50" s="3"/>
      <c r="F50" s="5"/>
    </row>
    <row r="51" spans="1:6" ht="19.5" thickBot="1" x14ac:dyDescent="0.3">
      <c r="A51" s="6">
        <v>47</v>
      </c>
      <c r="B51" s="2"/>
      <c r="C51" s="3"/>
      <c r="D51" s="12"/>
      <c r="E51" s="3"/>
      <c r="F51" s="5"/>
    </row>
    <row r="52" spans="1:6" ht="19.5" thickBot="1" x14ac:dyDescent="0.3">
      <c r="A52" s="6">
        <v>48</v>
      </c>
      <c r="B52" s="2"/>
      <c r="C52" s="3"/>
      <c r="D52" s="12"/>
      <c r="E52" s="3"/>
      <c r="F52" s="5"/>
    </row>
    <row r="53" spans="1:6" ht="19.5" thickBot="1" x14ac:dyDescent="0.3">
      <c r="A53" s="6">
        <v>49</v>
      </c>
      <c r="B53" s="2"/>
      <c r="C53" s="3"/>
      <c r="D53" s="12"/>
      <c r="E53" s="3"/>
      <c r="F53" s="5"/>
    </row>
    <row r="54" spans="1:6" ht="19.5" thickBot="1" x14ac:dyDescent="0.3">
      <c r="A54" s="6">
        <v>50</v>
      </c>
      <c r="B54" s="2"/>
      <c r="C54" s="3"/>
      <c r="D54" s="12"/>
      <c r="E54" s="3"/>
      <c r="F54" s="5"/>
    </row>
    <row r="55" spans="1:6" ht="19.5" thickBot="1" x14ac:dyDescent="0.3">
      <c r="A55" s="6">
        <v>51</v>
      </c>
      <c r="B55" s="2"/>
      <c r="C55" s="3"/>
      <c r="D55" s="12"/>
      <c r="E55" s="3"/>
      <c r="F55" s="5"/>
    </row>
    <row r="56" spans="1:6" ht="19.5" thickBot="1" x14ac:dyDescent="0.3">
      <c r="A56" s="6">
        <v>52</v>
      </c>
      <c r="B56" s="2"/>
      <c r="C56" s="3"/>
      <c r="D56" s="12"/>
      <c r="E56" s="3"/>
      <c r="F56" s="5"/>
    </row>
    <row r="57" spans="1:6" ht="19.5" thickBot="1" x14ac:dyDescent="0.3">
      <c r="A57" s="6">
        <v>53</v>
      </c>
      <c r="B57" s="2"/>
      <c r="C57" s="3"/>
      <c r="D57" s="12"/>
      <c r="E57" s="3"/>
      <c r="F57" s="5"/>
    </row>
    <row r="58" spans="1:6" ht="19.5" thickBot="1" x14ac:dyDescent="0.3">
      <c r="A58" s="6">
        <v>54</v>
      </c>
      <c r="B58" s="2"/>
      <c r="C58" s="3"/>
      <c r="D58" s="12"/>
      <c r="E58" s="3"/>
      <c r="F58" s="5"/>
    </row>
    <row r="59" spans="1:6" ht="19.5" thickBot="1" x14ac:dyDescent="0.3">
      <c r="A59" s="6">
        <v>55</v>
      </c>
      <c r="B59" s="2"/>
      <c r="C59" s="3"/>
      <c r="D59" s="12"/>
      <c r="E59" s="3"/>
      <c r="F59" s="5"/>
    </row>
    <row r="60" spans="1:6" ht="19.5" thickBot="1" x14ac:dyDescent="0.3">
      <c r="A60" s="6">
        <v>56</v>
      </c>
      <c r="B60" s="2"/>
      <c r="C60" s="3"/>
      <c r="D60" s="12"/>
      <c r="E60" s="3"/>
      <c r="F60" s="5"/>
    </row>
    <row r="61" spans="1:6" ht="19.5" thickBot="1" x14ac:dyDescent="0.3">
      <c r="A61" s="6">
        <v>57</v>
      </c>
      <c r="B61" s="2"/>
      <c r="C61" s="3"/>
      <c r="D61" s="12"/>
      <c r="E61" s="3"/>
      <c r="F61" s="5"/>
    </row>
    <row r="62" spans="1:6" ht="19.5" thickBot="1" x14ac:dyDescent="0.3">
      <c r="A62" s="6">
        <v>58</v>
      </c>
      <c r="B62" s="2"/>
      <c r="C62" s="3"/>
      <c r="D62" s="12"/>
      <c r="E62" s="3"/>
      <c r="F62" s="5"/>
    </row>
    <row r="63" spans="1:6" ht="19.5" thickBot="1" x14ac:dyDescent="0.3">
      <c r="A63" s="6">
        <v>59</v>
      </c>
      <c r="B63" s="2"/>
      <c r="C63" s="3"/>
      <c r="D63" s="12"/>
      <c r="E63" s="3"/>
      <c r="F63" s="5"/>
    </row>
    <row r="64" spans="1:6" ht="19.5" thickBot="1" x14ac:dyDescent="0.3">
      <c r="A64" s="6">
        <v>60</v>
      </c>
      <c r="B64" s="2"/>
      <c r="C64" s="3"/>
      <c r="D64" s="12"/>
      <c r="E64" s="3"/>
      <c r="F64" s="5"/>
    </row>
    <row r="65" spans="1:6" ht="19.5" thickBot="1" x14ac:dyDescent="0.3">
      <c r="A65" s="6">
        <v>61</v>
      </c>
      <c r="B65" s="2"/>
      <c r="C65" s="3"/>
      <c r="D65" s="12"/>
      <c r="E65" s="3"/>
      <c r="F65" s="5"/>
    </row>
    <row r="66" spans="1:6" ht="15.75" x14ac:dyDescent="0.25">
      <c r="B66" s="4"/>
      <c r="C66" s="4"/>
      <c r="D66" s="4"/>
      <c r="E66" s="4"/>
      <c r="F66" s="4"/>
    </row>
  </sheetData>
  <mergeCells count="8">
    <mergeCell ref="A1:D1"/>
    <mergeCell ref="D2:D3"/>
    <mergeCell ref="C2:C3"/>
    <mergeCell ref="E2:E3"/>
    <mergeCell ref="E1:F1"/>
    <mergeCell ref="F2:F3"/>
    <mergeCell ref="A2:B2"/>
    <mergeCell ref="A3:B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LeVeL infinity</dc:creator>
  <cp:lastModifiedBy>LeVeL infinity</cp:lastModifiedBy>
  <cp:lastPrinted>2024-11-07T13:53:46Z</cp:lastPrinted>
  <dcterms:created xsi:type="dcterms:W3CDTF">2024-10-17T15:06:39Z</dcterms:created>
  <dcterms:modified xsi:type="dcterms:W3CDTF">2025-01-14T02:47:44Z</dcterms:modified>
</cp:coreProperties>
</file>