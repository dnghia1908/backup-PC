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"/>
    </mc:Choice>
  </mc:AlternateContent>
  <xr:revisionPtr revIDLastSave="0" documentId="13_ncr:1_{54C56CC6-8E8C-4766-866C-F6D2DA11D64B}" xr6:coauthVersionLast="47" xr6:coauthVersionMax="47" xr10:uidLastSave="{00000000-0000-0000-0000-000000000000}"/>
  <bookViews>
    <workbookView xWindow="-108" yWindow="-108" windowWidth="30936" windowHeight="16776" activeTab="1" xr2:uid="{E07BE644-401E-415C-A696-4F36ACB4B1B8}"/>
  </bookViews>
  <sheets>
    <sheet name="Sheet1" sheetId="1" r:id="rId1"/>
    <sheet name="Tính đơn thị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2" l="1"/>
  <c r="B7" i="2"/>
  <c r="B25" i="2"/>
  <c r="E25" i="2"/>
  <c r="B3" i="2"/>
  <c r="B4" i="2"/>
  <c r="B5" i="2"/>
  <c r="B6" i="2"/>
  <c r="B8" i="2"/>
  <c r="B9" i="2"/>
  <c r="B10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6" i="2"/>
  <c r="B27" i="2"/>
  <c r="B28" i="2"/>
  <c r="B29" i="2"/>
  <c r="B30" i="2"/>
  <c r="B31" i="2"/>
  <c r="B2" i="2"/>
  <c r="E30" i="2"/>
  <c r="E29" i="2"/>
  <c r="E28" i="2"/>
  <c r="E31" i="2"/>
  <c r="E27" i="2"/>
  <c r="E26" i="2"/>
  <c r="E24" i="2"/>
  <c r="E23" i="2"/>
  <c r="E22" i="2"/>
  <c r="E3" i="2"/>
  <c r="E4" i="2"/>
  <c r="E5" i="2"/>
  <c r="E6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" i="2"/>
  <c r="D3" i="1"/>
  <c r="E3" i="1"/>
  <c r="F2" i="2" l="1"/>
</calcChain>
</file>

<file path=xl/sharedStrings.xml><?xml version="1.0" encoding="utf-8"?>
<sst xmlns="http://schemas.openxmlformats.org/spreadsheetml/2006/main" count="43" uniqueCount="40">
  <si>
    <t>TÊN SẢN PHẨM</t>
  </si>
  <si>
    <t>GIÁ VỐN</t>
  </si>
  <si>
    <t>THÀNH TIỀN</t>
  </si>
  <si>
    <t>THỜI GIAN ĐẶT</t>
  </si>
  <si>
    <t>TG BÁN DỰ KIẾN</t>
  </si>
  <si>
    <t>Tương ớt chinsu 520G</t>
  </si>
  <si>
    <t>SL ĐẶT</t>
  </si>
  <si>
    <t>ĐƠN GIÁ</t>
  </si>
  <si>
    <t>TẠM TÍNH</t>
  </si>
  <si>
    <t>Ba chỉ có da</t>
  </si>
  <si>
    <t>Ba chỉ không da</t>
  </si>
  <si>
    <t>Bắp heo rút xương</t>
  </si>
  <si>
    <t>Bắp heo cắt lát</t>
  </si>
  <si>
    <t>Má heo</t>
  </si>
  <si>
    <t>Lưỡi heo</t>
  </si>
  <si>
    <t>Tai heo</t>
  </si>
  <si>
    <t>Tràng heo</t>
  </si>
  <si>
    <t>Thịt mông</t>
  </si>
  <si>
    <t>Tim heo</t>
  </si>
  <si>
    <t>Móng heo cắt</t>
  </si>
  <si>
    <t xml:space="preserve">Sườn già </t>
  </si>
  <si>
    <t>Bắp bò</t>
  </si>
  <si>
    <t>Gà đông lạnh</t>
  </si>
  <si>
    <t>Vịt đông lạnh</t>
  </si>
  <si>
    <t>Chân gà rút xương</t>
  </si>
  <si>
    <t>Sách bò đen</t>
  </si>
  <si>
    <t>Lòng non</t>
  </si>
  <si>
    <t>Diềm gan</t>
  </si>
  <si>
    <t>Chân gà ngắn</t>
  </si>
  <si>
    <t>Chân gà dài</t>
  </si>
  <si>
    <t>Dạ dày</t>
  </si>
  <si>
    <t>Óc heo</t>
  </si>
  <si>
    <t>Cuống họng</t>
  </si>
  <si>
    <t>Sườn non</t>
  </si>
  <si>
    <t>TỔNG ĐƠN</t>
  </si>
  <si>
    <t>Vịt cắt sẵn</t>
  </si>
  <si>
    <t>Set lòng dồi</t>
  </si>
  <si>
    <t>Tiết đông lạnh</t>
  </si>
  <si>
    <t>Da heo</t>
  </si>
  <si>
    <t>Đuôi heo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</si>
</sst>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¥-411]#,##0"/>
  </numFmts>
  <fonts count="7" x14ac:knownFonts="1">
    <font>
      <sz val="11"/>
      <color theme="1"/>
      <name val="Arial"/>
      <family val="2"/>
      <charset val="163"/>
      <scheme val="minor"/>
    </font>
    <font>
      <sz val="13"/>
      <color theme="1"/>
      <name val="Times New Roman"/>
      <family val="1"/>
      <scheme val="major"/>
    </font>
    <font>
      <sz val="12"/>
      <color theme="1"/>
      <name val="Times New Roman"/>
      <family val="1"/>
      <scheme val="major"/>
    </font>
    <font>
      <b/>
      <sz val="13"/>
      <color theme="1"/>
      <name val="Times New Roman"/>
      <family val="1"/>
      <scheme val="major"/>
    </font>
    <font>
      <sz val="14"/>
      <color theme="1"/>
      <name val="Times New Roman"/>
      <family val="1"/>
      <scheme val="major"/>
    </font>
    <font>
      <b/>
      <sz val="14"/>
      <color theme="1"/>
      <name val="Times New Roman"/>
      <family val="1"/>
      <scheme val="major"/>
    </font>
    <font>
      <sz val="20"/>
      <color rgb="FFFF0000"/>
      <name val="Times New Roman"/>
      <family val="1"/>
      <scheme val="maj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2" fillId="3" borderId="1" xfId="0" applyFont="1" applyFill="1" applyBorder="1"/>
    <xf numFmtId="164" fontId="1" fillId="0" borderId="1" xfId="0" applyNumberFormat="1" applyFont="1" applyBorder="1"/>
    <xf numFmtId="0" fontId="1" fillId="0" borderId="1" xfId="0" applyFont="1" applyBorder="1"/>
    <xf numFmtId="0" fontId="1" fillId="3" borderId="1" xfId="0" applyFont="1" applyFill="1" applyBorder="1"/>
    <xf numFmtId="164" fontId="0" fillId="0" borderId="0" xfId="0" applyNumberFormat="1"/>
    <xf numFmtId="0" fontId="5" fillId="2" borderId="1" xfId="0" applyFont="1" applyFill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0" fontId="4" fillId="0" borderId="1" xfId="0" applyFont="1" applyBorder="1"/>
    <xf numFmtId="164" fontId="4" fillId="0" borderId="1" xfId="0" applyNumberFormat="1" applyFont="1" applyBorder="1"/>
    <xf numFmtId="0" fontId="4" fillId="4" borderId="1" xfId="0" applyFont="1" applyFill="1" applyBorder="1"/>
    <xf numFmtId="164" fontId="6" fillId="0" borderId="1" xfId="0" applyNumberFormat="1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691D-0A34-43F5-A9DF-2BF904A55B56}">
  <dimension ref="B2:G67"/>
  <sheetViews>
    <sheetView workbookViewId="0">
      <selection activeCell="G15" sqref="G15"/>
    </sheetView>
  </sheetViews>
  <sheetFormatPr defaultColWidth="21" defaultRowHeight="22.2" customHeight="1" x14ac:dyDescent="0.3"/>
  <cols>
    <col min="1" max="2" width="21" style="1"/>
    <col min="3" max="3" width="15.19921875" style="2" customWidth="1"/>
    <col min="4" max="4" width="15.19921875" style="1" customWidth="1"/>
    <col min="5" max="5" width="15.19921875" style="2" customWidth="1"/>
    <col min="6" max="16384" width="21" style="1"/>
  </cols>
  <sheetData>
    <row r="2" spans="2:7" ht="30" customHeight="1" x14ac:dyDescent="0.3">
      <c r="B2" s="3" t="s">
        <v>0</v>
      </c>
      <c r="C2" s="4" t="s">
        <v>1</v>
      </c>
      <c r="D2" s="3" t="s">
        <v>6</v>
      </c>
      <c r="E2" s="4" t="s">
        <v>2</v>
      </c>
      <c r="F2" s="3" t="s">
        <v>3</v>
      </c>
      <c r="G2" s="3" t="s">
        <v>4</v>
      </c>
    </row>
    <row r="3" spans="2:7" ht="22.2" customHeight="1" x14ac:dyDescent="0.3">
      <c r="B3" s="5" t="s">
        <v>5</v>
      </c>
      <c r="C3" s="6">
        <v>302</v>
      </c>
      <c r="D3" s="7">
        <f>36*12</f>
        <v>432</v>
      </c>
      <c r="E3" s="6">
        <f>D3*C3</f>
        <v>130464</v>
      </c>
      <c r="F3" s="7"/>
      <c r="G3" s="7"/>
    </row>
    <row r="4" spans="2:7" ht="22.2" customHeight="1" x14ac:dyDescent="0.3">
      <c r="B4" s="8"/>
      <c r="C4" s="6"/>
      <c r="D4" s="7"/>
      <c r="E4" s="6"/>
      <c r="F4" s="7"/>
      <c r="G4" s="7"/>
    </row>
    <row r="5" spans="2:7" ht="22.2" customHeight="1" x14ac:dyDescent="0.3">
      <c r="B5" s="8"/>
      <c r="C5" s="6"/>
      <c r="D5" s="7"/>
      <c r="E5" s="6"/>
      <c r="F5" s="7"/>
      <c r="G5" s="7"/>
    </row>
    <row r="6" spans="2:7" ht="22.2" customHeight="1" x14ac:dyDescent="0.3">
      <c r="B6" s="8"/>
      <c r="C6" s="6"/>
      <c r="D6" s="7"/>
      <c r="E6" s="6"/>
      <c r="F6" s="7"/>
      <c r="G6" s="7"/>
    </row>
    <row r="7" spans="2:7" ht="22.2" customHeight="1" x14ac:dyDescent="0.3">
      <c r="B7" s="8"/>
      <c r="C7" s="6"/>
      <c r="D7" s="7"/>
      <c r="E7" s="6"/>
      <c r="F7" s="7"/>
      <c r="G7" s="7"/>
    </row>
    <row r="8" spans="2:7" ht="22.2" customHeight="1" x14ac:dyDescent="0.3">
      <c r="B8" s="8"/>
      <c r="C8" s="6"/>
      <c r="D8" s="7"/>
      <c r="E8" s="6"/>
      <c r="F8" s="7"/>
      <c r="G8" s="7"/>
    </row>
    <row r="9" spans="2:7" ht="22.2" customHeight="1" x14ac:dyDescent="0.3">
      <c r="B9" s="8"/>
      <c r="C9" s="6"/>
      <c r="D9" s="7"/>
      <c r="E9" s="6"/>
      <c r="F9" s="7"/>
      <c r="G9" s="7"/>
    </row>
    <row r="10" spans="2:7" ht="22.2" customHeight="1" x14ac:dyDescent="0.3">
      <c r="B10" s="8"/>
      <c r="C10" s="6"/>
      <c r="D10" s="7"/>
      <c r="E10" s="6"/>
      <c r="F10" s="7"/>
      <c r="G10" s="7"/>
    </row>
    <row r="11" spans="2:7" ht="22.2" customHeight="1" x14ac:dyDescent="0.3">
      <c r="B11" s="8"/>
      <c r="C11" s="6"/>
      <c r="D11" s="7"/>
      <c r="E11" s="6"/>
      <c r="F11" s="7"/>
      <c r="G11" s="7"/>
    </row>
    <row r="12" spans="2:7" ht="22.2" customHeight="1" x14ac:dyDescent="0.3">
      <c r="B12" s="8"/>
      <c r="C12" s="6"/>
      <c r="D12" s="7"/>
      <c r="E12" s="6"/>
      <c r="F12" s="7"/>
      <c r="G12" s="7"/>
    </row>
    <row r="13" spans="2:7" ht="22.2" customHeight="1" x14ac:dyDescent="0.3">
      <c r="B13" s="8"/>
      <c r="C13" s="6"/>
      <c r="D13" s="7"/>
      <c r="E13" s="6"/>
      <c r="F13" s="7"/>
      <c r="G13" s="7"/>
    </row>
    <row r="14" spans="2:7" ht="22.2" customHeight="1" x14ac:dyDescent="0.3">
      <c r="B14" s="8"/>
      <c r="C14" s="6"/>
      <c r="D14" s="7"/>
      <c r="E14" s="6"/>
      <c r="F14" s="7"/>
      <c r="G14" s="7"/>
    </row>
    <row r="15" spans="2:7" ht="22.2" customHeight="1" x14ac:dyDescent="0.3">
      <c r="B15" s="8"/>
      <c r="C15" s="6"/>
      <c r="D15" s="7"/>
      <c r="E15" s="6"/>
      <c r="F15" s="7"/>
      <c r="G15" s="7"/>
    </row>
    <row r="16" spans="2:7" ht="22.2" customHeight="1" x14ac:dyDescent="0.3">
      <c r="B16" s="8"/>
      <c r="C16" s="6"/>
      <c r="D16" s="7"/>
      <c r="E16" s="6"/>
      <c r="F16" s="7"/>
      <c r="G16" s="7"/>
    </row>
    <row r="17" spans="2:7" ht="22.2" customHeight="1" x14ac:dyDescent="0.3">
      <c r="B17" s="8"/>
      <c r="C17" s="6"/>
      <c r="D17" s="7"/>
      <c r="E17" s="6"/>
      <c r="F17" s="7"/>
      <c r="G17" s="7"/>
    </row>
    <row r="18" spans="2:7" ht="22.2" customHeight="1" x14ac:dyDescent="0.3">
      <c r="B18" s="8"/>
      <c r="C18" s="6"/>
      <c r="D18" s="7"/>
      <c r="E18" s="6"/>
      <c r="F18" s="7"/>
      <c r="G18" s="7"/>
    </row>
    <row r="19" spans="2:7" ht="22.2" customHeight="1" x14ac:dyDescent="0.3">
      <c r="B19" s="8"/>
      <c r="C19" s="6"/>
      <c r="D19" s="7"/>
      <c r="E19" s="6"/>
      <c r="F19" s="7"/>
      <c r="G19" s="7"/>
    </row>
    <row r="20" spans="2:7" ht="22.2" customHeight="1" x14ac:dyDescent="0.3">
      <c r="B20" s="8"/>
      <c r="C20" s="6"/>
      <c r="D20" s="7"/>
      <c r="E20" s="6"/>
      <c r="F20" s="7"/>
      <c r="G20" s="7"/>
    </row>
    <row r="21" spans="2:7" ht="22.2" customHeight="1" x14ac:dyDescent="0.3">
      <c r="B21" s="8"/>
      <c r="C21" s="6"/>
      <c r="D21" s="7"/>
      <c r="E21" s="6"/>
      <c r="F21" s="7"/>
      <c r="G21" s="7"/>
    </row>
    <row r="22" spans="2:7" ht="22.2" customHeight="1" x14ac:dyDescent="0.3">
      <c r="B22" s="8"/>
      <c r="C22" s="6"/>
      <c r="D22" s="7"/>
      <c r="E22" s="6"/>
      <c r="F22" s="7"/>
      <c r="G22" s="7"/>
    </row>
    <row r="23" spans="2:7" ht="22.2" customHeight="1" x14ac:dyDescent="0.3">
      <c r="B23" s="8"/>
      <c r="C23" s="6"/>
      <c r="D23" s="7"/>
      <c r="E23" s="6"/>
      <c r="F23" s="7"/>
      <c r="G23" s="7"/>
    </row>
    <row r="24" spans="2:7" ht="22.2" customHeight="1" x14ac:dyDescent="0.3">
      <c r="B24" s="8"/>
      <c r="C24" s="6"/>
      <c r="D24" s="7"/>
      <c r="E24" s="6"/>
      <c r="F24" s="7"/>
      <c r="G24" s="7"/>
    </row>
    <row r="25" spans="2:7" ht="22.2" customHeight="1" x14ac:dyDescent="0.3">
      <c r="B25" s="8"/>
      <c r="C25" s="6"/>
      <c r="D25" s="7"/>
      <c r="E25" s="6"/>
      <c r="F25" s="7"/>
      <c r="G25" s="7"/>
    </row>
    <row r="26" spans="2:7" ht="22.2" customHeight="1" x14ac:dyDescent="0.3">
      <c r="B26" s="8"/>
      <c r="C26" s="6"/>
      <c r="D26" s="7"/>
      <c r="E26" s="6"/>
      <c r="F26" s="7"/>
      <c r="G26" s="7"/>
    </row>
    <row r="27" spans="2:7" ht="22.2" customHeight="1" x14ac:dyDescent="0.3">
      <c r="B27" s="8"/>
      <c r="C27" s="6"/>
      <c r="D27" s="7"/>
      <c r="E27" s="6"/>
      <c r="F27" s="7"/>
      <c r="G27" s="7"/>
    </row>
    <row r="28" spans="2:7" ht="22.2" customHeight="1" x14ac:dyDescent="0.3">
      <c r="B28" s="8"/>
      <c r="C28" s="6"/>
      <c r="D28" s="7"/>
      <c r="E28" s="6"/>
      <c r="F28" s="7"/>
      <c r="G28" s="7"/>
    </row>
    <row r="29" spans="2:7" ht="22.2" customHeight="1" x14ac:dyDescent="0.3">
      <c r="B29" s="8"/>
      <c r="C29" s="6"/>
      <c r="D29" s="7"/>
      <c r="E29" s="6"/>
      <c r="F29" s="7"/>
      <c r="G29" s="7"/>
    </row>
    <row r="30" spans="2:7" ht="22.2" customHeight="1" x14ac:dyDescent="0.3">
      <c r="B30" s="8"/>
      <c r="C30" s="6"/>
      <c r="D30" s="7"/>
      <c r="E30" s="6"/>
      <c r="F30" s="7"/>
      <c r="G30" s="7"/>
    </row>
    <row r="31" spans="2:7" ht="22.2" customHeight="1" x14ac:dyDescent="0.3">
      <c r="B31" s="8"/>
      <c r="C31" s="6"/>
      <c r="D31" s="7"/>
      <c r="E31" s="6"/>
      <c r="F31" s="7"/>
      <c r="G31" s="7"/>
    </row>
    <row r="32" spans="2:7" ht="22.2" customHeight="1" x14ac:dyDescent="0.3">
      <c r="B32" s="8"/>
      <c r="C32" s="6"/>
      <c r="D32" s="7"/>
      <c r="E32" s="6"/>
      <c r="F32" s="7"/>
      <c r="G32" s="7"/>
    </row>
    <row r="33" spans="2:7" ht="22.2" customHeight="1" x14ac:dyDescent="0.3">
      <c r="B33" s="8"/>
      <c r="C33" s="6"/>
      <c r="D33" s="7"/>
      <c r="E33" s="6"/>
      <c r="F33" s="7"/>
      <c r="G33" s="7"/>
    </row>
    <row r="34" spans="2:7" ht="22.2" customHeight="1" x14ac:dyDescent="0.3">
      <c r="B34" s="8"/>
      <c r="C34" s="6"/>
      <c r="D34" s="7"/>
      <c r="E34" s="6"/>
      <c r="F34" s="7"/>
      <c r="G34" s="7"/>
    </row>
    <row r="35" spans="2:7" ht="22.2" customHeight="1" x14ac:dyDescent="0.3">
      <c r="B35" s="8"/>
      <c r="C35" s="6"/>
      <c r="D35" s="7"/>
      <c r="E35" s="6"/>
      <c r="F35" s="7"/>
      <c r="G35" s="7"/>
    </row>
    <row r="36" spans="2:7" ht="22.2" customHeight="1" x14ac:dyDescent="0.3">
      <c r="B36" s="8"/>
      <c r="C36" s="6"/>
      <c r="D36" s="7"/>
      <c r="E36" s="6"/>
      <c r="F36" s="7"/>
      <c r="G36" s="7"/>
    </row>
    <row r="37" spans="2:7" ht="22.2" customHeight="1" x14ac:dyDescent="0.3">
      <c r="B37" s="8"/>
      <c r="C37" s="6"/>
      <c r="D37" s="7"/>
      <c r="E37" s="6"/>
      <c r="F37" s="7"/>
      <c r="G37" s="7"/>
    </row>
    <row r="38" spans="2:7" ht="22.2" customHeight="1" x14ac:dyDescent="0.3">
      <c r="B38" s="8"/>
      <c r="C38" s="6"/>
      <c r="D38" s="7"/>
      <c r="E38" s="6"/>
      <c r="F38" s="7"/>
      <c r="G38" s="7"/>
    </row>
    <row r="39" spans="2:7" ht="22.2" customHeight="1" x14ac:dyDescent="0.3">
      <c r="B39" s="8"/>
      <c r="C39" s="6"/>
      <c r="D39" s="7"/>
      <c r="E39" s="6"/>
      <c r="F39" s="7"/>
      <c r="G39" s="7"/>
    </row>
    <row r="40" spans="2:7" ht="22.2" customHeight="1" x14ac:dyDescent="0.3">
      <c r="B40" s="8"/>
      <c r="C40" s="6"/>
      <c r="D40" s="7"/>
      <c r="E40" s="6"/>
      <c r="F40" s="7"/>
      <c r="G40" s="7"/>
    </row>
    <row r="41" spans="2:7" ht="22.2" customHeight="1" x14ac:dyDescent="0.3">
      <c r="B41" s="8"/>
      <c r="C41" s="6"/>
      <c r="D41" s="7"/>
      <c r="E41" s="6"/>
      <c r="F41" s="7"/>
      <c r="G41" s="7"/>
    </row>
    <row r="42" spans="2:7" ht="22.2" customHeight="1" x14ac:dyDescent="0.3">
      <c r="B42" s="8"/>
      <c r="C42" s="6"/>
      <c r="D42" s="7"/>
      <c r="E42" s="6"/>
      <c r="F42" s="7"/>
      <c r="G42" s="7"/>
    </row>
    <row r="43" spans="2:7" ht="22.2" customHeight="1" x14ac:dyDescent="0.3">
      <c r="B43" s="8"/>
      <c r="C43" s="6"/>
      <c r="D43" s="7"/>
      <c r="E43" s="6"/>
      <c r="F43" s="7"/>
      <c r="G43" s="7"/>
    </row>
    <row r="44" spans="2:7" ht="22.2" customHeight="1" x14ac:dyDescent="0.3">
      <c r="B44" s="8"/>
      <c r="C44" s="6"/>
      <c r="D44" s="7"/>
      <c r="E44" s="6"/>
      <c r="F44" s="7"/>
      <c r="G44" s="7"/>
    </row>
    <row r="45" spans="2:7" ht="22.2" customHeight="1" x14ac:dyDescent="0.3">
      <c r="B45" s="8"/>
      <c r="C45" s="6"/>
      <c r="D45" s="7"/>
      <c r="E45" s="6"/>
      <c r="F45" s="7"/>
      <c r="G45" s="7"/>
    </row>
    <row r="46" spans="2:7" ht="22.2" customHeight="1" x14ac:dyDescent="0.3">
      <c r="B46" s="8"/>
      <c r="C46" s="6"/>
      <c r="D46" s="7"/>
      <c r="E46" s="6"/>
      <c r="F46" s="7"/>
      <c r="G46" s="7"/>
    </row>
    <row r="47" spans="2:7" ht="22.2" customHeight="1" x14ac:dyDescent="0.3">
      <c r="B47" s="8"/>
      <c r="C47" s="6"/>
      <c r="D47" s="7"/>
      <c r="E47" s="6"/>
      <c r="F47" s="7"/>
      <c r="G47" s="7"/>
    </row>
    <row r="48" spans="2:7" ht="22.2" customHeight="1" x14ac:dyDescent="0.3">
      <c r="B48" s="8"/>
      <c r="C48" s="6"/>
      <c r="D48" s="7"/>
      <c r="E48" s="6"/>
      <c r="F48" s="7"/>
      <c r="G48" s="7"/>
    </row>
    <row r="49" spans="2:7" ht="22.2" customHeight="1" x14ac:dyDescent="0.3">
      <c r="B49" s="8"/>
      <c r="C49" s="6"/>
      <c r="D49" s="7"/>
      <c r="E49" s="6"/>
      <c r="F49" s="7"/>
      <c r="G49" s="7"/>
    </row>
    <row r="50" spans="2:7" ht="22.2" customHeight="1" x14ac:dyDescent="0.3">
      <c r="B50" s="8"/>
      <c r="C50" s="6"/>
      <c r="D50" s="7"/>
      <c r="E50" s="6"/>
      <c r="F50" s="7"/>
      <c r="G50" s="7"/>
    </row>
    <row r="51" spans="2:7" ht="22.2" customHeight="1" x14ac:dyDescent="0.3">
      <c r="B51" s="8"/>
      <c r="C51" s="6"/>
      <c r="D51" s="7"/>
      <c r="E51" s="6"/>
      <c r="F51" s="7"/>
      <c r="G51" s="7"/>
    </row>
    <row r="52" spans="2:7" ht="22.2" customHeight="1" x14ac:dyDescent="0.3">
      <c r="B52" s="8"/>
      <c r="C52" s="6"/>
      <c r="D52" s="7"/>
      <c r="E52" s="6"/>
      <c r="F52" s="7"/>
      <c r="G52" s="7"/>
    </row>
    <row r="53" spans="2:7" ht="22.2" customHeight="1" x14ac:dyDescent="0.3">
      <c r="B53" s="8"/>
      <c r="C53" s="6"/>
      <c r="D53" s="7"/>
      <c r="E53" s="6"/>
      <c r="F53" s="7"/>
      <c r="G53" s="7"/>
    </row>
    <row r="54" spans="2:7" ht="22.2" customHeight="1" x14ac:dyDescent="0.3">
      <c r="B54" s="8"/>
      <c r="C54" s="6"/>
      <c r="D54" s="7"/>
      <c r="E54" s="6"/>
      <c r="F54" s="7"/>
      <c r="G54" s="7"/>
    </row>
    <row r="55" spans="2:7" ht="22.2" customHeight="1" x14ac:dyDescent="0.3">
      <c r="B55" s="8"/>
      <c r="C55" s="6"/>
      <c r="D55" s="7"/>
      <c r="E55" s="6"/>
      <c r="F55" s="7"/>
      <c r="G55" s="7"/>
    </row>
    <row r="56" spans="2:7" ht="22.2" customHeight="1" x14ac:dyDescent="0.3">
      <c r="B56" s="8"/>
      <c r="C56" s="6"/>
      <c r="D56" s="7"/>
      <c r="E56" s="6"/>
      <c r="F56" s="7"/>
      <c r="G56" s="7"/>
    </row>
    <row r="57" spans="2:7" ht="22.2" customHeight="1" x14ac:dyDescent="0.3">
      <c r="B57" s="8"/>
      <c r="C57" s="6"/>
      <c r="D57" s="7"/>
      <c r="E57" s="6"/>
      <c r="F57" s="7"/>
      <c r="G57" s="7"/>
    </row>
    <row r="58" spans="2:7" ht="22.2" customHeight="1" x14ac:dyDescent="0.3">
      <c r="B58" s="8"/>
      <c r="C58" s="6"/>
      <c r="D58" s="7"/>
      <c r="E58" s="6"/>
      <c r="F58" s="7"/>
      <c r="G58" s="7"/>
    </row>
    <row r="59" spans="2:7" ht="22.2" customHeight="1" x14ac:dyDescent="0.3">
      <c r="B59" s="8"/>
      <c r="C59" s="6"/>
      <c r="D59" s="7"/>
      <c r="E59" s="6"/>
      <c r="F59" s="7"/>
      <c r="G59" s="7"/>
    </row>
    <row r="60" spans="2:7" ht="22.2" customHeight="1" x14ac:dyDescent="0.3">
      <c r="B60" s="8"/>
      <c r="C60" s="6"/>
      <c r="D60" s="7"/>
      <c r="E60" s="6"/>
      <c r="F60" s="7"/>
      <c r="G60" s="7"/>
    </row>
    <row r="61" spans="2:7" ht="22.2" customHeight="1" x14ac:dyDescent="0.3">
      <c r="B61" s="8"/>
      <c r="C61" s="6"/>
      <c r="D61" s="7"/>
      <c r="E61" s="6"/>
      <c r="F61" s="7"/>
      <c r="G61" s="7"/>
    </row>
    <row r="62" spans="2:7" ht="22.2" customHeight="1" x14ac:dyDescent="0.3">
      <c r="B62" s="8"/>
      <c r="C62" s="6"/>
      <c r="D62" s="7"/>
      <c r="E62" s="6"/>
      <c r="F62" s="7"/>
      <c r="G62" s="7"/>
    </row>
    <row r="63" spans="2:7" ht="22.2" customHeight="1" x14ac:dyDescent="0.3">
      <c r="B63" s="8"/>
      <c r="C63" s="6"/>
      <c r="D63" s="7"/>
      <c r="E63" s="6"/>
      <c r="F63" s="7"/>
      <c r="G63" s="7"/>
    </row>
    <row r="64" spans="2:7" ht="22.2" customHeight="1" x14ac:dyDescent="0.3">
      <c r="B64" s="8"/>
      <c r="C64" s="6"/>
      <c r="D64" s="7"/>
      <c r="E64" s="6"/>
      <c r="F64" s="7"/>
      <c r="G64" s="7"/>
    </row>
    <row r="65" spans="2:7" ht="22.2" customHeight="1" x14ac:dyDescent="0.3">
      <c r="B65" s="8"/>
      <c r="C65" s="6"/>
      <c r="D65" s="7"/>
      <c r="E65" s="6"/>
      <c r="F65" s="7"/>
      <c r="G65" s="7"/>
    </row>
    <row r="66" spans="2:7" ht="22.2" customHeight="1" x14ac:dyDescent="0.3">
      <c r="B66" s="8"/>
      <c r="C66" s="6"/>
      <c r="D66" s="7"/>
      <c r="E66" s="6"/>
      <c r="F66" s="7"/>
      <c r="G66" s="7"/>
    </row>
    <row r="67" spans="2:7" ht="22.2" customHeight="1" x14ac:dyDescent="0.3">
      <c r="B67" s="8"/>
      <c r="C67" s="6"/>
      <c r="D67" s="7"/>
      <c r="E67" s="6"/>
      <c r="F67" s="7"/>
      <c r="G6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F632E-ABD9-4CA4-B0A6-3E2813277D77}">
  <dimension ref="A1:F31"/>
  <sheetViews>
    <sheetView tabSelected="1" workbookViewId="0">
      <selection activeCell="J10" sqref="J10"/>
    </sheetView>
  </sheetViews>
  <sheetFormatPr defaultRowHeight="23.4" customHeight="1" x14ac:dyDescent="0.25"/>
  <cols>
    <col min="1" max="1" width="18.69921875" bestFit="1" customWidth="1"/>
    <col min="2" max="2" width="9.3984375" bestFit="1" customWidth="1"/>
    <col min="3" max="3" width="11.5" style="9" bestFit="1" customWidth="1"/>
    <col min="4" max="4" width="9.3984375" bestFit="1" customWidth="1"/>
    <col min="5" max="5" width="13.3984375" style="9" bestFit="1" customWidth="1"/>
    <col min="6" max="6" width="16.19921875" customWidth="1"/>
  </cols>
  <sheetData>
    <row r="1" spans="1:6" ht="32.4" customHeight="1" x14ac:dyDescent="0.25">
      <c r="A1" s="10" t="s">
        <v>0</v>
      </c>
      <c r="B1" s="10" t="s">
        <v>6</v>
      </c>
      <c r="C1" s="11" t="s">
        <v>7</v>
      </c>
      <c r="D1" s="10" t="s">
        <v>6</v>
      </c>
      <c r="E1" s="11" t="s">
        <v>8</v>
      </c>
      <c r="F1" s="10" t="s">
        <v>34</v>
      </c>
    </row>
    <row r="2" spans="1:6" ht="23.4" customHeight="1" x14ac:dyDescent="0.45">
      <c r="A2" s="14" t="s">
        <v>9</v>
      </c>
      <c r="B2" s="12">
        <f>D2</f>
        <v>100</v>
      </c>
      <c r="C2" s="13">
        <v>982</v>
      </c>
      <c r="D2" s="12">
        <v>100</v>
      </c>
      <c r="E2" s="13">
        <f>D2*C2</f>
        <v>98200</v>
      </c>
      <c r="F2" s="15">
        <f>SUM(E2:E45)</f>
        <v>604810</v>
      </c>
    </row>
    <row r="3" spans="1:6" ht="23.4" customHeight="1" x14ac:dyDescent="0.35">
      <c r="A3" s="14" t="s">
        <v>10</v>
      </c>
      <c r="B3" s="12">
        <f t="shared" ref="B3:B31" si="0">D3</f>
        <v>30</v>
      </c>
      <c r="C3" s="13">
        <v>982</v>
      </c>
      <c r="D3" s="12">
        <v>30</v>
      </c>
      <c r="E3" s="13">
        <f t="shared" ref="E3:E31" si="1">D3*C3</f>
        <v>29460</v>
      </c>
      <c r="F3" s="16"/>
    </row>
    <row r="4" spans="1:6" ht="23.4" customHeight="1" x14ac:dyDescent="0.35">
      <c r="A4" s="14" t="s">
        <v>11</v>
      </c>
      <c r="B4" s="12">
        <f t="shared" si="0"/>
        <v>30</v>
      </c>
      <c r="C4" s="13">
        <v>810</v>
      </c>
      <c r="D4" s="12">
        <v>30</v>
      </c>
      <c r="E4" s="13">
        <f t="shared" si="1"/>
        <v>24300</v>
      </c>
      <c r="F4" s="17"/>
    </row>
    <row r="5" spans="1:6" ht="23.4" customHeight="1" x14ac:dyDescent="0.35">
      <c r="A5" s="14" t="s">
        <v>12</v>
      </c>
      <c r="B5" s="12">
        <f t="shared" si="0"/>
        <v>50</v>
      </c>
      <c r="C5" s="13">
        <v>635</v>
      </c>
      <c r="D5" s="12">
        <v>50</v>
      </c>
      <c r="E5" s="13">
        <f t="shared" si="1"/>
        <v>31750</v>
      </c>
      <c r="F5" s="17"/>
    </row>
    <row r="6" spans="1:6" ht="23.4" customHeight="1" x14ac:dyDescent="0.35">
      <c r="A6" s="14" t="s">
        <v>13</v>
      </c>
      <c r="B6" s="12">
        <f t="shared" si="0"/>
        <v>10</v>
      </c>
      <c r="C6" s="13">
        <v>550</v>
      </c>
      <c r="D6" s="12">
        <v>10</v>
      </c>
      <c r="E6" s="13">
        <f t="shared" si="1"/>
        <v>5500</v>
      </c>
      <c r="F6" s="17"/>
    </row>
    <row r="7" spans="1:6" ht="23.4" customHeight="1" x14ac:dyDescent="0.35">
      <c r="A7" s="14" t="s">
        <v>39</v>
      </c>
      <c r="B7" s="12">
        <f t="shared" si="0"/>
        <v>30</v>
      </c>
      <c r="C7" s="13">
        <v>400</v>
      </c>
      <c r="D7" s="12">
        <v>30</v>
      </c>
      <c r="E7" s="13">
        <f t="shared" si="1"/>
        <v>12000</v>
      </c>
      <c r="F7" s="17"/>
    </row>
    <row r="8" spans="1:6" ht="23.4" customHeight="1" x14ac:dyDescent="0.35">
      <c r="A8" s="14" t="s">
        <v>14</v>
      </c>
      <c r="B8" s="12">
        <f t="shared" si="0"/>
        <v>0</v>
      </c>
      <c r="C8" s="13">
        <v>750</v>
      </c>
      <c r="D8" s="12"/>
      <c r="E8" s="13">
        <f t="shared" si="1"/>
        <v>0</v>
      </c>
      <c r="F8" s="17"/>
    </row>
    <row r="9" spans="1:6" ht="23.4" customHeight="1" x14ac:dyDescent="0.35">
      <c r="A9" s="14" t="s">
        <v>15</v>
      </c>
      <c r="B9" s="12">
        <f t="shared" si="0"/>
        <v>0</v>
      </c>
      <c r="C9" s="13">
        <v>415</v>
      </c>
      <c r="D9" s="12"/>
      <c r="E9" s="13">
        <f t="shared" si="1"/>
        <v>0</v>
      </c>
      <c r="F9" s="17"/>
    </row>
    <row r="10" spans="1:6" ht="23.4" customHeight="1" x14ac:dyDescent="0.35">
      <c r="A10" s="14" t="s">
        <v>16</v>
      </c>
      <c r="B10" s="12">
        <f t="shared" si="0"/>
        <v>0</v>
      </c>
      <c r="C10" s="13">
        <v>750</v>
      </c>
      <c r="D10" s="12"/>
      <c r="E10" s="13">
        <f t="shared" si="1"/>
        <v>0</v>
      </c>
      <c r="F10" s="17"/>
    </row>
    <row r="11" spans="1:6" ht="23.4" customHeight="1" x14ac:dyDescent="0.35">
      <c r="A11" s="14" t="s">
        <v>17</v>
      </c>
      <c r="B11" s="12">
        <v>20</v>
      </c>
      <c r="C11" s="13">
        <v>750</v>
      </c>
      <c r="D11" s="12"/>
      <c r="E11" s="13">
        <f t="shared" si="1"/>
        <v>0</v>
      </c>
      <c r="F11" s="17"/>
    </row>
    <row r="12" spans="1:6" ht="23.4" customHeight="1" x14ac:dyDescent="0.35">
      <c r="A12" s="14" t="s">
        <v>18</v>
      </c>
      <c r="B12" s="12">
        <f t="shared" si="0"/>
        <v>0</v>
      </c>
      <c r="C12" s="13">
        <v>350</v>
      </c>
      <c r="D12" s="12"/>
      <c r="E12" s="13">
        <f t="shared" si="1"/>
        <v>0</v>
      </c>
      <c r="F12" s="17"/>
    </row>
    <row r="13" spans="1:6" ht="23.4" customHeight="1" x14ac:dyDescent="0.35">
      <c r="A13" s="14" t="s">
        <v>19</v>
      </c>
      <c r="B13" s="12">
        <f t="shared" si="0"/>
        <v>70</v>
      </c>
      <c r="C13" s="13">
        <v>245</v>
      </c>
      <c r="D13" s="12">
        <v>70</v>
      </c>
      <c r="E13" s="13">
        <f t="shared" si="1"/>
        <v>17150</v>
      </c>
      <c r="F13" s="17"/>
    </row>
    <row r="14" spans="1:6" ht="23.4" customHeight="1" x14ac:dyDescent="0.35">
      <c r="A14" s="14" t="s">
        <v>20</v>
      </c>
      <c r="B14" s="12">
        <f t="shared" si="0"/>
        <v>0</v>
      </c>
      <c r="C14" s="13">
        <v>865</v>
      </c>
      <c r="D14" s="12"/>
      <c r="E14" s="13">
        <f t="shared" si="1"/>
        <v>0</v>
      </c>
      <c r="F14" s="17"/>
    </row>
    <row r="15" spans="1:6" ht="23.4" customHeight="1" x14ac:dyDescent="0.35">
      <c r="A15" s="14" t="s">
        <v>21</v>
      </c>
      <c r="B15" s="12">
        <f t="shared" si="0"/>
        <v>80</v>
      </c>
      <c r="C15" s="13">
        <v>1685</v>
      </c>
      <c r="D15" s="12">
        <v>80</v>
      </c>
      <c r="E15" s="13">
        <f t="shared" si="1"/>
        <v>134800</v>
      </c>
      <c r="F15" s="17"/>
    </row>
    <row r="16" spans="1:6" ht="23.4" customHeight="1" x14ac:dyDescent="0.35">
      <c r="A16" s="14" t="s">
        <v>22</v>
      </c>
      <c r="B16" s="12">
        <f t="shared" si="0"/>
        <v>0</v>
      </c>
      <c r="C16" s="13">
        <v>515</v>
      </c>
      <c r="D16" s="12"/>
      <c r="E16" s="13">
        <f t="shared" si="1"/>
        <v>0</v>
      </c>
      <c r="F16" s="17"/>
    </row>
    <row r="17" spans="1:6" ht="23.4" customHeight="1" x14ac:dyDescent="0.35">
      <c r="A17" s="14" t="s">
        <v>23</v>
      </c>
      <c r="B17" s="12">
        <f t="shared" si="0"/>
        <v>60</v>
      </c>
      <c r="C17" s="13">
        <v>1060</v>
      </c>
      <c r="D17" s="12">
        <v>60</v>
      </c>
      <c r="E17" s="13">
        <f t="shared" si="1"/>
        <v>63600</v>
      </c>
      <c r="F17" s="17"/>
    </row>
    <row r="18" spans="1:6" ht="23.4" customHeight="1" x14ac:dyDescent="0.35">
      <c r="A18" s="14" t="s">
        <v>24</v>
      </c>
      <c r="B18" s="12">
        <f t="shared" si="0"/>
        <v>50</v>
      </c>
      <c r="C18" s="13">
        <v>1000</v>
      </c>
      <c r="D18" s="12">
        <v>50</v>
      </c>
      <c r="E18" s="13">
        <f t="shared" si="1"/>
        <v>50000</v>
      </c>
      <c r="F18" s="17"/>
    </row>
    <row r="19" spans="1:6" ht="23.4" customHeight="1" x14ac:dyDescent="0.35">
      <c r="A19" s="14" t="s">
        <v>25</v>
      </c>
      <c r="B19" s="12">
        <f t="shared" si="0"/>
        <v>20</v>
      </c>
      <c r="C19" s="13">
        <v>650</v>
      </c>
      <c r="D19" s="12">
        <v>20</v>
      </c>
      <c r="E19" s="13">
        <f t="shared" si="1"/>
        <v>13000</v>
      </c>
      <c r="F19" s="17"/>
    </row>
    <row r="20" spans="1:6" ht="23.4" customHeight="1" x14ac:dyDescent="0.35">
      <c r="A20" s="14" t="s">
        <v>26</v>
      </c>
      <c r="B20" s="12">
        <f t="shared" si="0"/>
        <v>20</v>
      </c>
      <c r="C20" s="13">
        <v>400</v>
      </c>
      <c r="D20" s="12">
        <v>20</v>
      </c>
      <c r="E20" s="13">
        <f t="shared" si="1"/>
        <v>8000</v>
      </c>
      <c r="F20" s="17"/>
    </row>
    <row r="21" spans="1:6" ht="23.4" customHeight="1" x14ac:dyDescent="0.35">
      <c r="A21" s="14" t="s">
        <v>27</v>
      </c>
      <c r="B21" s="12">
        <f t="shared" si="0"/>
        <v>10</v>
      </c>
      <c r="C21" s="13">
        <v>580</v>
      </c>
      <c r="D21" s="12">
        <v>10</v>
      </c>
      <c r="E21" s="13">
        <f t="shared" si="1"/>
        <v>5800</v>
      </c>
      <c r="F21" s="17"/>
    </row>
    <row r="22" spans="1:6" ht="23.4" customHeight="1" x14ac:dyDescent="0.35">
      <c r="A22" s="14" t="s">
        <v>28</v>
      </c>
      <c r="B22" s="12">
        <f t="shared" si="0"/>
        <v>30</v>
      </c>
      <c r="C22" s="13">
        <v>270</v>
      </c>
      <c r="D22" s="12">
        <v>30</v>
      </c>
      <c r="E22" s="13">
        <f t="shared" si="1"/>
        <v>8100</v>
      </c>
      <c r="F22" s="17"/>
    </row>
    <row r="23" spans="1:6" ht="23.4" customHeight="1" x14ac:dyDescent="0.35">
      <c r="A23" s="14" t="s">
        <v>29</v>
      </c>
      <c r="B23" s="12">
        <f t="shared" si="0"/>
        <v>50</v>
      </c>
      <c r="C23" s="13">
        <v>345</v>
      </c>
      <c r="D23" s="12">
        <v>50</v>
      </c>
      <c r="E23" s="13">
        <f t="shared" si="1"/>
        <v>17250</v>
      </c>
      <c r="F23" s="17"/>
    </row>
    <row r="24" spans="1:6" ht="23.4" customHeight="1" x14ac:dyDescent="0.35">
      <c r="A24" s="14" t="s">
        <v>30</v>
      </c>
      <c r="B24" s="12">
        <f t="shared" si="0"/>
        <v>20</v>
      </c>
      <c r="C24" s="13">
        <v>350</v>
      </c>
      <c r="D24" s="12">
        <v>20</v>
      </c>
      <c r="E24" s="13">
        <f t="shared" si="1"/>
        <v>7000</v>
      </c>
      <c r="F24" s="17"/>
    </row>
    <row r="25" spans="1:6" ht="23.4" customHeight="1" x14ac:dyDescent="0.35">
      <c r="A25" s="14" t="s">
        <v>38</v>
      </c>
      <c r="B25" s="12">
        <f t="shared" si="0"/>
        <v>20</v>
      </c>
      <c r="C25" s="13">
        <v>400</v>
      </c>
      <c r="D25" s="12">
        <v>20</v>
      </c>
      <c r="E25" s="13">
        <f t="shared" si="1"/>
        <v>8000</v>
      </c>
      <c r="F25" s="17"/>
    </row>
    <row r="26" spans="1:6" ht="23.4" customHeight="1" x14ac:dyDescent="0.35">
      <c r="A26" s="14" t="s">
        <v>31</v>
      </c>
      <c r="B26" s="12">
        <f t="shared" si="0"/>
        <v>10</v>
      </c>
      <c r="C26" s="13">
        <v>950</v>
      </c>
      <c r="D26" s="12">
        <v>10</v>
      </c>
      <c r="E26" s="13">
        <f t="shared" si="1"/>
        <v>9500</v>
      </c>
      <c r="F26" s="17"/>
    </row>
    <row r="27" spans="1:6" ht="23.4" customHeight="1" x14ac:dyDescent="0.35">
      <c r="A27" s="14" t="s">
        <v>32</v>
      </c>
      <c r="B27" s="12">
        <f t="shared" si="0"/>
        <v>20</v>
      </c>
      <c r="C27" s="13">
        <v>350</v>
      </c>
      <c r="D27" s="12">
        <v>20</v>
      </c>
      <c r="E27" s="13">
        <f t="shared" si="1"/>
        <v>7000</v>
      </c>
      <c r="F27" s="17"/>
    </row>
    <row r="28" spans="1:6" ht="23.4" customHeight="1" x14ac:dyDescent="0.35">
      <c r="A28" s="14" t="s">
        <v>35</v>
      </c>
      <c r="B28" s="12">
        <f t="shared" si="0"/>
        <v>20</v>
      </c>
      <c r="C28" s="13">
        <v>625</v>
      </c>
      <c r="D28" s="12">
        <v>20</v>
      </c>
      <c r="E28" s="13">
        <f t="shared" ref="E28:E30" si="2">D28*C28</f>
        <v>12500</v>
      </c>
      <c r="F28" s="17"/>
    </row>
    <row r="29" spans="1:6" ht="23.4" customHeight="1" x14ac:dyDescent="0.35">
      <c r="A29" s="14" t="s">
        <v>36</v>
      </c>
      <c r="B29" s="12">
        <f t="shared" si="0"/>
        <v>20</v>
      </c>
      <c r="C29" s="13">
        <v>930</v>
      </c>
      <c r="D29" s="12">
        <v>20</v>
      </c>
      <c r="E29" s="13">
        <f t="shared" si="2"/>
        <v>18600</v>
      </c>
      <c r="F29" s="17"/>
    </row>
    <row r="30" spans="1:6" ht="23.4" customHeight="1" x14ac:dyDescent="0.35">
      <c r="A30" s="14" t="s">
        <v>37</v>
      </c>
      <c r="B30" s="12">
        <f t="shared" si="0"/>
        <v>20</v>
      </c>
      <c r="C30" s="13">
        <v>500</v>
      </c>
      <c r="D30" s="12">
        <v>20</v>
      </c>
      <c r="E30" s="13">
        <f t="shared" si="2"/>
        <v>10000</v>
      </c>
      <c r="F30" s="17"/>
    </row>
    <row r="31" spans="1:6" ht="23.4" customHeight="1" x14ac:dyDescent="0.35">
      <c r="A31" s="14" t="s">
        <v>33</v>
      </c>
      <c r="B31" s="12">
        <f t="shared" si="0"/>
        <v>20</v>
      </c>
      <c r="C31" s="13">
        <v>665</v>
      </c>
      <c r="D31" s="12">
        <v>20</v>
      </c>
      <c r="E31" s="13">
        <f t="shared" si="1"/>
        <v>13300</v>
      </c>
      <c r="F31" s="18"/>
    </row>
  </sheetData>
  <mergeCells count="1">
    <mergeCell ref="F3:F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Tính đơn thịt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dcterms:created xsi:type="dcterms:W3CDTF">2025-11-16T16:56:59Z</dcterms:created>
  <dcterms:modified xsi:type="dcterms:W3CDTF">2025-12-27T16:33:07Z</dcterms:modified>
</cp:coreProperties>
</file>