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Bảng giá\"/>
    </mc:Choice>
  </mc:AlternateContent>
  <xr:revisionPtr revIDLastSave="0" documentId="13_ncr:1_{D909D6F2-D8B9-40DC-8D31-AA2EEA28274C}" xr6:coauthVersionLast="47" xr6:coauthVersionMax="47" xr10:uidLastSave="{00000000-0000-0000-0000-000000000000}"/>
  <bookViews>
    <workbookView minimized="1" xWindow="-27840" yWindow="2520" windowWidth="21600" windowHeight="11235" xr2:uid="{3EFFAD04-8969-4A95-BA88-A84F2805AFBC}"/>
  </bookViews>
  <sheets>
    <sheet name="2026_03_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L23" i="1"/>
  <c r="L24" i="1"/>
  <c r="L25" i="1"/>
  <c r="L26" i="1"/>
  <c r="L27" i="1"/>
  <c r="L28" i="1"/>
  <c r="J22" i="1"/>
  <c r="J23" i="1"/>
  <c r="J24" i="1"/>
  <c r="J25" i="1"/>
  <c r="J26" i="1"/>
  <c r="J27" i="1"/>
  <c r="J28" i="1"/>
  <c r="I22" i="1"/>
  <c r="I23" i="1"/>
  <c r="I24" i="1"/>
  <c r="I25" i="1"/>
  <c r="I26" i="1"/>
  <c r="I27" i="1"/>
  <c r="I28" i="1"/>
  <c r="A22" i="1"/>
  <c r="A23" i="1"/>
  <c r="A24" i="1"/>
  <c r="A25" i="1"/>
  <c r="A26" i="1"/>
  <c r="A27" i="1"/>
  <c r="A28" i="1"/>
  <c r="A29" i="1"/>
  <c r="K8" i="1"/>
  <c r="L8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8" i="1"/>
  <c r="K29" i="1"/>
  <c r="L29" i="1" s="1"/>
  <c r="K7" i="1"/>
  <c r="L7" i="1" s="1"/>
  <c r="J16" i="1"/>
  <c r="J17" i="1"/>
  <c r="J18" i="1"/>
  <c r="J19" i="1"/>
  <c r="J20" i="1"/>
  <c r="I16" i="1"/>
  <c r="I17" i="1"/>
  <c r="I18" i="1"/>
  <c r="I19" i="1"/>
  <c r="I20" i="1"/>
  <c r="A16" i="1"/>
  <c r="A17" i="1"/>
  <c r="A18" i="1"/>
  <c r="A19" i="1"/>
  <c r="A20" i="1"/>
  <c r="L4" i="1"/>
  <c r="L5" i="1"/>
  <c r="L6" i="1"/>
  <c r="L9" i="1"/>
  <c r="L10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21" i="1"/>
  <c r="J29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21" i="1"/>
  <c r="I29" i="1"/>
  <c r="I3" i="1"/>
  <c r="A4" i="1"/>
  <c r="A5" i="1"/>
  <c r="A6" i="1"/>
  <c r="A7" i="1"/>
  <c r="A8" i="1"/>
  <c r="A9" i="1"/>
  <c r="A10" i="1"/>
  <c r="A11" i="1"/>
  <c r="A12" i="1"/>
  <c r="A13" i="1"/>
  <c r="A14" i="1"/>
  <c r="A15" i="1"/>
  <c r="A21" i="1"/>
  <c r="A3" i="1"/>
  <c r="J30" i="1" l="1"/>
  <c r="L30" i="1"/>
  <c r="M30" i="1" s="1"/>
</calcChain>
</file>

<file path=xl/sharedStrings.xml><?xml version="1.0" encoding="utf-8"?>
<sst xmlns="http://schemas.openxmlformats.org/spreadsheetml/2006/main" count="34" uniqueCount="32">
  <si>
    <t>STT</t>
  </si>
  <si>
    <t>TÊN SẢN PHẨM</t>
  </si>
  <si>
    <t>GIÁ VỐN</t>
  </si>
  <si>
    <t>GIÁ BÁN</t>
  </si>
  <si>
    <t>GIÁ HIỆN TẠI</t>
  </si>
  <si>
    <t>GIÁ MỚI</t>
  </si>
  <si>
    <t>CHÈN HÀNG</t>
  </si>
  <si>
    <t>TRÀ XANH KHÔNG ĐỘ</t>
  </si>
  <si>
    <t>NGÀY ÁP DỤNG</t>
  </si>
  <si>
    <t>TRÀ XANH C2</t>
  </si>
  <si>
    <t>NUMBER ONE</t>
  </si>
  <si>
    <t>NƯỚC MÍA TẮC</t>
  </si>
  <si>
    <t>NƯỚC DỪA 1L</t>
  </si>
  <si>
    <t>SẢ TƯƠI 500G</t>
  </si>
  <si>
    <t>HẢO HẢO THÙNG</t>
  </si>
  <si>
    <t>FAMI NGUYÊN CHẤT THÙNG</t>
  </si>
  <si>
    <t>BÚN TƯƠI SAFOCO</t>
  </si>
  <si>
    <t>LẨU THÁI AJIQICK</t>
  </si>
  <si>
    <t>SỐ LƯỢNG BÁN
TB THÁNG</t>
  </si>
  <si>
    <t>DOANH THU
TB THÁNG</t>
  </si>
  <si>
    <t>LỢI NHUẬN
TB THÁNG</t>
  </si>
  <si>
    <t>SỐ LƯỢNG BÁN
MỤC TIÊU
TB THÁNG</t>
  </si>
  <si>
    <t>LỢI NHUẬN
MỤC TIÊU
TB THÁNG</t>
  </si>
  <si>
    <t>BÚN BÒ HUẾ AJIQICK</t>
  </si>
  <si>
    <t>PHỞ BÒ AJIQICK</t>
  </si>
  <si>
    <t>BÚN RIÊU CUA AJIQICK</t>
  </si>
  <si>
    <t>TƯƠNG ỚT VIFON</t>
  </si>
  <si>
    <t>GIA VỊ THỊT KHO TÀU KNORR</t>
  </si>
  <si>
    <t>GIA VỊ CÁ KHO RIỀNG KNORR</t>
  </si>
  <si>
    <t xml:space="preserve">PINATSU CỐT DỪA </t>
  </si>
  <si>
    <t>PINATSU MỰC CAY</t>
  </si>
  <si>
    <t>MÓNG HEO CẮT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</si>
</sst>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6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8"/>
      <color theme="0"/>
      <name val="Times New Roman"/>
      <family val="1"/>
      <scheme val="major"/>
    </font>
    <font>
      <b/>
      <sz val="8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vertical="center"/>
    </xf>
    <xf numFmtId="164" fontId="1" fillId="5" borderId="5" xfId="0" applyNumberFormat="1" applyFont="1" applyFill="1" applyBorder="1"/>
    <xf numFmtId="164" fontId="1" fillId="5" borderId="6" xfId="0" applyNumberFormat="1" applyFont="1" applyFill="1" applyBorder="1"/>
    <xf numFmtId="164" fontId="1" fillId="0" borderId="9" xfId="0" applyNumberFormat="1" applyFont="1" applyBorder="1"/>
    <xf numFmtId="164" fontId="1" fillId="0" borderId="8" xfId="0" applyNumberFormat="1" applyFont="1" applyBorder="1"/>
    <xf numFmtId="164" fontId="1" fillId="7" borderId="0" xfId="0" applyNumberFormat="1" applyFont="1" applyFill="1"/>
    <xf numFmtId="14" fontId="1" fillId="0" borderId="6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AF75-4181-41FB-9F6D-2D7B4ABFB803}">
  <dimension ref="A1:M30"/>
  <sheetViews>
    <sheetView tabSelected="1" workbookViewId="0">
      <selection activeCell="M13" sqref="M13"/>
    </sheetView>
  </sheetViews>
  <sheetFormatPr defaultColWidth="17.69921875" defaultRowHeight="29.4" customHeight="1" x14ac:dyDescent="0.35"/>
  <cols>
    <col min="1" max="1" width="6.59765625" style="1" customWidth="1"/>
    <col min="2" max="2" width="39" style="1" customWidth="1"/>
    <col min="3" max="6" width="9" style="1" customWidth="1"/>
    <col min="7" max="7" width="20.296875" style="1" customWidth="1"/>
    <col min="8" max="9" width="16.8984375" style="1" customWidth="1"/>
    <col min="10" max="16384" width="17.69921875" style="1"/>
  </cols>
  <sheetData>
    <row r="1" spans="1:12" ht="29.4" customHeight="1" x14ac:dyDescent="0.35">
      <c r="A1" s="27" t="s">
        <v>0</v>
      </c>
      <c r="B1" s="29" t="s">
        <v>1</v>
      </c>
      <c r="C1" s="31" t="s">
        <v>2</v>
      </c>
      <c r="D1" s="31"/>
      <c r="E1" s="35" t="s">
        <v>3</v>
      </c>
      <c r="F1" s="36"/>
      <c r="G1" s="37" t="s">
        <v>8</v>
      </c>
      <c r="H1" s="21" t="s">
        <v>18</v>
      </c>
      <c r="I1" s="23" t="s">
        <v>19</v>
      </c>
      <c r="J1" s="23" t="s">
        <v>20</v>
      </c>
      <c r="K1" s="23" t="s">
        <v>21</v>
      </c>
      <c r="L1" s="25" t="s">
        <v>22</v>
      </c>
    </row>
    <row r="2" spans="1:12" ht="29.4" customHeight="1" x14ac:dyDescent="0.35">
      <c r="A2" s="28"/>
      <c r="B2" s="30"/>
      <c r="C2" s="10" t="s">
        <v>4</v>
      </c>
      <c r="D2" s="10" t="s">
        <v>5</v>
      </c>
      <c r="E2" s="11" t="s">
        <v>4</v>
      </c>
      <c r="F2" s="13" t="s">
        <v>5</v>
      </c>
      <c r="G2" s="38"/>
      <c r="H2" s="22"/>
      <c r="I2" s="24"/>
      <c r="J2" s="24"/>
      <c r="K2" s="24"/>
      <c r="L2" s="26"/>
    </row>
    <row r="3" spans="1:12" ht="29.4" customHeight="1" x14ac:dyDescent="0.35">
      <c r="A3" s="8">
        <f>ROW()-2</f>
        <v>1</v>
      </c>
      <c r="B3" s="6" t="s">
        <v>7</v>
      </c>
      <c r="C3" s="9">
        <v>98</v>
      </c>
      <c r="D3" s="9">
        <v>100</v>
      </c>
      <c r="E3" s="12">
        <v>120</v>
      </c>
      <c r="F3" s="14">
        <v>150</v>
      </c>
      <c r="G3" s="20">
        <v>46057</v>
      </c>
      <c r="H3" s="2">
        <v>150</v>
      </c>
      <c r="I3" s="15">
        <f>H3*E3</f>
        <v>18000</v>
      </c>
      <c r="J3" s="15">
        <f>H3*(E3-C3)</f>
        <v>3300</v>
      </c>
      <c r="K3" s="3">
        <v>150</v>
      </c>
      <c r="L3" s="16">
        <f>K3*(F3-D3)</f>
        <v>7500</v>
      </c>
    </row>
    <row r="4" spans="1:12" ht="29.4" customHeight="1" x14ac:dyDescent="0.35">
      <c r="A4" s="8">
        <f t="shared" ref="A4:A11" si="0">ROW()-2</f>
        <v>2</v>
      </c>
      <c r="B4" s="6" t="s">
        <v>9</v>
      </c>
      <c r="C4" s="9">
        <v>100</v>
      </c>
      <c r="D4" s="9">
        <v>110</v>
      </c>
      <c r="E4" s="12">
        <v>127</v>
      </c>
      <c r="F4" s="14">
        <v>150</v>
      </c>
      <c r="G4" s="20">
        <v>46057</v>
      </c>
      <c r="H4" s="2">
        <v>101</v>
      </c>
      <c r="I4" s="15">
        <f t="shared" ref="I4:I29" si="1">H4*E4</f>
        <v>12827</v>
      </c>
      <c r="J4" s="15">
        <f t="shared" ref="J4:J29" si="2">H4*(E4-C4)</f>
        <v>2727</v>
      </c>
      <c r="K4" s="3">
        <v>100</v>
      </c>
      <c r="L4" s="16">
        <f t="shared" ref="L4:L29" si="3">K4*(F4-D4)</f>
        <v>4000</v>
      </c>
    </row>
    <row r="5" spans="1:12" ht="29.4" customHeight="1" x14ac:dyDescent="0.35">
      <c r="A5" s="8">
        <f t="shared" si="0"/>
        <v>3</v>
      </c>
      <c r="B5" s="6" t="s">
        <v>10</v>
      </c>
      <c r="C5" s="9">
        <v>100</v>
      </c>
      <c r="D5" s="9">
        <v>110</v>
      </c>
      <c r="E5" s="12">
        <v>120</v>
      </c>
      <c r="F5" s="14">
        <v>150</v>
      </c>
      <c r="G5" s="20">
        <v>46057</v>
      </c>
      <c r="H5" s="2">
        <v>388</v>
      </c>
      <c r="I5" s="15">
        <f t="shared" si="1"/>
        <v>46560</v>
      </c>
      <c r="J5" s="15">
        <f t="shared" si="2"/>
        <v>7760</v>
      </c>
      <c r="K5" s="3">
        <v>388</v>
      </c>
      <c r="L5" s="16">
        <f t="shared" si="3"/>
        <v>15520</v>
      </c>
    </row>
    <row r="6" spans="1:12" ht="29.4" customHeight="1" x14ac:dyDescent="0.35">
      <c r="A6" s="8">
        <f t="shared" si="0"/>
        <v>4</v>
      </c>
      <c r="B6" s="6" t="s">
        <v>11</v>
      </c>
      <c r="C6" s="9">
        <v>100</v>
      </c>
      <c r="D6" s="9">
        <v>100</v>
      </c>
      <c r="E6" s="12">
        <v>120</v>
      </c>
      <c r="F6" s="14">
        <v>150</v>
      </c>
      <c r="G6" s="20">
        <v>46057</v>
      </c>
      <c r="H6" s="2">
        <v>77</v>
      </c>
      <c r="I6" s="15">
        <f t="shared" si="1"/>
        <v>9240</v>
      </c>
      <c r="J6" s="15">
        <f t="shared" si="2"/>
        <v>1540</v>
      </c>
      <c r="K6" s="3">
        <v>77</v>
      </c>
      <c r="L6" s="16">
        <f t="shared" si="3"/>
        <v>3850</v>
      </c>
    </row>
    <row r="7" spans="1:12" ht="29.4" customHeight="1" x14ac:dyDescent="0.35">
      <c r="A7" s="8">
        <f t="shared" si="0"/>
        <v>5</v>
      </c>
      <c r="B7" s="6" t="s">
        <v>12</v>
      </c>
      <c r="C7" s="9">
        <v>270</v>
      </c>
      <c r="D7" s="9">
        <v>270</v>
      </c>
      <c r="E7" s="12">
        <v>300</v>
      </c>
      <c r="F7" s="14">
        <v>330</v>
      </c>
      <c r="G7" s="20">
        <v>46057</v>
      </c>
      <c r="H7" s="2">
        <v>215</v>
      </c>
      <c r="I7" s="15">
        <f t="shared" si="1"/>
        <v>64500</v>
      </c>
      <c r="J7" s="15">
        <f t="shared" si="2"/>
        <v>6450</v>
      </c>
      <c r="K7" s="3">
        <f>H7</f>
        <v>215</v>
      </c>
      <c r="L7" s="16">
        <f t="shared" si="3"/>
        <v>12900</v>
      </c>
    </row>
    <row r="8" spans="1:12" ht="29.4" customHeight="1" x14ac:dyDescent="0.35">
      <c r="A8" s="8">
        <f t="shared" si="0"/>
        <v>6</v>
      </c>
      <c r="B8" s="6" t="s">
        <v>13</v>
      </c>
      <c r="C8" s="9">
        <v>175</v>
      </c>
      <c r="D8" s="9">
        <v>175</v>
      </c>
      <c r="E8" s="12">
        <v>250</v>
      </c>
      <c r="F8" s="14">
        <v>300</v>
      </c>
      <c r="G8" s="20">
        <v>46057</v>
      </c>
      <c r="H8" s="2">
        <v>633</v>
      </c>
      <c r="I8" s="15">
        <f t="shared" si="1"/>
        <v>158250</v>
      </c>
      <c r="J8" s="15">
        <f t="shared" si="2"/>
        <v>47475</v>
      </c>
      <c r="K8" s="3">
        <f t="shared" ref="K8:K29" si="4">H8</f>
        <v>633</v>
      </c>
      <c r="L8" s="16">
        <f t="shared" si="3"/>
        <v>79125</v>
      </c>
    </row>
    <row r="9" spans="1:12" ht="29.4" customHeight="1" x14ac:dyDescent="0.35">
      <c r="A9" s="8">
        <f t="shared" si="0"/>
        <v>7</v>
      </c>
      <c r="B9" s="6" t="s">
        <v>14</v>
      </c>
      <c r="C9" s="9">
        <v>1650</v>
      </c>
      <c r="D9" s="9">
        <v>1650</v>
      </c>
      <c r="E9" s="12">
        <v>1800</v>
      </c>
      <c r="F9" s="14">
        <v>2400</v>
      </c>
      <c r="G9" s="20">
        <v>46057</v>
      </c>
      <c r="H9" s="2">
        <v>86</v>
      </c>
      <c r="I9" s="15">
        <f t="shared" si="1"/>
        <v>154800</v>
      </c>
      <c r="J9" s="15">
        <f t="shared" si="2"/>
        <v>12900</v>
      </c>
      <c r="K9" s="3">
        <v>60</v>
      </c>
      <c r="L9" s="16">
        <f t="shared" si="3"/>
        <v>45000</v>
      </c>
    </row>
    <row r="10" spans="1:12" ht="29.4" customHeight="1" x14ac:dyDescent="0.35">
      <c r="A10" s="8">
        <f t="shared" si="0"/>
        <v>8</v>
      </c>
      <c r="B10" s="6" t="s">
        <v>15</v>
      </c>
      <c r="C10" s="9">
        <v>1750</v>
      </c>
      <c r="D10" s="9">
        <v>1750</v>
      </c>
      <c r="E10" s="12">
        <v>1900</v>
      </c>
      <c r="F10" s="14">
        <v>2300</v>
      </c>
      <c r="G10" s="20">
        <v>46057</v>
      </c>
      <c r="H10" s="2">
        <v>36</v>
      </c>
      <c r="I10" s="15">
        <f t="shared" si="1"/>
        <v>68400</v>
      </c>
      <c r="J10" s="15">
        <f t="shared" si="2"/>
        <v>5400</v>
      </c>
      <c r="K10" s="3">
        <v>30</v>
      </c>
      <c r="L10" s="16">
        <f t="shared" si="3"/>
        <v>16500</v>
      </c>
    </row>
    <row r="11" spans="1:12" ht="29.4" customHeight="1" x14ac:dyDescent="0.35">
      <c r="A11" s="8">
        <f t="shared" si="0"/>
        <v>9</v>
      </c>
      <c r="B11" s="6" t="s">
        <v>16</v>
      </c>
      <c r="C11" s="9">
        <v>135</v>
      </c>
      <c r="D11" s="9">
        <v>135</v>
      </c>
      <c r="E11" s="12">
        <v>150</v>
      </c>
      <c r="F11" s="14">
        <v>180</v>
      </c>
      <c r="G11" s="20">
        <v>46057</v>
      </c>
      <c r="H11" s="2">
        <v>1040</v>
      </c>
      <c r="I11" s="15">
        <f t="shared" si="1"/>
        <v>156000</v>
      </c>
      <c r="J11" s="15">
        <f t="shared" si="2"/>
        <v>15600</v>
      </c>
      <c r="K11" s="3">
        <f t="shared" si="4"/>
        <v>1040</v>
      </c>
      <c r="L11" s="16">
        <f t="shared" si="3"/>
        <v>46800</v>
      </c>
    </row>
    <row r="12" spans="1:12" ht="29.4" customHeight="1" x14ac:dyDescent="0.35">
      <c r="A12" s="8">
        <f t="shared" ref="A12:A29" si="5">ROW()-2</f>
        <v>10</v>
      </c>
      <c r="B12" s="6" t="s">
        <v>17</v>
      </c>
      <c r="C12" s="9">
        <v>80</v>
      </c>
      <c r="D12" s="9">
        <v>80</v>
      </c>
      <c r="E12" s="12">
        <v>109</v>
      </c>
      <c r="F12" s="14">
        <v>120</v>
      </c>
      <c r="G12" s="20">
        <v>46057</v>
      </c>
      <c r="H12" s="2">
        <v>363</v>
      </c>
      <c r="I12" s="15">
        <f t="shared" si="1"/>
        <v>39567</v>
      </c>
      <c r="J12" s="15">
        <f t="shared" si="2"/>
        <v>10527</v>
      </c>
      <c r="K12" s="3">
        <f t="shared" si="4"/>
        <v>363</v>
      </c>
      <c r="L12" s="16">
        <f t="shared" si="3"/>
        <v>14520</v>
      </c>
    </row>
    <row r="13" spans="1:12" ht="29.4" customHeight="1" x14ac:dyDescent="0.35">
      <c r="A13" s="8">
        <f t="shared" si="5"/>
        <v>11</v>
      </c>
      <c r="B13" s="6" t="s">
        <v>23</v>
      </c>
      <c r="C13" s="9">
        <v>80</v>
      </c>
      <c r="D13" s="9">
        <v>80</v>
      </c>
      <c r="E13" s="12">
        <v>108</v>
      </c>
      <c r="F13" s="14">
        <v>120</v>
      </c>
      <c r="G13" s="20">
        <v>46057</v>
      </c>
      <c r="H13" s="2">
        <v>127</v>
      </c>
      <c r="I13" s="15">
        <f t="shared" si="1"/>
        <v>13716</v>
      </c>
      <c r="J13" s="15">
        <f t="shared" si="2"/>
        <v>3556</v>
      </c>
      <c r="K13" s="3">
        <f t="shared" si="4"/>
        <v>127</v>
      </c>
      <c r="L13" s="16">
        <f t="shared" si="3"/>
        <v>5080</v>
      </c>
    </row>
    <row r="14" spans="1:12" ht="29.4" customHeight="1" x14ac:dyDescent="0.35">
      <c r="A14" s="8">
        <f t="shared" si="5"/>
        <v>12</v>
      </c>
      <c r="B14" s="6" t="s">
        <v>24</v>
      </c>
      <c r="C14" s="9">
        <v>80</v>
      </c>
      <c r="D14" s="9">
        <v>80</v>
      </c>
      <c r="E14" s="12">
        <v>108</v>
      </c>
      <c r="F14" s="14">
        <v>120</v>
      </c>
      <c r="G14" s="20">
        <v>46057</v>
      </c>
      <c r="H14" s="2">
        <v>70</v>
      </c>
      <c r="I14" s="15">
        <f t="shared" si="1"/>
        <v>7560</v>
      </c>
      <c r="J14" s="15">
        <f t="shared" si="2"/>
        <v>1960</v>
      </c>
      <c r="K14" s="3">
        <f t="shared" si="4"/>
        <v>70</v>
      </c>
      <c r="L14" s="16">
        <f t="shared" si="3"/>
        <v>2800</v>
      </c>
    </row>
    <row r="15" spans="1:12" ht="29.4" customHeight="1" x14ac:dyDescent="0.35">
      <c r="A15" s="8">
        <f t="shared" si="5"/>
        <v>13</v>
      </c>
      <c r="B15" s="6" t="s">
        <v>25</v>
      </c>
      <c r="C15" s="9">
        <v>80</v>
      </c>
      <c r="D15" s="9">
        <v>80</v>
      </c>
      <c r="E15" s="12">
        <v>108</v>
      </c>
      <c r="F15" s="14">
        <v>120</v>
      </c>
      <c r="G15" s="20">
        <v>46057</v>
      </c>
      <c r="H15" s="2">
        <v>41</v>
      </c>
      <c r="I15" s="15">
        <f t="shared" si="1"/>
        <v>4428</v>
      </c>
      <c r="J15" s="15">
        <f t="shared" si="2"/>
        <v>1148</v>
      </c>
      <c r="K15" s="3">
        <f t="shared" si="4"/>
        <v>41</v>
      </c>
      <c r="L15" s="16">
        <f t="shared" si="3"/>
        <v>1640</v>
      </c>
    </row>
    <row r="16" spans="1:12" ht="29.4" customHeight="1" x14ac:dyDescent="0.35">
      <c r="A16" s="8">
        <f t="shared" si="5"/>
        <v>14</v>
      </c>
      <c r="B16" s="6" t="s">
        <v>26</v>
      </c>
      <c r="C16" s="9">
        <v>260</v>
      </c>
      <c r="D16" s="9">
        <v>265</v>
      </c>
      <c r="E16" s="12">
        <v>300</v>
      </c>
      <c r="F16" s="14">
        <v>350</v>
      </c>
      <c r="G16" s="20">
        <v>46057</v>
      </c>
      <c r="H16" s="2">
        <v>107</v>
      </c>
      <c r="I16" s="15">
        <f t="shared" si="1"/>
        <v>32100</v>
      </c>
      <c r="J16" s="15">
        <f t="shared" si="2"/>
        <v>4280</v>
      </c>
      <c r="K16" s="3">
        <f t="shared" si="4"/>
        <v>107</v>
      </c>
      <c r="L16" s="16">
        <f t="shared" si="3"/>
        <v>9095</v>
      </c>
    </row>
    <row r="17" spans="1:13" ht="29.4" customHeight="1" x14ac:dyDescent="0.35">
      <c r="A17" s="8">
        <f t="shared" si="5"/>
        <v>15</v>
      </c>
      <c r="B17" s="6" t="s">
        <v>27</v>
      </c>
      <c r="C17" s="9">
        <v>60</v>
      </c>
      <c r="D17" s="9">
        <v>60</v>
      </c>
      <c r="E17" s="12">
        <v>72</v>
      </c>
      <c r="F17" s="14">
        <v>95</v>
      </c>
      <c r="G17" s="20">
        <v>46057</v>
      </c>
      <c r="H17" s="2">
        <v>123</v>
      </c>
      <c r="I17" s="15">
        <f t="shared" si="1"/>
        <v>8856</v>
      </c>
      <c r="J17" s="15">
        <f t="shared" si="2"/>
        <v>1476</v>
      </c>
      <c r="K17" s="3">
        <f t="shared" si="4"/>
        <v>123</v>
      </c>
      <c r="L17" s="16">
        <f t="shared" si="3"/>
        <v>4305</v>
      </c>
    </row>
    <row r="18" spans="1:13" ht="29.4" customHeight="1" x14ac:dyDescent="0.35">
      <c r="A18" s="8">
        <f t="shared" si="5"/>
        <v>16</v>
      </c>
      <c r="B18" s="6" t="s">
        <v>28</v>
      </c>
      <c r="C18" s="9">
        <v>60</v>
      </c>
      <c r="D18" s="9">
        <v>60</v>
      </c>
      <c r="E18" s="12">
        <v>72</v>
      </c>
      <c r="F18" s="14">
        <v>95</v>
      </c>
      <c r="G18" s="20">
        <v>46057</v>
      </c>
      <c r="H18" s="2">
        <v>68</v>
      </c>
      <c r="I18" s="15">
        <f t="shared" si="1"/>
        <v>4896</v>
      </c>
      <c r="J18" s="15">
        <f t="shared" si="2"/>
        <v>816</v>
      </c>
      <c r="K18" s="3">
        <f t="shared" si="4"/>
        <v>68</v>
      </c>
      <c r="L18" s="16">
        <f t="shared" si="3"/>
        <v>2380</v>
      </c>
    </row>
    <row r="19" spans="1:13" ht="29.4" customHeight="1" x14ac:dyDescent="0.35">
      <c r="A19" s="8">
        <f t="shared" si="5"/>
        <v>17</v>
      </c>
      <c r="B19" s="6" t="s">
        <v>29</v>
      </c>
      <c r="C19" s="9">
        <v>150</v>
      </c>
      <c r="D19" s="9">
        <v>160</v>
      </c>
      <c r="E19" s="12">
        <v>180</v>
      </c>
      <c r="F19" s="14">
        <v>195</v>
      </c>
      <c r="G19" s="20">
        <v>46057</v>
      </c>
      <c r="H19" s="2">
        <v>74</v>
      </c>
      <c r="I19" s="15">
        <f t="shared" si="1"/>
        <v>13320</v>
      </c>
      <c r="J19" s="15">
        <f t="shared" si="2"/>
        <v>2220</v>
      </c>
      <c r="K19" s="3">
        <f t="shared" si="4"/>
        <v>74</v>
      </c>
      <c r="L19" s="16">
        <f t="shared" si="3"/>
        <v>2590</v>
      </c>
    </row>
    <row r="20" spans="1:13" ht="29.4" customHeight="1" x14ac:dyDescent="0.35">
      <c r="A20" s="8">
        <f t="shared" si="5"/>
        <v>18</v>
      </c>
      <c r="B20" s="6" t="s">
        <v>30</v>
      </c>
      <c r="C20" s="9">
        <v>150</v>
      </c>
      <c r="D20" s="9">
        <v>160</v>
      </c>
      <c r="E20" s="12">
        <v>180</v>
      </c>
      <c r="F20" s="14">
        <v>195</v>
      </c>
      <c r="G20" s="20">
        <v>46057</v>
      </c>
      <c r="H20" s="2">
        <v>46</v>
      </c>
      <c r="I20" s="15">
        <f t="shared" si="1"/>
        <v>8280</v>
      </c>
      <c r="J20" s="15">
        <f t="shared" si="2"/>
        <v>1380</v>
      </c>
      <c r="K20" s="3">
        <f t="shared" si="4"/>
        <v>46</v>
      </c>
      <c r="L20" s="16">
        <f t="shared" si="3"/>
        <v>1610</v>
      </c>
    </row>
    <row r="21" spans="1:13" ht="29.4" customHeight="1" x14ac:dyDescent="0.35">
      <c r="A21" s="8">
        <f t="shared" si="5"/>
        <v>19</v>
      </c>
      <c r="B21" s="6" t="s">
        <v>31</v>
      </c>
      <c r="C21" s="9">
        <v>245</v>
      </c>
      <c r="D21" s="9">
        <v>245</v>
      </c>
      <c r="E21" s="12">
        <v>299</v>
      </c>
      <c r="F21" s="14">
        <v>350</v>
      </c>
      <c r="G21" s="20">
        <v>46057</v>
      </c>
      <c r="H21" s="2">
        <v>218</v>
      </c>
      <c r="I21" s="15">
        <f t="shared" si="1"/>
        <v>65182</v>
      </c>
      <c r="J21" s="15">
        <f t="shared" si="2"/>
        <v>11772</v>
      </c>
      <c r="K21" s="3">
        <f t="shared" si="4"/>
        <v>218</v>
      </c>
      <c r="L21" s="16">
        <f t="shared" si="3"/>
        <v>22890</v>
      </c>
    </row>
    <row r="22" spans="1:13" ht="29.4" customHeight="1" x14ac:dyDescent="0.35">
      <c r="A22" s="8">
        <f t="shared" si="5"/>
        <v>20</v>
      </c>
      <c r="B22" s="6"/>
      <c r="C22" s="9"/>
      <c r="D22" s="9"/>
      <c r="E22" s="12"/>
      <c r="F22" s="14"/>
      <c r="G22" s="7"/>
      <c r="H22" s="2"/>
      <c r="I22" s="15">
        <f t="shared" si="1"/>
        <v>0</v>
      </c>
      <c r="J22" s="15">
        <f t="shared" si="2"/>
        <v>0</v>
      </c>
      <c r="K22" s="3"/>
      <c r="L22" s="16">
        <f t="shared" si="3"/>
        <v>0</v>
      </c>
    </row>
    <row r="23" spans="1:13" ht="29.4" customHeight="1" x14ac:dyDescent="0.35">
      <c r="A23" s="8">
        <f t="shared" si="5"/>
        <v>21</v>
      </c>
      <c r="B23" s="6"/>
      <c r="C23" s="9"/>
      <c r="D23" s="9"/>
      <c r="E23" s="12"/>
      <c r="F23" s="14"/>
      <c r="G23" s="7"/>
      <c r="H23" s="2"/>
      <c r="I23" s="15">
        <f t="shared" si="1"/>
        <v>0</v>
      </c>
      <c r="J23" s="15">
        <f t="shared" si="2"/>
        <v>0</v>
      </c>
      <c r="K23" s="3"/>
      <c r="L23" s="16">
        <f t="shared" si="3"/>
        <v>0</v>
      </c>
    </row>
    <row r="24" spans="1:13" ht="29.4" customHeight="1" x14ac:dyDescent="0.35">
      <c r="A24" s="8">
        <f t="shared" si="5"/>
        <v>22</v>
      </c>
      <c r="B24" s="6"/>
      <c r="C24" s="9"/>
      <c r="D24" s="9"/>
      <c r="E24" s="12"/>
      <c r="F24" s="14"/>
      <c r="G24" s="7"/>
      <c r="H24" s="2"/>
      <c r="I24" s="15">
        <f t="shared" si="1"/>
        <v>0</v>
      </c>
      <c r="J24" s="15">
        <f t="shared" si="2"/>
        <v>0</v>
      </c>
      <c r="K24" s="3"/>
      <c r="L24" s="16">
        <f t="shared" si="3"/>
        <v>0</v>
      </c>
    </row>
    <row r="25" spans="1:13" ht="29.4" customHeight="1" x14ac:dyDescent="0.35">
      <c r="A25" s="8">
        <f t="shared" si="5"/>
        <v>23</v>
      </c>
      <c r="B25" s="6"/>
      <c r="C25" s="9"/>
      <c r="D25" s="9"/>
      <c r="E25" s="12"/>
      <c r="F25" s="14"/>
      <c r="G25" s="7"/>
      <c r="H25" s="2"/>
      <c r="I25" s="15">
        <f t="shared" si="1"/>
        <v>0</v>
      </c>
      <c r="J25" s="15">
        <f t="shared" si="2"/>
        <v>0</v>
      </c>
      <c r="K25" s="3"/>
      <c r="L25" s="16">
        <f t="shared" si="3"/>
        <v>0</v>
      </c>
    </row>
    <row r="26" spans="1:13" ht="29.4" customHeight="1" x14ac:dyDescent="0.35">
      <c r="A26" s="8">
        <f t="shared" si="5"/>
        <v>24</v>
      </c>
      <c r="B26" s="6"/>
      <c r="C26" s="9"/>
      <c r="D26" s="9"/>
      <c r="E26" s="12"/>
      <c r="F26" s="14"/>
      <c r="G26" s="7"/>
      <c r="H26" s="2"/>
      <c r="I26" s="15">
        <f t="shared" si="1"/>
        <v>0</v>
      </c>
      <c r="J26" s="15">
        <f t="shared" si="2"/>
        <v>0</v>
      </c>
      <c r="K26" s="3"/>
      <c r="L26" s="16">
        <f t="shared" si="3"/>
        <v>0</v>
      </c>
    </row>
    <row r="27" spans="1:13" ht="29.4" customHeight="1" x14ac:dyDescent="0.35">
      <c r="A27" s="8">
        <f t="shared" si="5"/>
        <v>25</v>
      </c>
      <c r="B27" s="6"/>
      <c r="C27" s="9"/>
      <c r="D27" s="9"/>
      <c r="E27" s="12"/>
      <c r="F27" s="14"/>
      <c r="G27" s="7"/>
      <c r="H27" s="2"/>
      <c r="I27" s="15">
        <f t="shared" si="1"/>
        <v>0</v>
      </c>
      <c r="J27" s="15">
        <f t="shared" si="2"/>
        <v>0</v>
      </c>
      <c r="K27" s="3"/>
      <c r="L27" s="16">
        <f t="shared" si="3"/>
        <v>0</v>
      </c>
    </row>
    <row r="28" spans="1:13" ht="29.4" customHeight="1" x14ac:dyDescent="0.35">
      <c r="A28" s="8">
        <f t="shared" si="5"/>
        <v>26</v>
      </c>
      <c r="B28" s="6"/>
      <c r="C28" s="9"/>
      <c r="D28" s="9"/>
      <c r="E28" s="12"/>
      <c r="F28" s="14"/>
      <c r="G28" s="7"/>
      <c r="H28" s="2"/>
      <c r="I28" s="15">
        <f t="shared" si="1"/>
        <v>0</v>
      </c>
      <c r="J28" s="15">
        <f t="shared" si="2"/>
        <v>0</v>
      </c>
      <c r="K28" s="3">
        <f t="shared" si="4"/>
        <v>0</v>
      </c>
      <c r="L28" s="16">
        <f t="shared" si="3"/>
        <v>0</v>
      </c>
    </row>
    <row r="29" spans="1:13" ht="29.4" customHeight="1" x14ac:dyDescent="0.35">
      <c r="A29" s="8">
        <f t="shared" si="5"/>
        <v>27</v>
      </c>
      <c r="B29" s="6"/>
      <c r="C29" s="9"/>
      <c r="D29" s="9"/>
      <c r="E29" s="12"/>
      <c r="F29" s="14"/>
      <c r="G29" s="7"/>
      <c r="H29" s="2"/>
      <c r="I29" s="15">
        <f t="shared" si="1"/>
        <v>0</v>
      </c>
      <c r="J29" s="15">
        <f t="shared" si="2"/>
        <v>0</v>
      </c>
      <c r="K29" s="3">
        <f t="shared" si="4"/>
        <v>0</v>
      </c>
      <c r="L29" s="16">
        <f t="shared" si="3"/>
        <v>0</v>
      </c>
    </row>
    <row r="30" spans="1:13" ht="29.4" customHeight="1" thickBot="1" x14ac:dyDescent="0.4">
      <c r="A30" s="32" t="s">
        <v>6</v>
      </c>
      <c r="B30" s="33"/>
      <c r="C30" s="33"/>
      <c r="D30" s="33"/>
      <c r="E30" s="33"/>
      <c r="F30" s="33"/>
      <c r="G30" s="34"/>
      <c r="H30" s="4"/>
      <c r="I30" s="5"/>
      <c r="J30" s="18">
        <f>SUM(J3:J29)</f>
        <v>142287</v>
      </c>
      <c r="K30" s="5"/>
      <c r="L30" s="17">
        <f>SUM(L3:L29)</f>
        <v>298105</v>
      </c>
      <c r="M30" s="19">
        <f>L30-J30</f>
        <v>155818</v>
      </c>
    </row>
  </sheetData>
  <mergeCells count="11">
    <mergeCell ref="A1:A2"/>
    <mergeCell ref="B1:B2"/>
    <mergeCell ref="C1:D1"/>
    <mergeCell ref="A30:G30"/>
    <mergeCell ref="E1:F1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2026_03_02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2026-02-02T15:30:41Z</dcterms:created>
  <dcterms:modified xsi:type="dcterms:W3CDTF">2026-02-07T04:24:54Z</dcterms:modified>
</cp:coreProperties>
</file>