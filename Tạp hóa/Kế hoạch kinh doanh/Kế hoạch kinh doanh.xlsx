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VeL infinity\Desktop\Tạp hóa\Kế hoạch kinh doanh\"/>
    </mc:Choice>
  </mc:AlternateContent>
  <xr:revisionPtr revIDLastSave="0" documentId="13_ncr:1_{2A7E9A4A-929E-41FC-9DAE-1C1955247D61}" xr6:coauthVersionLast="47" xr6:coauthVersionMax="47" xr10:uidLastSave="{00000000-0000-0000-0000-000000000000}"/>
  <bookViews>
    <workbookView xWindow="-108" yWindow="-108" windowWidth="30936" windowHeight="16776" activeTab="2" xr2:uid="{AC7C96C8-729D-4A1A-A481-EBFA6B52E612}"/>
  </bookViews>
  <sheets>
    <sheet name="Mẫu" sheetId="1" r:id="rId1"/>
    <sheet name="2026_04" sheetId="4" r:id="rId2"/>
    <sheet name="2026_05" sheetId="2" r:id="rId3"/>
    <sheet name="2026_06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5" i="2" l="1"/>
  <c r="S5" i="2" s="1"/>
  <c r="Y5" i="2" s="1"/>
  <c r="AC5" i="2" s="1"/>
  <c r="R4" i="2"/>
  <c r="AC5" i="4"/>
  <c r="S5" i="4"/>
  <c r="S4" i="4"/>
  <c r="Y4" i="4" s="1"/>
  <c r="AC4" i="4" s="1"/>
  <c r="Y5" i="4"/>
  <c r="R5" i="4"/>
  <c r="R4" i="4"/>
  <c r="G34" i="4"/>
  <c r="F34" i="4"/>
  <c r="D34" i="4"/>
  <c r="C34" i="4"/>
  <c r="J33" i="4"/>
  <c r="I33" i="4"/>
  <c r="H33" i="4"/>
  <c r="J32" i="4"/>
  <c r="I32" i="4"/>
  <c r="H32" i="4"/>
  <c r="E32" i="4"/>
  <c r="J31" i="4"/>
  <c r="I31" i="4"/>
  <c r="H31" i="4"/>
  <c r="E31" i="4"/>
  <c r="J30" i="4"/>
  <c r="I30" i="4"/>
  <c r="H30" i="4"/>
  <c r="E30" i="4"/>
  <c r="J29" i="4"/>
  <c r="I29" i="4"/>
  <c r="H29" i="4"/>
  <c r="E29" i="4"/>
  <c r="J28" i="4"/>
  <c r="I28" i="4"/>
  <c r="H28" i="4"/>
  <c r="E28" i="4"/>
  <c r="J27" i="4"/>
  <c r="I27" i="4"/>
  <c r="H27" i="4"/>
  <c r="E27" i="4"/>
  <c r="J26" i="4"/>
  <c r="I26" i="4"/>
  <c r="H26" i="4"/>
  <c r="E26" i="4"/>
  <c r="J25" i="4"/>
  <c r="I25" i="4"/>
  <c r="H25" i="4"/>
  <c r="E25" i="4"/>
  <c r="J24" i="4"/>
  <c r="I24" i="4"/>
  <c r="H24" i="4"/>
  <c r="E24" i="4"/>
  <c r="J23" i="4"/>
  <c r="I23" i="4"/>
  <c r="H23" i="4"/>
  <c r="E23" i="4"/>
  <c r="J22" i="4"/>
  <c r="I22" i="4"/>
  <c r="H22" i="4"/>
  <c r="E22" i="4"/>
  <c r="J21" i="4"/>
  <c r="I21" i="4"/>
  <c r="H21" i="4"/>
  <c r="E21" i="4"/>
  <c r="J20" i="4"/>
  <c r="I20" i="4"/>
  <c r="H20" i="4"/>
  <c r="E20" i="4"/>
  <c r="J19" i="4"/>
  <c r="I19" i="4"/>
  <c r="H19" i="4"/>
  <c r="E19" i="4"/>
  <c r="J18" i="4"/>
  <c r="I18" i="4"/>
  <c r="H18" i="4"/>
  <c r="E18" i="4"/>
  <c r="J17" i="4"/>
  <c r="I17" i="4"/>
  <c r="H17" i="4"/>
  <c r="E17" i="4"/>
  <c r="J16" i="4"/>
  <c r="I16" i="4"/>
  <c r="H16" i="4"/>
  <c r="E16" i="4"/>
  <c r="J15" i="4"/>
  <c r="I15" i="4"/>
  <c r="H15" i="4"/>
  <c r="E15" i="4"/>
  <c r="J14" i="4"/>
  <c r="I14" i="4"/>
  <c r="H14" i="4"/>
  <c r="E14" i="4"/>
  <c r="J13" i="4"/>
  <c r="I13" i="4"/>
  <c r="H13" i="4"/>
  <c r="E13" i="4"/>
  <c r="J12" i="4"/>
  <c r="I12" i="4"/>
  <c r="H12" i="4"/>
  <c r="E12" i="4"/>
  <c r="J11" i="4"/>
  <c r="I11" i="4"/>
  <c r="H11" i="4"/>
  <c r="E11" i="4"/>
  <c r="J10" i="4"/>
  <c r="I10" i="4"/>
  <c r="H10" i="4"/>
  <c r="E10" i="4"/>
  <c r="J9" i="4"/>
  <c r="I9" i="4"/>
  <c r="H9" i="4"/>
  <c r="E9" i="4"/>
  <c r="J8" i="4"/>
  <c r="I8" i="4"/>
  <c r="H8" i="4"/>
  <c r="E8" i="4"/>
  <c r="J7" i="4"/>
  <c r="I7" i="4"/>
  <c r="H7" i="4"/>
  <c r="E7" i="4"/>
  <c r="J6" i="4"/>
  <c r="I6" i="4"/>
  <c r="H6" i="4"/>
  <c r="E6" i="4"/>
  <c r="J5" i="4"/>
  <c r="I5" i="4"/>
  <c r="H5" i="4"/>
  <c r="E5" i="4"/>
  <c r="J4" i="4"/>
  <c r="I4" i="4"/>
  <c r="H4" i="4"/>
  <c r="E4" i="4"/>
  <c r="J3" i="4"/>
  <c r="I3" i="4"/>
  <c r="H3" i="4"/>
  <c r="E3" i="4"/>
  <c r="I33" i="2"/>
  <c r="G34" i="3"/>
  <c r="R5" i="3" s="1"/>
  <c r="F34" i="3"/>
  <c r="I34" i="3" s="1"/>
  <c r="D34" i="3"/>
  <c r="C34" i="3"/>
  <c r="J33" i="3"/>
  <c r="H33" i="3"/>
  <c r="J32" i="3"/>
  <c r="I32" i="3"/>
  <c r="H32" i="3"/>
  <c r="E32" i="3"/>
  <c r="J31" i="3"/>
  <c r="I31" i="3"/>
  <c r="H31" i="3"/>
  <c r="E31" i="3"/>
  <c r="J30" i="3"/>
  <c r="I30" i="3"/>
  <c r="H30" i="3"/>
  <c r="E30" i="3"/>
  <c r="J29" i="3"/>
  <c r="I29" i="3"/>
  <c r="H29" i="3"/>
  <c r="E29" i="3"/>
  <c r="J28" i="3"/>
  <c r="I28" i="3"/>
  <c r="H28" i="3"/>
  <c r="E28" i="3"/>
  <c r="J27" i="3"/>
  <c r="I27" i="3"/>
  <c r="H27" i="3"/>
  <c r="E27" i="3"/>
  <c r="J26" i="3"/>
  <c r="I26" i="3"/>
  <c r="H26" i="3"/>
  <c r="E26" i="3"/>
  <c r="J25" i="3"/>
  <c r="I25" i="3"/>
  <c r="H25" i="3"/>
  <c r="E25" i="3"/>
  <c r="J24" i="3"/>
  <c r="I24" i="3"/>
  <c r="H24" i="3"/>
  <c r="E24" i="3"/>
  <c r="J23" i="3"/>
  <c r="I23" i="3"/>
  <c r="H23" i="3"/>
  <c r="E23" i="3"/>
  <c r="J22" i="3"/>
  <c r="I22" i="3"/>
  <c r="H22" i="3"/>
  <c r="E22" i="3"/>
  <c r="J21" i="3"/>
  <c r="I21" i="3"/>
  <c r="H21" i="3"/>
  <c r="E21" i="3"/>
  <c r="J20" i="3"/>
  <c r="I20" i="3"/>
  <c r="H20" i="3"/>
  <c r="E20" i="3"/>
  <c r="J19" i="3"/>
  <c r="I19" i="3"/>
  <c r="H19" i="3"/>
  <c r="E19" i="3"/>
  <c r="J18" i="3"/>
  <c r="I18" i="3"/>
  <c r="H18" i="3"/>
  <c r="E18" i="3"/>
  <c r="J17" i="3"/>
  <c r="I17" i="3"/>
  <c r="H17" i="3"/>
  <c r="E17" i="3"/>
  <c r="J16" i="3"/>
  <c r="I16" i="3"/>
  <c r="H16" i="3"/>
  <c r="E16" i="3"/>
  <c r="J15" i="3"/>
  <c r="I15" i="3"/>
  <c r="H15" i="3"/>
  <c r="E15" i="3"/>
  <c r="J14" i="3"/>
  <c r="I14" i="3"/>
  <c r="H14" i="3"/>
  <c r="E14" i="3"/>
  <c r="J13" i="3"/>
  <c r="I13" i="3"/>
  <c r="H13" i="3"/>
  <c r="E13" i="3"/>
  <c r="J12" i="3"/>
  <c r="I12" i="3"/>
  <c r="H12" i="3"/>
  <c r="E12" i="3"/>
  <c r="J11" i="3"/>
  <c r="I11" i="3"/>
  <c r="H11" i="3"/>
  <c r="E11" i="3"/>
  <c r="J10" i="3"/>
  <c r="I10" i="3"/>
  <c r="H10" i="3"/>
  <c r="E10" i="3"/>
  <c r="J9" i="3"/>
  <c r="I9" i="3"/>
  <c r="H9" i="3"/>
  <c r="E9" i="3"/>
  <c r="J8" i="3"/>
  <c r="I8" i="3"/>
  <c r="H8" i="3"/>
  <c r="E8" i="3"/>
  <c r="J7" i="3"/>
  <c r="I7" i="3"/>
  <c r="H7" i="3"/>
  <c r="E7" i="3"/>
  <c r="J6" i="3"/>
  <c r="I6" i="3"/>
  <c r="H6" i="3"/>
  <c r="E6" i="3"/>
  <c r="J5" i="3"/>
  <c r="I5" i="3"/>
  <c r="H5" i="3"/>
  <c r="E5" i="3"/>
  <c r="J4" i="3"/>
  <c r="I4" i="3"/>
  <c r="H4" i="3"/>
  <c r="E4" i="3"/>
  <c r="J3" i="3"/>
  <c r="I3" i="3"/>
  <c r="H3" i="3"/>
  <c r="E3" i="3"/>
  <c r="I32" i="2"/>
  <c r="I31" i="2"/>
  <c r="J31" i="2"/>
  <c r="J32" i="2"/>
  <c r="J33" i="2"/>
  <c r="I30" i="2"/>
  <c r="J30" i="2"/>
  <c r="I29" i="2"/>
  <c r="J29" i="2"/>
  <c r="I28" i="2"/>
  <c r="J28" i="2"/>
  <c r="J27" i="2"/>
  <c r="I27" i="2"/>
  <c r="I26" i="2"/>
  <c r="J26" i="2"/>
  <c r="J25" i="2"/>
  <c r="I25" i="2"/>
  <c r="J24" i="2"/>
  <c r="I24" i="2"/>
  <c r="I23" i="2"/>
  <c r="J23" i="2"/>
  <c r="J2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3" i="2"/>
  <c r="F34" i="2"/>
  <c r="G3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D34" i="2"/>
  <c r="C34" i="2"/>
  <c r="E3" i="2"/>
  <c r="R4" i="3" l="1"/>
  <c r="S4" i="3" s="1"/>
  <c r="Y4" i="3" s="1"/>
  <c r="AC4" i="3" s="1"/>
  <c r="S5" i="3"/>
  <c r="Y5" i="3" s="1"/>
  <c r="AC5" i="3" s="1"/>
  <c r="S4" i="2"/>
  <c r="Y4" i="2" s="1"/>
  <c r="AC4" i="2" s="1"/>
  <c r="E34" i="4"/>
  <c r="I34" i="4"/>
  <c r="J34" i="4"/>
  <c r="H34" i="4"/>
  <c r="H34" i="3"/>
  <c r="E34" i="3"/>
  <c r="J34" i="3"/>
  <c r="E34" i="2"/>
  <c r="I34" i="2"/>
  <c r="J34" i="2"/>
  <c r="H34" i="2"/>
</calcChain>
</file>

<file path=xl/sharedStrings.xml><?xml version="1.0" encoding="utf-8"?>
<sst xmlns="http://schemas.openxmlformats.org/spreadsheetml/2006/main" count="285" uniqueCount="57">
  <si>
    <t>日付</t>
  </si>
  <si>
    <t>日曜</t>
  </si>
  <si>
    <t>目標</t>
  </si>
  <si>
    <t>実績</t>
  </si>
  <si>
    <t>小倉店</t>
  </si>
  <si>
    <t>行橋店</t>
  </si>
  <si>
    <t>日</t>
  </si>
  <si>
    <t>月</t>
  </si>
  <si>
    <t>火</t>
  </si>
  <si>
    <t>水</t>
  </si>
  <si>
    <t>木</t>
  </si>
  <si>
    <t>金</t>
  </si>
  <si>
    <t>土</t>
  </si>
  <si>
    <t>合計</t>
  </si>
  <si>
    <t>達成率</t>
  </si>
  <si>
    <t>MỤC TIÊU - KẾ HOẠCH KINH DOANH THÁNG</t>
  </si>
  <si>
    <t>Đạt mục tiêu doanh thu đề ra</t>
  </si>
  <si>
    <t>Quán lý tốt hàng tồn kho</t>
  </si>
  <si>
    <t>Giảm lượng hàng tồn kho , chuyển đổi tiền mặt</t>
  </si>
  <si>
    <t>Giảm lượng hàng HSD ngắn</t>
  </si>
  <si>
    <t>Tối ưu lợi nhuận</t>
  </si>
  <si>
    <t>Giảm chi phí vận hành</t>
  </si>
  <si>
    <t>Giảm hàng thải</t>
  </si>
  <si>
    <t xml:space="preserve"> THÁNG 6 RÚT LỢI NHUẬN</t>
  </si>
  <si>
    <t xml:space="preserve"> THÁNG 7 RÚT LỢI NHUẬN</t>
  </si>
  <si>
    <t>Tháng 6 nộp thuế của năm tài chính năm ngoái</t>
  </si>
  <si>
    <t>Tháng 6 thường sẽ bán chậm hơn so với các tháng khác</t>
  </si>
  <si>
    <t>Ảnh hưởng của mưa/bão nên doanh thu sẽ giảm</t>
  </si>
  <si>
    <t>THỰC TẾ</t>
  </si>
  <si>
    <t>Đạt được doanh thu trên mức kì vọng</t>
  </si>
  <si>
    <t>Đã giảm 1 phần kho nhưng vẫn tồn 1 số mã</t>
  </si>
  <si>
    <t>Số mã hàng hết ở kho giảm đáng kể</t>
  </si>
  <si>
    <t xml:space="preserve">Đã giảm được 1 phần </t>
  </si>
  <si>
    <t>Chưa tốt</t>
  </si>
  <si>
    <t>Chưa tối ưu được lợi nhuận cụ thể</t>
  </si>
  <si>
    <t>Rau, hàng ngắn hạn đã giảm đáng kể</t>
  </si>
  <si>
    <t>BÁO CÁO TÀI CHÍNH THÁNG</t>
  </si>
  <si>
    <t>KOKURA</t>
  </si>
  <si>
    <t>YUKUHASHI</t>
  </si>
  <si>
    <t>CƠ SỞ</t>
  </si>
  <si>
    <t>CHI PHÍ CỐ ĐỊNH</t>
  </si>
  <si>
    <t>LƯƠNG</t>
  </si>
  <si>
    <t>CHI PHÍ BIẾN ĐỘNG</t>
  </si>
  <si>
    <t>TIỀN ĐIỆN</t>
  </si>
  <si>
    <t>TIỀN NƯỚC</t>
  </si>
  <si>
    <t>TÚI BÓNG</t>
  </si>
  <si>
    <t>LỢI NHUẬN GỘP</t>
  </si>
  <si>
    <t>(= R-S-T-U-V-W-X)</t>
  </si>
  <si>
    <t>TIỀN NHÀ</t>
  </si>
  <si>
    <t>DOANH THU</t>
  </si>
  <si>
    <t xml:space="preserve">GIÁ VỐN </t>
  </si>
  <si>
    <t>CHI PHÍ KHÁC</t>
  </si>
  <si>
    <t>HÀNG HỎNG</t>
  </si>
  <si>
    <t>KHÁC</t>
  </si>
  <si>
    <t>TRẢ HÀNG</t>
  </si>
  <si>
    <t>LỢI NHUẬN THUẦN</t>
  </si>
  <si>
    <t>(= Y-Z-AA-AB)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</si>
</sst>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¥-411]#,##0"/>
  </numFmts>
  <fonts count="12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1"/>
      <color theme="1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8"/>
      <color theme="1"/>
      <name val="Times New Roman"/>
      <family val="1"/>
    </font>
    <font>
      <b/>
      <sz val="24"/>
      <color theme="1"/>
      <name val="Times New Roman"/>
      <family val="1"/>
    </font>
    <font>
      <sz val="14"/>
      <color rgb="FFFF0000"/>
      <name val="Times New Roman"/>
      <family val="1"/>
    </font>
    <font>
      <sz val="16"/>
      <color rgb="FFFF0000"/>
      <name val="Times New Roman"/>
      <family val="1"/>
    </font>
    <font>
      <sz val="18"/>
      <color rgb="FFFF0000"/>
      <name val="Times New Roman"/>
      <family val="1"/>
    </font>
    <font>
      <b/>
      <sz val="20"/>
      <color theme="1"/>
      <name val="Times New Roman"/>
      <family val="1"/>
    </font>
    <font>
      <b/>
      <sz val="14"/>
      <color rgb="FFFF0000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9" fontId="3" fillId="0" borderId="1" xfId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1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164" fontId="3" fillId="0" borderId="11" xfId="0" applyNumberFormat="1" applyFont="1" applyBorder="1" applyAlignment="1">
      <alignment horizontal="center" vertical="center"/>
    </xf>
    <xf numFmtId="164" fontId="3" fillId="4" borderId="11" xfId="0" applyNumberFormat="1" applyFont="1" applyFill="1" applyBorder="1" applyAlignment="1">
      <alignment horizontal="center" vertical="center"/>
    </xf>
    <xf numFmtId="164" fontId="3" fillId="5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164" fontId="7" fillId="3" borderId="14" xfId="0" applyNumberFormat="1" applyFont="1" applyFill="1" applyBorder="1" applyAlignment="1">
      <alignment horizontal="center" vertical="center"/>
    </xf>
    <xf numFmtId="9" fontId="8" fillId="6" borderId="14" xfId="0" applyNumberFormat="1" applyFont="1" applyFill="1" applyBorder="1" applyAlignment="1">
      <alignment horizontal="center" vertical="center"/>
    </xf>
    <xf numFmtId="9" fontId="8" fillId="6" borderId="15" xfId="0" applyNumberFormat="1" applyFont="1" applyFill="1" applyBorder="1" applyAlignment="1">
      <alignment horizontal="center" vertical="center"/>
    </xf>
    <xf numFmtId="164" fontId="3" fillId="7" borderId="11" xfId="0" applyNumberFormat="1" applyFont="1" applyFill="1" applyBorder="1" applyAlignment="1">
      <alignment horizontal="center" vertical="center"/>
    </xf>
    <xf numFmtId="0" fontId="7" fillId="8" borderId="11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9" fontId="7" fillId="8" borderId="11" xfId="1" applyFont="1" applyFill="1" applyBorder="1" applyAlignment="1">
      <alignment horizontal="center" vertical="center"/>
    </xf>
    <xf numFmtId="9" fontId="7" fillId="8" borderId="12" xfId="1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6" xfId="0" applyFont="1" applyBorder="1" applyAlignment="1">
      <alignment vertical="center"/>
    </xf>
    <xf numFmtId="0" fontId="3" fillId="9" borderId="17" xfId="0" applyFont="1" applyFill="1" applyBorder="1" applyAlignment="1">
      <alignment vertical="center"/>
    </xf>
    <xf numFmtId="0" fontId="3" fillId="9" borderId="18" xfId="0" applyFont="1" applyFill="1" applyBorder="1" applyAlignment="1">
      <alignment vertical="center"/>
    </xf>
    <xf numFmtId="0" fontId="7" fillId="9" borderId="19" xfId="0" applyFont="1" applyFill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8" borderId="8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5" fillId="0" borderId="7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9" fontId="8" fillId="6" borderId="14" xfId="1" applyFont="1" applyFill="1" applyBorder="1" applyAlignment="1">
      <alignment horizontal="center" vertical="center"/>
    </xf>
    <xf numFmtId="0" fontId="4" fillId="10" borderId="11" xfId="0" applyFont="1" applyFill="1" applyBorder="1"/>
    <xf numFmtId="0" fontId="10" fillId="11" borderId="20" xfId="0" applyFont="1" applyFill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64" fontId="3" fillId="0" borderId="11" xfId="0" applyNumberFormat="1" applyFont="1" applyBorder="1"/>
    <xf numFmtId="164" fontId="3" fillId="12" borderId="11" xfId="0" applyNumberFormat="1" applyFont="1" applyFill="1" applyBorder="1"/>
    <xf numFmtId="164" fontId="11" fillId="5" borderId="11" xfId="0" applyNumberFormat="1" applyFont="1" applyFill="1" applyBorder="1"/>
    <xf numFmtId="0" fontId="4" fillId="12" borderId="11" xfId="0" applyFont="1" applyFill="1" applyBorder="1" applyAlignment="1">
      <alignment horizontal="center" vertical="center"/>
    </xf>
    <xf numFmtId="0" fontId="11" fillId="5" borderId="11" xfId="0" applyFont="1" applyFill="1" applyBorder="1" applyAlignment="1">
      <alignment horizontal="center" vertical="center"/>
    </xf>
    <xf numFmtId="0" fontId="4" fillId="12" borderId="11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3555-DE94-44BF-8C2F-B3637FE4CFBB}">
  <dimension ref="A1:J32"/>
  <sheetViews>
    <sheetView zoomScaleNormal="100" workbookViewId="0">
      <selection activeCell="E4" sqref="E4"/>
    </sheetView>
  </sheetViews>
  <sheetFormatPr defaultColWidth="9.09765625" defaultRowHeight="30.75" customHeight="1" x14ac:dyDescent="0.25"/>
  <cols>
    <col min="1" max="1" width="13" style="1" bestFit="1" customWidth="1"/>
    <col min="2" max="2" width="7" style="1" bestFit="1" customWidth="1"/>
    <col min="3" max="3" width="9.8984375" style="1" bestFit="1" customWidth="1"/>
    <col min="4" max="4" width="9.8984375" style="1" customWidth="1"/>
    <col min="5" max="6" width="9.8984375" style="1" bestFit="1" customWidth="1"/>
    <col min="7" max="7" width="9.8984375" style="1" customWidth="1"/>
    <col min="8" max="9" width="9.8984375" style="1" bestFit="1" customWidth="1"/>
    <col min="10" max="10" width="9.8984375" style="1" customWidth="1"/>
    <col min="11" max="16384" width="9.09765625" style="1"/>
  </cols>
  <sheetData>
    <row r="1" spans="1:10" ht="30.75" customHeight="1" x14ac:dyDescent="0.25">
      <c r="A1" s="35" t="s">
        <v>0</v>
      </c>
      <c r="B1" s="35" t="s">
        <v>1</v>
      </c>
      <c r="C1" s="34" t="s">
        <v>2</v>
      </c>
      <c r="D1" s="34"/>
      <c r="E1" s="34"/>
      <c r="F1" s="31" t="s">
        <v>3</v>
      </c>
      <c r="G1" s="32"/>
      <c r="H1" s="33"/>
      <c r="I1" s="31" t="s">
        <v>14</v>
      </c>
      <c r="J1" s="32"/>
    </row>
    <row r="2" spans="1:10" ht="30.75" customHeight="1" x14ac:dyDescent="0.25">
      <c r="A2" s="36"/>
      <c r="B2" s="36"/>
      <c r="C2" s="2" t="s">
        <v>4</v>
      </c>
      <c r="D2" s="2" t="s">
        <v>5</v>
      </c>
      <c r="E2" s="2" t="s">
        <v>13</v>
      </c>
      <c r="F2" s="2" t="s">
        <v>4</v>
      </c>
      <c r="G2" s="2" t="s">
        <v>5</v>
      </c>
      <c r="H2" s="2" t="s">
        <v>13</v>
      </c>
      <c r="I2" s="2" t="s">
        <v>4</v>
      </c>
      <c r="J2" s="2" t="s">
        <v>5</v>
      </c>
    </row>
    <row r="3" spans="1:10" ht="30.75" customHeight="1" x14ac:dyDescent="0.25">
      <c r="A3" s="3">
        <v>45778</v>
      </c>
      <c r="B3" s="2" t="s">
        <v>11</v>
      </c>
      <c r="C3" s="6"/>
      <c r="D3" s="6"/>
      <c r="E3" s="6"/>
      <c r="F3" s="6"/>
      <c r="G3" s="6"/>
      <c r="H3" s="6"/>
      <c r="I3" s="7"/>
      <c r="J3" s="7"/>
    </row>
    <row r="4" spans="1:10" ht="30.75" customHeight="1" x14ac:dyDescent="0.25">
      <c r="A4" s="3">
        <v>45779</v>
      </c>
      <c r="B4" s="4" t="s">
        <v>12</v>
      </c>
      <c r="C4" s="6"/>
      <c r="D4" s="6"/>
      <c r="E4" s="6"/>
      <c r="F4" s="6"/>
      <c r="G4" s="6"/>
      <c r="H4" s="6"/>
      <c r="I4" s="7"/>
      <c r="J4" s="7"/>
    </row>
    <row r="5" spans="1:10" ht="30.75" customHeight="1" x14ac:dyDescent="0.25">
      <c r="A5" s="3">
        <v>45780</v>
      </c>
      <c r="B5" s="4" t="s">
        <v>6</v>
      </c>
      <c r="C5" s="6"/>
      <c r="D5" s="6"/>
      <c r="E5" s="6"/>
      <c r="F5" s="6"/>
      <c r="G5" s="6"/>
      <c r="H5" s="6"/>
      <c r="I5" s="7"/>
      <c r="J5" s="7"/>
    </row>
    <row r="6" spans="1:10" ht="30.75" customHeight="1" x14ac:dyDescent="0.25">
      <c r="A6" s="3">
        <v>45781</v>
      </c>
      <c r="B6" s="2" t="s">
        <v>7</v>
      </c>
      <c r="C6" s="6"/>
      <c r="D6" s="6"/>
      <c r="E6" s="6"/>
      <c r="F6" s="6"/>
      <c r="G6" s="6"/>
      <c r="H6" s="6"/>
      <c r="I6" s="7"/>
      <c r="J6" s="7"/>
    </row>
    <row r="7" spans="1:10" ht="30.75" customHeight="1" x14ac:dyDescent="0.25">
      <c r="A7" s="3">
        <v>45782</v>
      </c>
      <c r="B7" s="5" t="s">
        <v>8</v>
      </c>
      <c r="C7" s="6"/>
      <c r="D7" s="6"/>
      <c r="E7" s="6"/>
      <c r="F7" s="6"/>
      <c r="G7" s="6"/>
      <c r="H7" s="6"/>
      <c r="I7" s="7"/>
      <c r="J7" s="7"/>
    </row>
    <row r="8" spans="1:10" ht="30.75" customHeight="1" x14ac:dyDescent="0.25">
      <c r="A8" s="3">
        <v>45783</v>
      </c>
      <c r="B8" s="2" t="s">
        <v>9</v>
      </c>
      <c r="C8" s="6"/>
      <c r="D8" s="6"/>
      <c r="E8" s="6"/>
      <c r="F8" s="6"/>
      <c r="G8" s="6"/>
      <c r="H8" s="6"/>
      <c r="I8" s="7"/>
      <c r="J8" s="7"/>
    </row>
    <row r="9" spans="1:10" ht="30.75" customHeight="1" x14ac:dyDescent="0.25">
      <c r="A9" s="3">
        <v>45784</v>
      </c>
      <c r="B9" s="2" t="s">
        <v>10</v>
      </c>
      <c r="C9" s="6"/>
      <c r="D9" s="6"/>
      <c r="E9" s="6"/>
      <c r="F9" s="6"/>
      <c r="G9" s="6"/>
      <c r="H9" s="6"/>
      <c r="I9" s="7"/>
      <c r="J9" s="7"/>
    </row>
    <row r="10" spans="1:10" ht="30.75" customHeight="1" x14ac:dyDescent="0.25">
      <c r="A10" s="3">
        <v>45785</v>
      </c>
      <c r="B10" s="2" t="s">
        <v>11</v>
      </c>
      <c r="C10" s="6"/>
      <c r="D10" s="6"/>
      <c r="E10" s="6"/>
      <c r="F10" s="6"/>
      <c r="G10" s="6"/>
      <c r="H10" s="6"/>
      <c r="I10" s="7"/>
      <c r="J10" s="7"/>
    </row>
    <row r="11" spans="1:10" ht="30.75" customHeight="1" x14ac:dyDescent="0.25">
      <c r="A11" s="3">
        <v>45786</v>
      </c>
      <c r="B11" s="4" t="s">
        <v>12</v>
      </c>
      <c r="C11" s="6"/>
      <c r="D11" s="6"/>
      <c r="E11" s="6"/>
      <c r="F11" s="6"/>
      <c r="G11" s="6"/>
      <c r="H11" s="6"/>
      <c r="I11" s="7"/>
      <c r="J11" s="7"/>
    </row>
    <row r="12" spans="1:10" ht="30.75" customHeight="1" x14ac:dyDescent="0.25">
      <c r="A12" s="3">
        <v>45787</v>
      </c>
      <c r="B12" s="4" t="s">
        <v>6</v>
      </c>
      <c r="C12" s="6"/>
      <c r="D12" s="6"/>
      <c r="E12" s="6"/>
      <c r="F12" s="6"/>
      <c r="G12" s="6"/>
      <c r="H12" s="6"/>
      <c r="I12" s="7"/>
      <c r="J12" s="7"/>
    </row>
    <row r="13" spans="1:10" ht="30.75" customHeight="1" x14ac:dyDescent="0.25">
      <c r="A13" s="3">
        <v>45788</v>
      </c>
      <c r="B13" s="2" t="s">
        <v>7</v>
      </c>
      <c r="C13" s="6"/>
      <c r="D13" s="6"/>
      <c r="E13" s="6"/>
      <c r="F13" s="6"/>
      <c r="G13" s="6"/>
      <c r="H13" s="6"/>
      <c r="I13" s="7"/>
      <c r="J13" s="7"/>
    </row>
    <row r="14" spans="1:10" ht="30.75" customHeight="1" x14ac:dyDescent="0.25">
      <c r="A14" s="3">
        <v>45789</v>
      </c>
      <c r="B14" s="5" t="s">
        <v>8</v>
      </c>
      <c r="C14" s="6"/>
      <c r="D14" s="6"/>
      <c r="E14" s="6"/>
      <c r="F14" s="6"/>
      <c r="G14" s="6"/>
      <c r="H14" s="6"/>
      <c r="I14" s="7"/>
      <c r="J14" s="7"/>
    </row>
    <row r="15" spans="1:10" ht="30.75" customHeight="1" x14ac:dyDescent="0.25">
      <c r="A15" s="3">
        <v>45790</v>
      </c>
      <c r="B15" s="2" t="s">
        <v>9</v>
      </c>
      <c r="C15" s="6"/>
      <c r="D15" s="6"/>
      <c r="E15" s="6"/>
      <c r="F15" s="6"/>
      <c r="G15" s="6"/>
      <c r="H15" s="6"/>
      <c r="I15" s="7"/>
      <c r="J15" s="7"/>
    </row>
    <row r="16" spans="1:10" ht="30.75" customHeight="1" x14ac:dyDescent="0.25">
      <c r="A16" s="3">
        <v>45791</v>
      </c>
      <c r="B16" s="2" t="s">
        <v>10</v>
      </c>
      <c r="C16" s="6"/>
      <c r="D16" s="6"/>
      <c r="E16" s="6"/>
      <c r="F16" s="6"/>
      <c r="G16" s="6"/>
      <c r="H16" s="6"/>
      <c r="I16" s="7"/>
      <c r="J16" s="7"/>
    </row>
    <row r="17" spans="1:10" ht="30.75" customHeight="1" x14ac:dyDescent="0.25">
      <c r="A17" s="3">
        <v>45792</v>
      </c>
      <c r="B17" s="2" t="s">
        <v>11</v>
      </c>
      <c r="C17" s="6"/>
      <c r="D17" s="6"/>
      <c r="E17" s="6"/>
      <c r="F17" s="6"/>
      <c r="G17" s="6"/>
      <c r="H17" s="6"/>
      <c r="I17" s="7"/>
      <c r="J17" s="7"/>
    </row>
    <row r="18" spans="1:10" ht="30.75" customHeight="1" x14ac:dyDescent="0.25">
      <c r="A18" s="3">
        <v>45793</v>
      </c>
      <c r="B18" s="4" t="s">
        <v>12</v>
      </c>
      <c r="C18" s="6"/>
      <c r="D18" s="6"/>
      <c r="E18" s="6"/>
      <c r="F18" s="6"/>
      <c r="G18" s="6"/>
      <c r="H18" s="6"/>
      <c r="I18" s="7"/>
      <c r="J18" s="7"/>
    </row>
    <row r="19" spans="1:10" ht="30.75" customHeight="1" x14ac:dyDescent="0.25">
      <c r="A19" s="3">
        <v>45794</v>
      </c>
      <c r="B19" s="4" t="s">
        <v>6</v>
      </c>
      <c r="C19" s="6"/>
      <c r="D19" s="6"/>
      <c r="E19" s="6"/>
      <c r="F19" s="6"/>
      <c r="G19" s="6"/>
      <c r="H19" s="6"/>
      <c r="I19" s="7"/>
      <c r="J19" s="7"/>
    </row>
    <row r="20" spans="1:10" ht="30.75" customHeight="1" x14ac:dyDescent="0.25">
      <c r="A20" s="3">
        <v>45795</v>
      </c>
      <c r="B20" s="2" t="s">
        <v>7</v>
      </c>
      <c r="C20" s="6"/>
      <c r="D20" s="6"/>
      <c r="E20" s="6"/>
      <c r="F20" s="6"/>
      <c r="G20" s="6"/>
      <c r="H20" s="6"/>
      <c r="I20" s="7"/>
      <c r="J20" s="7"/>
    </row>
    <row r="21" spans="1:10" ht="30.75" customHeight="1" x14ac:dyDescent="0.25">
      <c r="A21" s="3">
        <v>45796</v>
      </c>
      <c r="B21" s="5" t="s">
        <v>8</v>
      </c>
      <c r="C21" s="6"/>
      <c r="D21" s="6"/>
      <c r="E21" s="6"/>
      <c r="F21" s="6"/>
      <c r="G21" s="6"/>
      <c r="H21" s="6"/>
      <c r="I21" s="7"/>
      <c r="J21" s="7"/>
    </row>
    <row r="22" spans="1:10" ht="30.75" customHeight="1" x14ac:dyDescent="0.25">
      <c r="A22" s="3">
        <v>45797</v>
      </c>
      <c r="B22" s="2" t="s">
        <v>9</v>
      </c>
      <c r="C22" s="6"/>
      <c r="D22" s="6"/>
      <c r="E22" s="6"/>
      <c r="F22" s="6"/>
      <c r="G22" s="6"/>
      <c r="H22" s="6"/>
      <c r="I22" s="7"/>
      <c r="J22" s="7"/>
    </row>
    <row r="23" spans="1:10" ht="30.75" customHeight="1" x14ac:dyDescent="0.25">
      <c r="A23" s="3">
        <v>45798</v>
      </c>
      <c r="B23" s="2" t="s">
        <v>10</v>
      </c>
      <c r="C23" s="6"/>
      <c r="D23" s="6"/>
      <c r="E23" s="6"/>
      <c r="F23" s="6"/>
      <c r="G23" s="6"/>
      <c r="H23" s="6"/>
      <c r="I23" s="7"/>
      <c r="J23" s="7"/>
    </row>
    <row r="24" spans="1:10" ht="30.75" customHeight="1" x14ac:dyDescent="0.25">
      <c r="A24" s="3">
        <v>45799</v>
      </c>
      <c r="B24" s="2" t="s">
        <v>11</v>
      </c>
      <c r="C24" s="6"/>
      <c r="D24" s="6"/>
      <c r="E24" s="6"/>
      <c r="F24" s="6"/>
      <c r="G24" s="6"/>
      <c r="H24" s="6"/>
      <c r="I24" s="7"/>
      <c r="J24" s="7"/>
    </row>
    <row r="25" spans="1:10" ht="30.75" customHeight="1" x14ac:dyDescent="0.25">
      <c r="A25" s="3">
        <v>45800</v>
      </c>
      <c r="B25" s="4" t="s">
        <v>12</v>
      </c>
      <c r="C25" s="6"/>
      <c r="D25" s="6"/>
      <c r="E25" s="6"/>
      <c r="F25" s="6"/>
      <c r="G25" s="6"/>
      <c r="H25" s="6"/>
      <c r="I25" s="7"/>
      <c r="J25" s="7"/>
    </row>
    <row r="26" spans="1:10" ht="30.75" customHeight="1" x14ac:dyDescent="0.25">
      <c r="A26" s="3">
        <v>45801</v>
      </c>
      <c r="B26" s="4" t="s">
        <v>6</v>
      </c>
      <c r="C26" s="6"/>
      <c r="D26" s="6"/>
      <c r="E26" s="6"/>
      <c r="F26" s="6"/>
      <c r="G26" s="6"/>
      <c r="H26" s="6"/>
      <c r="I26" s="7"/>
      <c r="J26" s="7"/>
    </row>
    <row r="27" spans="1:10" ht="30.75" customHeight="1" x14ac:dyDescent="0.25">
      <c r="A27" s="3">
        <v>45802</v>
      </c>
      <c r="B27" s="2" t="s">
        <v>7</v>
      </c>
      <c r="C27" s="6"/>
      <c r="D27" s="6"/>
      <c r="E27" s="6"/>
      <c r="F27" s="6"/>
      <c r="G27" s="6"/>
      <c r="H27" s="6"/>
      <c r="I27" s="7"/>
      <c r="J27" s="7"/>
    </row>
    <row r="28" spans="1:10" ht="30.75" customHeight="1" x14ac:dyDescent="0.25">
      <c r="A28" s="3">
        <v>45803</v>
      </c>
      <c r="B28" s="5" t="s">
        <v>8</v>
      </c>
      <c r="C28" s="6"/>
      <c r="D28" s="6"/>
      <c r="E28" s="6"/>
      <c r="F28" s="6"/>
      <c r="G28" s="6"/>
      <c r="H28" s="6"/>
      <c r="I28" s="7"/>
      <c r="J28" s="7"/>
    </row>
    <row r="29" spans="1:10" ht="30.75" customHeight="1" x14ac:dyDescent="0.25">
      <c r="A29" s="3">
        <v>45804</v>
      </c>
      <c r="B29" s="2" t="s">
        <v>9</v>
      </c>
      <c r="C29" s="6"/>
      <c r="D29" s="6"/>
      <c r="E29" s="6"/>
      <c r="F29" s="6"/>
      <c r="G29" s="6"/>
      <c r="H29" s="6"/>
      <c r="I29" s="7"/>
      <c r="J29" s="7"/>
    </row>
    <row r="30" spans="1:10" ht="30.75" customHeight="1" x14ac:dyDescent="0.25">
      <c r="A30" s="3">
        <v>45805</v>
      </c>
      <c r="B30" s="2" t="s">
        <v>10</v>
      </c>
      <c r="C30" s="6"/>
      <c r="D30" s="6"/>
      <c r="E30" s="6"/>
      <c r="F30" s="6"/>
      <c r="G30" s="6"/>
      <c r="H30" s="6"/>
      <c r="I30" s="7"/>
      <c r="J30" s="7"/>
    </row>
    <row r="31" spans="1:10" ht="30.75" customHeight="1" x14ac:dyDescent="0.25">
      <c r="A31" s="3">
        <v>45806</v>
      </c>
      <c r="B31" s="2" t="s">
        <v>11</v>
      </c>
      <c r="C31" s="6"/>
      <c r="D31" s="6"/>
      <c r="E31" s="6"/>
      <c r="F31" s="6"/>
      <c r="G31" s="6"/>
      <c r="H31" s="6"/>
      <c r="I31" s="7"/>
      <c r="J31" s="7"/>
    </row>
    <row r="32" spans="1:10" ht="30.75" customHeight="1" x14ac:dyDescent="0.25">
      <c r="A32" s="3">
        <v>45807</v>
      </c>
      <c r="B32" s="4" t="s">
        <v>12</v>
      </c>
      <c r="C32" s="6"/>
      <c r="D32" s="6"/>
      <c r="E32" s="6"/>
      <c r="F32" s="6"/>
      <c r="G32" s="6"/>
      <c r="H32" s="6"/>
      <c r="I32" s="7"/>
      <c r="J32" s="7"/>
    </row>
  </sheetData>
  <mergeCells count="5">
    <mergeCell ref="F1:H1"/>
    <mergeCell ref="C1:E1"/>
    <mergeCell ref="I1:J1"/>
    <mergeCell ref="A1:A2"/>
    <mergeCell ref="B1:B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AFF4-CBFB-4BD9-B291-CDCA5DA3AC91}">
  <dimension ref="A1:AC34"/>
  <sheetViews>
    <sheetView topLeftCell="P1" zoomScaleNormal="100" workbookViewId="0">
      <selection activeCell="V9" sqref="V9"/>
    </sheetView>
  </sheetViews>
  <sheetFormatPr defaultColWidth="9.09765625" defaultRowHeight="30.75" customHeight="1" x14ac:dyDescent="0.25"/>
  <cols>
    <col min="1" max="1" width="13" style="1" bestFit="1" customWidth="1"/>
    <col min="2" max="2" width="7" style="1" bestFit="1" customWidth="1"/>
    <col min="3" max="8" width="14.09765625" style="1" customWidth="1"/>
    <col min="9" max="9" width="9.8984375" style="1" bestFit="1" customWidth="1"/>
    <col min="10" max="10" width="9.8984375" style="1" customWidth="1"/>
    <col min="11" max="12" width="9.09765625" style="1"/>
    <col min="13" max="13" width="53.59765625" style="1" customWidth="1"/>
    <col min="14" max="14" width="9.09765625" style="1"/>
    <col min="15" max="15" width="53" style="1" customWidth="1"/>
    <col min="16" max="16" width="9.09765625" style="1"/>
    <col min="17" max="24" width="16.09765625" style="1" customWidth="1"/>
    <col min="25" max="25" width="21.796875" style="1" customWidth="1"/>
    <col min="26" max="28" width="16.09765625" style="1" customWidth="1"/>
    <col min="29" max="29" width="23.5" style="1" customWidth="1"/>
    <col min="30" max="16384" width="9.09765625" style="1"/>
  </cols>
  <sheetData>
    <row r="1" spans="1:29" ht="30.75" customHeight="1" thickBot="1" x14ac:dyDescent="0.3">
      <c r="A1" s="41" t="s">
        <v>0</v>
      </c>
      <c r="B1" s="43" t="s">
        <v>1</v>
      </c>
      <c r="C1" s="43" t="s">
        <v>2</v>
      </c>
      <c r="D1" s="43"/>
      <c r="E1" s="43"/>
      <c r="F1" s="43" t="s">
        <v>3</v>
      </c>
      <c r="G1" s="43"/>
      <c r="H1" s="43"/>
      <c r="I1" s="37" t="s">
        <v>14</v>
      </c>
      <c r="J1" s="38"/>
      <c r="M1" s="45" t="s">
        <v>15</v>
      </c>
      <c r="N1" s="26"/>
      <c r="O1" s="45" t="s">
        <v>28</v>
      </c>
      <c r="P1" s="26"/>
      <c r="Q1" s="48" t="s">
        <v>36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</row>
    <row r="2" spans="1:29" ht="30.75" customHeight="1" thickTop="1" thickBot="1" x14ac:dyDescent="0.3">
      <c r="A2" s="42"/>
      <c r="B2" s="44"/>
      <c r="C2" s="8" t="s">
        <v>4</v>
      </c>
      <c r="D2" s="8" t="s">
        <v>5</v>
      </c>
      <c r="E2" s="9" t="s">
        <v>13</v>
      </c>
      <c r="F2" s="8" t="s">
        <v>4</v>
      </c>
      <c r="G2" s="8" t="s">
        <v>5</v>
      </c>
      <c r="H2" s="10" t="s">
        <v>13</v>
      </c>
      <c r="I2" s="22" t="s">
        <v>4</v>
      </c>
      <c r="J2" s="23" t="s">
        <v>5</v>
      </c>
      <c r="M2" s="28" t="s">
        <v>16</v>
      </c>
      <c r="O2" s="28" t="s">
        <v>29</v>
      </c>
      <c r="Q2" s="49" t="s">
        <v>39</v>
      </c>
      <c r="R2" s="49" t="s">
        <v>49</v>
      </c>
      <c r="S2" s="49" t="s">
        <v>50</v>
      </c>
      <c r="T2" s="53" t="s">
        <v>40</v>
      </c>
      <c r="U2" s="53"/>
      <c r="V2" s="49" t="s">
        <v>42</v>
      </c>
      <c r="W2" s="49"/>
      <c r="X2" s="49"/>
      <c r="Y2" s="54" t="s">
        <v>46</v>
      </c>
      <c r="Z2" s="49" t="s">
        <v>51</v>
      </c>
      <c r="AA2" s="49"/>
      <c r="AB2" s="49"/>
      <c r="AC2" s="54" t="s">
        <v>55</v>
      </c>
    </row>
    <row r="3" spans="1:29" ht="30.75" customHeight="1" thickTop="1" thickBot="1" x14ac:dyDescent="0.3">
      <c r="A3" s="11">
        <v>45748</v>
      </c>
      <c r="B3" s="12" t="s">
        <v>9</v>
      </c>
      <c r="C3" s="21"/>
      <c r="D3" s="21"/>
      <c r="E3" s="14">
        <f>D3+C3</f>
        <v>0</v>
      </c>
      <c r="F3" s="13"/>
      <c r="G3" s="13"/>
      <c r="H3" s="15">
        <f>SUM(F3:G3)</f>
        <v>0</v>
      </c>
      <c r="I3" s="24" t="e">
        <f>F3/C3</f>
        <v>#DIV/0!</v>
      </c>
      <c r="J3" s="25">
        <f>IF(G3&lt;&gt;0,G3/D3,1)</f>
        <v>1</v>
      </c>
      <c r="M3" s="29" t="s">
        <v>17</v>
      </c>
      <c r="O3" s="29" t="s">
        <v>31</v>
      </c>
      <c r="Q3" s="49"/>
      <c r="R3" s="49"/>
      <c r="S3" s="49"/>
      <c r="T3" s="55" t="s">
        <v>48</v>
      </c>
      <c r="U3" s="55" t="s">
        <v>41</v>
      </c>
      <c r="V3" s="8" t="s">
        <v>43</v>
      </c>
      <c r="W3" s="8" t="s">
        <v>44</v>
      </c>
      <c r="X3" s="8" t="s">
        <v>45</v>
      </c>
      <c r="Y3" s="54" t="s">
        <v>47</v>
      </c>
      <c r="Z3" s="8" t="s">
        <v>52</v>
      </c>
      <c r="AA3" s="8" t="s">
        <v>54</v>
      </c>
      <c r="AB3" s="8" t="s">
        <v>53</v>
      </c>
      <c r="AC3" s="54" t="s">
        <v>56</v>
      </c>
    </row>
    <row r="4" spans="1:29" ht="30.75" customHeight="1" thickTop="1" thickBot="1" x14ac:dyDescent="0.4">
      <c r="A4" s="11">
        <v>45749</v>
      </c>
      <c r="B4" s="12" t="s">
        <v>10</v>
      </c>
      <c r="C4" s="21"/>
      <c r="D4" s="21"/>
      <c r="E4" s="14">
        <f t="shared" ref="E4:E32" si="0">D4+C4</f>
        <v>0</v>
      </c>
      <c r="F4" s="13"/>
      <c r="G4" s="13"/>
      <c r="H4" s="15">
        <f t="shared" ref="H4:H33" si="1">SUM(F4:G4)</f>
        <v>0</v>
      </c>
      <c r="I4" s="24" t="e">
        <f>F4/C4</f>
        <v>#DIV/0!</v>
      </c>
      <c r="J4" s="25">
        <f t="shared" ref="J4:J33" si="2">IF(G4&lt;&gt;0,G4/D4,1)</f>
        <v>1</v>
      </c>
      <c r="M4" s="29" t="s">
        <v>18</v>
      </c>
      <c r="O4" s="29" t="s">
        <v>30</v>
      </c>
      <c r="Q4" s="47" t="s">
        <v>37</v>
      </c>
      <c r="R4" s="50">
        <f>F34</f>
        <v>2685553</v>
      </c>
      <c r="S4" s="50">
        <f>R4*0.86</f>
        <v>2309575.58</v>
      </c>
      <c r="T4" s="51">
        <v>192550</v>
      </c>
      <c r="U4" s="51">
        <v>1100000</v>
      </c>
      <c r="V4" s="50">
        <v>70000</v>
      </c>
      <c r="W4" s="50">
        <v>2000</v>
      </c>
      <c r="X4" s="50">
        <v>30000</v>
      </c>
      <c r="Y4" s="52">
        <f>R4-S4-T4-U4-V4-W4-X4</f>
        <v>-1018572.5800000001</v>
      </c>
      <c r="Z4" s="50">
        <v>20000</v>
      </c>
      <c r="AA4" s="50">
        <v>10000</v>
      </c>
      <c r="AB4" s="50">
        <v>10000</v>
      </c>
      <c r="AC4" s="52">
        <f>Y4-Z4-AA4-AB4</f>
        <v>-1058572.58</v>
      </c>
    </row>
    <row r="5" spans="1:29" ht="30.75" customHeight="1" thickTop="1" thickBot="1" x14ac:dyDescent="0.4">
      <c r="A5" s="11">
        <v>45750</v>
      </c>
      <c r="B5" s="12" t="s">
        <v>11</v>
      </c>
      <c r="C5" s="21"/>
      <c r="D5" s="21"/>
      <c r="E5" s="14">
        <f t="shared" si="0"/>
        <v>0</v>
      </c>
      <c r="F5" s="13"/>
      <c r="G5" s="13"/>
      <c r="H5" s="15">
        <f t="shared" si="1"/>
        <v>0</v>
      </c>
      <c r="I5" s="24" t="e">
        <f t="shared" ref="I5:I33" si="3">F5/C5</f>
        <v>#DIV/0!</v>
      </c>
      <c r="J5" s="25">
        <f t="shared" si="2"/>
        <v>1</v>
      </c>
      <c r="M5" s="29" t="s">
        <v>19</v>
      </c>
      <c r="O5" s="29" t="s">
        <v>32</v>
      </c>
      <c r="Q5" s="47" t="s">
        <v>38</v>
      </c>
      <c r="R5" s="50">
        <f>G34</f>
        <v>1416890</v>
      </c>
      <c r="S5" s="50">
        <f>R5*0.86</f>
        <v>1218525.3999999999</v>
      </c>
      <c r="T5" s="51">
        <v>60330</v>
      </c>
      <c r="U5" s="51">
        <v>350000</v>
      </c>
      <c r="V5" s="50">
        <v>10000</v>
      </c>
      <c r="W5" s="50">
        <v>2000</v>
      </c>
      <c r="X5" s="50">
        <v>10000</v>
      </c>
      <c r="Y5" s="52">
        <f>R5-S5-T5-U5-V5-W5-X5</f>
        <v>-233965.39999999991</v>
      </c>
      <c r="Z5" s="50">
        <v>10000</v>
      </c>
      <c r="AA5" s="50">
        <v>5000</v>
      </c>
      <c r="AB5" s="50">
        <v>10000</v>
      </c>
      <c r="AC5" s="52">
        <f>Y5-Z5-AA5-AB5</f>
        <v>-258965.39999999991</v>
      </c>
    </row>
    <row r="6" spans="1:29" ht="30.75" customHeight="1" thickTop="1" thickBot="1" x14ac:dyDescent="0.3">
      <c r="A6" s="11">
        <v>45751</v>
      </c>
      <c r="B6" s="16" t="s">
        <v>12</v>
      </c>
      <c r="C6" s="21"/>
      <c r="D6" s="21"/>
      <c r="E6" s="14">
        <f t="shared" si="0"/>
        <v>0</v>
      </c>
      <c r="F6" s="13"/>
      <c r="G6" s="13"/>
      <c r="H6" s="15">
        <f t="shared" si="1"/>
        <v>0</v>
      </c>
      <c r="I6" s="24" t="e">
        <f t="shared" si="3"/>
        <v>#DIV/0!</v>
      </c>
      <c r="J6" s="25">
        <f t="shared" si="2"/>
        <v>1</v>
      </c>
      <c r="M6" s="29" t="s">
        <v>21</v>
      </c>
      <c r="O6" s="29" t="s">
        <v>33</v>
      </c>
    </row>
    <row r="7" spans="1:29" ht="30.75" customHeight="1" thickTop="1" thickBot="1" x14ac:dyDescent="0.3">
      <c r="A7" s="11">
        <v>45752</v>
      </c>
      <c r="B7" s="16" t="s">
        <v>6</v>
      </c>
      <c r="C7" s="21"/>
      <c r="D7" s="21"/>
      <c r="E7" s="14">
        <f t="shared" si="0"/>
        <v>0</v>
      </c>
      <c r="F7" s="13"/>
      <c r="G7" s="13"/>
      <c r="H7" s="15">
        <f t="shared" si="1"/>
        <v>0</v>
      </c>
      <c r="I7" s="24" t="e">
        <f t="shared" si="3"/>
        <v>#DIV/0!</v>
      </c>
      <c r="J7" s="25">
        <f t="shared" si="2"/>
        <v>1</v>
      </c>
      <c r="M7" s="29" t="s">
        <v>20</v>
      </c>
      <c r="O7" s="29" t="s">
        <v>34</v>
      </c>
    </row>
    <row r="8" spans="1:29" ht="30.75" customHeight="1" thickTop="1" thickBot="1" x14ac:dyDescent="0.3">
      <c r="A8" s="11">
        <v>45753</v>
      </c>
      <c r="B8" s="12" t="s">
        <v>7</v>
      </c>
      <c r="C8" s="21"/>
      <c r="D8" s="21"/>
      <c r="E8" s="14">
        <f t="shared" si="0"/>
        <v>0</v>
      </c>
      <c r="F8" s="13"/>
      <c r="G8" s="13"/>
      <c r="H8" s="15">
        <f t="shared" si="1"/>
        <v>0</v>
      </c>
      <c r="I8" s="24" t="e">
        <f t="shared" si="3"/>
        <v>#DIV/0!</v>
      </c>
      <c r="J8" s="25">
        <f t="shared" si="2"/>
        <v>1</v>
      </c>
      <c r="M8" s="29" t="s">
        <v>22</v>
      </c>
      <c r="O8" s="29" t="s">
        <v>35</v>
      </c>
    </row>
    <row r="9" spans="1:29" ht="30.75" customHeight="1" thickTop="1" thickBot="1" x14ac:dyDescent="0.3">
      <c r="A9" s="11">
        <v>45754</v>
      </c>
      <c r="B9" s="17" t="s">
        <v>8</v>
      </c>
      <c r="C9" s="21"/>
      <c r="D9" s="21"/>
      <c r="E9" s="14">
        <f t="shared" si="0"/>
        <v>0</v>
      </c>
      <c r="F9" s="13"/>
      <c r="G9" s="13"/>
      <c r="H9" s="15">
        <f t="shared" si="1"/>
        <v>0</v>
      </c>
      <c r="I9" s="24" t="e">
        <f t="shared" si="3"/>
        <v>#DIV/0!</v>
      </c>
      <c r="J9" s="25">
        <f t="shared" si="2"/>
        <v>1</v>
      </c>
      <c r="M9" s="30"/>
      <c r="O9" s="30"/>
    </row>
    <row r="10" spans="1:29" ht="30.75" customHeight="1" thickTop="1" thickBot="1" x14ac:dyDescent="0.3">
      <c r="A10" s="11">
        <v>45755</v>
      </c>
      <c r="B10" s="12" t="s">
        <v>9</v>
      </c>
      <c r="C10" s="21"/>
      <c r="D10" s="21"/>
      <c r="E10" s="14">
        <f t="shared" si="0"/>
        <v>0</v>
      </c>
      <c r="F10" s="13"/>
      <c r="G10" s="13"/>
      <c r="H10" s="15">
        <f t="shared" si="1"/>
        <v>0</v>
      </c>
      <c r="I10" s="24" t="e">
        <f t="shared" si="3"/>
        <v>#DIV/0!</v>
      </c>
      <c r="J10" s="25">
        <f t="shared" si="2"/>
        <v>1</v>
      </c>
    </row>
    <row r="11" spans="1:29" ht="30.75" customHeight="1" thickTop="1" thickBot="1" x14ac:dyDescent="0.3">
      <c r="A11" s="11">
        <v>45756</v>
      </c>
      <c r="B11" s="12" t="s">
        <v>10</v>
      </c>
      <c r="C11" s="21"/>
      <c r="D11" s="21"/>
      <c r="E11" s="14">
        <f t="shared" si="0"/>
        <v>0</v>
      </c>
      <c r="F11" s="13"/>
      <c r="G11" s="13"/>
      <c r="H11" s="15">
        <f t="shared" si="1"/>
        <v>0</v>
      </c>
      <c r="I11" s="24" t="e">
        <f t="shared" si="3"/>
        <v>#DIV/0!</v>
      </c>
      <c r="J11" s="25">
        <f t="shared" si="2"/>
        <v>1</v>
      </c>
    </row>
    <row r="12" spans="1:29" ht="30.75" customHeight="1" thickTop="1" thickBot="1" x14ac:dyDescent="0.3">
      <c r="A12" s="11">
        <v>45757</v>
      </c>
      <c r="B12" s="12" t="s">
        <v>11</v>
      </c>
      <c r="C12" s="21"/>
      <c r="D12" s="21"/>
      <c r="E12" s="14">
        <f t="shared" si="0"/>
        <v>0</v>
      </c>
      <c r="F12" s="13"/>
      <c r="G12" s="13"/>
      <c r="H12" s="15">
        <f t="shared" si="1"/>
        <v>0</v>
      </c>
      <c r="I12" s="24" t="e">
        <f t="shared" si="3"/>
        <v>#DIV/0!</v>
      </c>
      <c r="J12" s="25">
        <f t="shared" si="2"/>
        <v>1</v>
      </c>
    </row>
    <row r="13" spans="1:29" ht="30.75" customHeight="1" thickTop="1" thickBot="1" x14ac:dyDescent="0.3">
      <c r="A13" s="11">
        <v>45758</v>
      </c>
      <c r="B13" s="16" t="s">
        <v>12</v>
      </c>
      <c r="C13" s="21"/>
      <c r="D13" s="21"/>
      <c r="E13" s="14">
        <f t="shared" si="0"/>
        <v>0</v>
      </c>
      <c r="F13" s="13"/>
      <c r="G13" s="13"/>
      <c r="H13" s="15">
        <f t="shared" si="1"/>
        <v>0</v>
      </c>
      <c r="I13" s="24" t="e">
        <f t="shared" si="3"/>
        <v>#DIV/0!</v>
      </c>
      <c r="J13" s="25">
        <f t="shared" si="2"/>
        <v>1</v>
      </c>
    </row>
    <row r="14" spans="1:29" ht="30.75" customHeight="1" thickTop="1" thickBot="1" x14ac:dyDescent="0.3">
      <c r="A14" s="11">
        <v>45759</v>
      </c>
      <c r="B14" s="16" t="s">
        <v>6</v>
      </c>
      <c r="C14" s="21"/>
      <c r="D14" s="21"/>
      <c r="E14" s="14">
        <f t="shared" si="0"/>
        <v>0</v>
      </c>
      <c r="F14" s="13"/>
      <c r="G14" s="13"/>
      <c r="H14" s="15">
        <f t="shared" si="1"/>
        <v>0</v>
      </c>
      <c r="I14" s="24" t="e">
        <f t="shared" si="3"/>
        <v>#DIV/0!</v>
      </c>
      <c r="J14" s="25">
        <f t="shared" si="2"/>
        <v>1</v>
      </c>
    </row>
    <row r="15" spans="1:29" ht="30.75" customHeight="1" thickTop="1" thickBot="1" x14ac:dyDescent="0.3">
      <c r="A15" s="11">
        <v>45760</v>
      </c>
      <c r="B15" s="12" t="s">
        <v>7</v>
      </c>
      <c r="C15" s="21"/>
      <c r="D15" s="21"/>
      <c r="E15" s="14">
        <f t="shared" si="0"/>
        <v>0</v>
      </c>
      <c r="F15" s="13"/>
      <c r="G15" s="13"/>
      <c r="H15" s="15">
        <f t="shared" si="1"/>
        <v>0</v>
      </c>
      <c r="I15" s="24" t="e">
        <f t="shared" si="3"/>
        <v>#DIV/0!</v>
      </c>
      <c r="J15" s="25">
        <f t="shared" si="2"/>
        <v>1</v>
      </c>
    </row>
    <row r="16" spans="1:29" ht="30.75" customHeight="1" thickTop="1" thickBot="1" x14ac:dyDescent="0.3">
      <c r="A16" s="11">
        <v>45761</v>
      </c>
      <c r="B16" s="17" t="s">
        <v>8</v>
      </c>
      <c r="C16" s="21"/>
      <c r="D16" s="21"/>
      <c r="E16" s="14">
        <f t="shared" si="0"/>
        <v>0</v>
      </c>
      <c r="F16" s="13"/>
      <c r="G16" s="13"/>
      <c r="H16" s="15">
        <f t="shared" si="1"/>
        <v>0</v>
      </c>
      <c r="I16" s="24" t="e">
        <f t="shared" si="3"/>
        <v>#DIV/0!</v>
      </c>
      <c r="J16" s="25">
        <f t="shared" si="2"/>
        <v>1</v>
      </c>
    </row>
    <row r="17" spans="1:10" ht="30.75" customHeight="1" thickTop="1" thickBot="1" x14ac:dyDescent="0.3">
      <c r="A17" s="11">
        <v>45762</v>
      </c>
      <c r="B17" s="12" t="s">
        <v>9</v>
      </c>
      <c r="C17" s="21"/>
      <c r="D17" s="21"/>
      <c r="E17" s="14">
        <f t="shared" si="0"/>
        <v>0</v>
      </c>
      <c r="F17" s="13"/>
      <c r="G17" s="13"/>
      <c r="H17" s="15">
        <f t="shared" si="1"/>
        <v>0</v>
      </c>
      <c r="I17" s="24" t="e">
        <f t="shared" si="3"/>
        <v>#DIV/0!</v>
      </c>
      <c r="J17" s="25">
        <f t="shared" si="2"/>
        <v>1</v>
      </c>
    </row>
    <row r="18" spans="1:10" ht="30.75" customHeight="1" thickTop="1" thickBot="1" x14ac:dyDescent="0.3">
      <c r="A18" s="11">
        <v>45763</v>
      </c>
      <c r="B18" s="12" t="s">
        <v>10</v>
      </c>
      <c r="C18" s="21"/>
      <c r="D18" s="21"/>
      <c r="E18" s="14">
        <f t="shared" si="0"/>
        <v>0</v>
      </c>
      <c r="F18" s="13"/>
      <c r="G18" s="13"/>
      <c r="H18" s="15">
        <f t="shared" si="1"/>
        <v>0</v>
      </c>
      <c r="I18" s="24" t="e">
        <f t="shared" si="3"/>
        <v>#DIV/0!</v>
      </c>
      <c r="J18" s="25">
        <f t="shared" si="2"/>
        <v>1</v>
      </c>
    </row>
    <row r="19" spans="1:10" ht="30.75" customHeight="1" thickTop="1" thickBot="1" x14ac:dyDescent="0.3">
      <c r="A19" s="11">
        <v>45764</v>
      </c>
      <c r="B19" s="12" t="s">
        <v>11</v>
      </c>
      <c r="C19" s="21"/>
      <c r="D19" s="21"/>
      <c r="E19" s="14">
        <f t="shared" si="0"/>
        <v>0</v>
      </c>
      <c r="F19" s="13"/>
      <c r="G19" s="13"/>
      <c r="H19" s="15">
        <f t="shared" si="1"/>
        <v>0</v>
      </c>
      <c r="I19" s="24" t="e">
        <f t="shared" si="3"/>
        <v>#DIV/0!</v>
      </c>
      <c r="J19" s="25">
        <f t="shared" si="2"/>
        <v>1</v>
      </c>
    </row>
    <row r="20" spans="1:10" ht="30.75" customHeight="1" thickTop="1" thickBot="1" x14ac:dyDescent="0.3">
      <c r="A20" s="11">
        <v>45765</v>
      </c>
      <c r="B20" s="16" t="s">
        <v>12</v>
      </c>
      <c r="C20" s="21"/>
      <c r="D20" s="21"/>
      <c r="E20" s="14">
        <f t="shared" si="0"/>
        <v>0</v>
      </c>
      <c r="F20" s="13"/>
      <c r="G20" s="13"/>
      <c r="H20" s="15">
        <f t="shared" si="1"/>
        <v>0</v>
      </c>
      <c r="I20" s="24" t="e">
        <f t="shared" si="3"/>
        <v>#DIV/0!</v>
      </c>
      <c r="J20" s="25">
        <f t="shared" si="2"/>
        <v>1</v>
      </c>
    </row>
    <row r="21" spans="1:10" ht="30.75" customHeight="1" thickTop="1" thickBot="1" x14ac:dyDescent="0.3">
      <c r="A21" s="11">
        <v>45766</v>
      </c>
      <c r="B21" s="16" t="s">
        <v>6</v>
      </c>
      <c r="C21" s="21"/>
      <c r="D21" s="21"/>
      <c r="E21" s="14">
        <f t="shared" si="0"/>
        <v>0</v>
      </c>
      <c r="F21" s="13"/>
      <c r="G21" s="13"/>
      <c r="H21" s="15">
        <f t="shared" si="1"/>
        <v>0</v>
      </c>
      <c r="I21" s="24" t="e">
        <f t="shared" si="3"/>
        <v>#DIV/0!</v>
      </c>
      <c r="J21" s="25">
        <f t="shared" si="2"/>
        <v>1</v>
      </c>
    </row>
    <row r="22" spans="1:10" ht="30.75" customHeight="1" thickTop="1" thickBot="1" x14ac:dyDescent="0.3">
      <c r="A22" s="11">
        <v>45767</v>
      </c>
      <c r="B22" s="12" t="s">
        <v>7</v>
      </c>
      <c r="C22" s="21"/>
      <c r="D22" s="21"/>
      <c r="E22" s="14">
        <f t="shared" si="0"/>
        <v>0</v>
      </c>
      <c r="F22" s="13"/>
      <c r="G22" s="13"/>
      <c r="H22" s="15">
        <f t="shared" si="1"/>
        <v>0</v>
      </c>
      <c r="I22" s="24" t="e">
        <f t="shared" si="3"/>
        <v>#DIV/0!</v>
      </c>
      <c r="J22" s="25">
        <f t="shared" si="2"/>
        <v>1</v>
      </c>
    </row>
    <row r="23" spans="1:10" ht="30.75" customHeight="1" thickTop="1" thickBot="1" x14ac:dyDescent="0.3">
      <c r="A23" s="11">
        <v>45768</v>
      </c>
      <c r="B23" s="17" t="s">
        <v>8</v>
      </c>
      <c r="C23" s="21"/>
      <c r="D23" s="21"/>
      <c r="E23" s="14">
        <f t="shared" si="0"/>
        <v>0</v>
      </c>
      <c r="F23" s="13"/>
      <c r="G23" s="13"/>
      <c r="H23" s="15">
        <f t="shared" si="1"/>
        <v>0</v>
      </c>
      <c r="I23" s="24" t="e">
        <f t="shared" si="3"/>
        <v>#DIV/0!</v>
      </c>
      <c r="J23" s="25">
        <f t="shared" si="2"/>
        <v>1</v>
      </c>
    </row>
    <row r="24" spans="1:10" ht="30.75" customHeight="1" thickTop="1" thickBot="1" x14ac:dyDescent="0.3">
      <c r="A24" s="11">
        <v>45769</v>
      </c>
      <c r="B24" s="12" t="s">
        <v>9</v>
      </c>
      <c r="C24" s="21"/>
      <c r="D24" s="21"/>
      <c r="E24" s="14">
        <f t="shared" si="0"/>
        <v>0</v>
      </c>
      <c r="F24" s="13"/>
      <c r="G24" s="13"/>
      <c r="H24" s="15">
        <f t="shared" si="1"/>
        <v>0</v>
      </c>
      <c r="I24" s="24" t="e">
        <f t="shared" si="3"/>
        <v>#DIV/0!</v>
      </c>
      <c r="J24" s="25">
        <f t="shared" si="2"/>
        <v>1</v>
      </c>
    </row>
    <row r="25" spans="1:10" ht="30.75" customHeight="1" thickTop="1" thickBot="1" x14ac:dyDescent="0.3">
      <c r="A25" s="11">
        <v>45770</v>
      </c>
      <c r="B25" s="12" t="s">
        <v>10</v>
      </c>
      <c r="C25" s="21"/>
      <c r="D25" s="21"/>
      <c r="E25" s="14">
        <f t="shared" si="0"/>
        <v>0</v>
      </c>
      <c r="F25" s="13"/>
      <c r="G25" s="13"/>
      <c r="H25" s="15">
        <f t="shared" si="1"/>
        <v>0</v>
      </c>
      <c r="I25" s="24" t="e">
        <f t="shared" si="3"/>
        <v>#DIV/0!</v>
      </c>
      <c r="J25" s="25">
        <f t="shared" si="2"/>
        <v>1</v>
      </c>
    </row>
    <row r="26" spans="1:10" ht="30.75" customHeight="1" thickTop="1" thickBot="1" x14ac:dyDescent="0.3">
      <c r="A26" s="11">
        <v>45771</v>
      </c>
      <c r="B26" s="12" t="s">
        <v>11</v>
      </c>
      <c r="C26" s="21"/>
      <c r="D26" s="21"/>
      <c r="E26" s="14">
        <f t="shared" si="0"/>
        <v>0</v>
      </c>
      <c r="F26" s="13"/>
      <c r="G26" s="13"/>
      <c r="H26" s="15">
        <f t="shared" si="1"/>
        <v>0</v>
      </c>
      <c r="I26" s="24" t="e">
        <f t="shared" si="3"/>
        <v>#DIV/0!</v>
      </c>
      <c r="J26" s="25">
        <f t="shared" si="2"/>
        <v>1</v>
      </c>
    </row>
    <row r="27" spans="1:10" ht="30.75" customHeight="1" thickTop="1" thickBot="1" x14ac:dyDescent="0.3">
      <c r="A27" s="11">
        <v>45772</v>
      </c>
      <c r="B27" s="16" t="s">
        <v>12</v>
      </c>
      <c r="C27" s="21">
        <v>831668</v>
      </c>
      <c r="D27" s="21">
        <v>766667</v>
      </c>
      <c r="E27" s="14">
        <f t="shared" si="0"/>
        <v>1598335</v>
      </c>
      <c r="F27" s="21">
        <v>831668</v>
      </c>
      <c r="G27" s="21">
        <v>766667</v>
      </c>
      <c r="H27" s="15">
        <f t="shared" si="1"/>
        <v>1598335</v>
      </c>
      <c r="I27" s="24">
        <f t="shared" si="3"/>
        <v>1</v>
      </c>
      <c r="J27" s="25">
        <f t="shared" si="2"/>
        <v>1</v>
      </c>
    </row>
    <row r="28" spans="1:10" ht="30.75" customHeight="1" thickTop="1" thickBot="1" x14ac:dyDescent="0.3">
      <c r="A28" s="11">
        <v>45773</v>
      </c>
      <c r="B28" s="16" t="s">
        <v>6</v>
      </c>
      <c r="C28" s="21">
        <v>373217</v>
      </c>
      <c r="D28" s="21">
        <v>162054</v>
      </c>
      <c r="E28" s="14">
        <f t="shared" si="0"/>
        <v>535271</v>
      </c>
      <c r="F28" s="21">
        <v>373217</v>
      </c>
      <c r="G28" s="21">
        <v>162054</v>
      </c>
      <c r="H28" s="15">
        <f t="shared" si="1"/>
        <v>535271</v>
      </c>
      <c r="I28" s="24">
        <f t="shared" si="3"/>
        <v>1</v>
      </c>
      <c r="J28" s="25">
        <f t="shared" si="2"/>
        <v>1</v>
      </c>
    </row>
    <row r="29" spans="1:10" ht="30.75" customHeight="1" thickTop="1" thickBot="1" x14ac:dyDescent="0.3">
      <c r="A29" s="11">
        <v>45774</v>
      </c>
      <c r="B29" s="12" t="s">
        <v>7</v>
      </c>
      <c r="C29" s="21">
        <v>303182</v>
      </c>
      <c r="D29" s="21">
        <v>95580</v>
      </c>
      <c r="E29" s="14">
        <f t="shared" si="0"/>
        <v>398762</v>
      </c>
      <c r="F29" s="21">
        <v>303182</v>
      </c>
      <c r="G29" s="21">
        <v>95580</v>
      </c>
      <c r="H29" s="15">
        <f t="shared" si="1"/>
        <v>398762</v>
      </c>
      <c r="I29" s="24">
        <f t="shared" si="3"/>
        <v>1</v>
      </c>
      <c r="J29" s="25">
        <f t="shared" si="2"/>
        <v>1</v>
      </c>
    </row>
    <row r="30" spans="1:10" ht="30.75" customHeight="1" thickTop="1" thickBot="1" x14ac:dyDescent="0.3">
      <c r="A30" s="11">
        <v>45775</v>
      </c>
      <c r="B30" s="17" t="s">
        <v>8</v>
      </c>
      <c r="C30" s="21">
        <v>434102</v>
      </c>
      <c r="D30" s="21">
        <v>0</v>
      </c>
      <c r="E30" s="14">
        <f t="shared" si="0"/>
        <v>434102</v>
      </c>
      <c r="F30" s="21">
        <v>434102</v>
      </c>
      <c r="G30" s="21">
        <v>0</v>
      </c>
      <c r="H30" s="15">
        <f t="shared" si="1"/>
        <v>434102</v>
      </c>
      <c r="I30" s="24">
        <f t="shared" si="3"/>
        <v>1</v>
      </c>
      <c r="J30" s="25">
        <f t="shared" si="2"/>
        <v>1</v>
      </c>
    </row>
    <row r="31" spans="1:10" ht="30.75" customHeight="1" thickTop="1" thickBot="1" x14ac:dyDescent="0.3">
      <c r="A31" s="11">
        <v>45776</v>
      </c>
      <c r="B31" s="12" t="s">
        <v>9</v>
      </c>
      <c r="C31" s="21">
        <v>332590</v>
      </c>
      <c r="D31" s="21">
        <v>214845</v>
      </c>
      <c r="E31" s="14">
        <f t="shared" si="0"/>
        <v>547435</v>
      </c>
      <c r="F31" s="21">
        <v>332590</v>
      </c>
      <c r="G31" s="21">
        <v>214845</v>
      </c>
      <c r="H31" s="15">
        <f t="shared" si="1"/>
        <v>547435</v>
      </c>
      <c r="I31" s="24">
        <f t="shared" si="3"/>
        <v>1</v>
      </c>
      <c r="J31" s="25">
        <f t="shared" si="2"/>
        <v>1</v>
      </c>
    </row>
    <row r="32" spans="1:10" ht="30.75" customHeight="1" thickTop="1" thickBot="1" x14ac:dyDescent="0.3">
      <c r="A32" s="11">
        <v>45777</v>
      </c>
      <c r="B32" s="12" t="s">
        <v>10</v>
      </c>
      <c r="C32" s="21">
        <v>410794</v>
      </c>
      <c r="D32" s="21">
        <v>177744</v>
      </c>
      <c r="E32" s="14">
        <f t="shared" si="0"/>
        <v>588538</v>
      </c>
      <c r="F32" s="21">
        <v>410794</v>
      </c>
      <c r="G32" s="21">
        <v>177744</v>
      </c>
      <c r="H32" s="15">
        <f t="shared" si="1"/>
        <v>588538</v>
      </c>
      <c r="I32" s="24">
        <f t="shared" si="3"/>
        <v>1</v>
      </c>
      <c r="J32" s="25">
        <f t="shared" si="2"/>
        <v>1</v>
      </c>
    </row>
    <row r="33" spans="1:10" ht="30.75" customHeight="1" thickTop="1" thickBot="1" x14ac:dyDescent="0.3">
      <c r="A33" s="11"/>
      <c r="B33" s="16"/>
      <c r="C33" s="21"/>
      <c r="D33" s="21"/>
      <c r="E33" s="14"/>
      <c r="F33" s="13"/>
      <c r="G33" s="13"/>
      <c r="H33" s="15">
        <f t="shared" si="1"/>
        <v>0</v>
      </c>
      <c r="I33" s="24" t="e">
        <f t="shared" si="3"/>
        <v>#DIV/0!</v>
      </c>
      <c r="J33" s="25">
        <f t="shared" si="2"/>
        <v>1</v>
      </c>
    </row>
    <row r="34" spans="1:10" ht="30.75" customHeight="1" thickTop="1" thickBot="1" x14ac:dyDescent="0.55000000000000004">
      <c r="A34" s="39" t="s">
        <v>13</v>
      </c>
      <c r="B34" s="40"/>
      <c r="C34" s="18">
        <f>SUM(C3:C33)</f>
        <v>2685553</v>
      </c>
      <c r="D34" s="18">
        <f>SUM(D3:D33)</f>
        <v>1416890</v>
      </c>
      <c r="E34" s="18">
        <f>SUM(E3:E33)</f>
        <v>4102443</v>
      </c>
      <c r="F34" s="18">
        <f t="shared" ref="F34:H34" si="4">SUM(F3:F33)</f>
        <v>2685553</v>
      </c>
      <c r="G34" s="18">
        <f t="shared" si="4"/>
        <v>1416890</v>
      </c>
      <c r="H34" s="18">
        <f t="shared" si="4"/>
        <v>4102443</v>
      </c>
      <c r="I34" s="19" t="e">
        <f>AVERAGE(I3:I33)</f>
        <v>#DIV/0!</v>
      </c>
      <c r="J34" s="20">
        <f>AVERAGE(J3:J33)</f>
        <v>1</v>
      </c>
    </row>
  </sheetData>
  <mergeCells count="13">
    <mergeCell ref="Z2:AB2"/>
    <mergeCell ref="Q1:AB1"/>
    <mergeCell ref="T2:U2"/>
    <mergeCell ref="V2:X2"/>
    <mergeCell ref="S2:S3"/>
    <mergeCell ref="R2:R3"/>
    <mergeCell ref="Q2:Q3"/>
    <mergeCell ref="A1:A2"/>
    <mergeCell ref="B1:B2"/>
    <mergeCell ref="C1:E1"/>
    <mergeCell ref="F1:H1"/>
    <mergeCell ref="I1:J1"/>
    <mergeCell ref="A34:B34"/>
  </mergeCells>
  <conditionalFormatting sqref="I3:J22">
    <cfRule type="cellIs" dxfId="2" priority="1" operator="less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C44DB-A587-491D-9457-596244BE46D1}">
  <dimension ref="A1:AC34"/>
  <sheetViews>
    <sheetView tabSelected="1" topLeftCell="F24" zoomScale="160" zoomScaleNormal="160" workbookViewId="0">
      <selection activeCell="G23" sqref="G23"/>
    </sheetView>
  </sheetViews>
  <sheetFormatPr defaultColWidth="9.09765625" defaultRowHeight="30.75" customHeight="1" x14ac:dyDescent="0.25"/>
  <cols>
    <col min="1" max="1" width="11.796875" style="1" bestFit="1" customWidth="1"/>
    <col min="2" max="2" width="7.5" style="1" bestFit="1" customWidth="1"/>
    <col min="3" max="3" width="13.09765625" style="1" customWidth="1"/>
    <col min="4" max="4" width="11.796875" style="1" bestFit="1" customWidth="1"/>
    <col min="5" max="6" width="13.09765625" style="1" bestFit="1" customWidth="1"/>
    <col min="7" max="7" width="11.796875" style="1" bestFit="1" customWidth="1"/>
    <col min="8" max="8" width="13.09765625" style="1" bestFit="1" customWidth="1"/>
    <col min="9" max="10" width="8.09765625" style="1" bestFit="1" customWidth="1"/>
    <col min="11" max="12" width="9.09765625" style="1"/>
    <col min="13" max="13" width="55.796875" style="1" bestFit="1" customWidth="1"/>
    <col min="14" max="14" width="9.09765625" style="1"/>
    <col min="15" max="15" width="43" style="1" bestFit="1" customWidth="1"/>
    <col min="16" max="16" width="9.09765625" style="1"/>
    <col min="17" max="18" width="15.796875" style="1" bestFit="1" customWidth="1"/>
    <col min="19" max="19" width="13.09765625" style="1" bestFit="1" customWidth="1"/>
    <col min="20" max="20" width="13" style="1" bestFit="1" customWidth="1"/>
    <col min="21" max="21" width="11.796875" style="1" bestFit="1" customWidth="1"/>
    <col min="22" max="22" width="13.796875" style="1" bestFit="1" customWidth="1"/>
    <col min="23" max="23" width="15" style="1" bestFit="1" customWidth="1"/>
    <col min="24" max="24" width="13.09765625" style="1" bestFit="1" customWidth="1"/>
    <col min="25" max="25" width="21.3984375" style="1" bestFit="1" customWidth="1"/>
    <col min="26" max="26" width="16.19921875" style="1" bestFit="1" customWidth="1"/>
    <col min="27" max="27" width="13.796875" style="1" bestFit="1" customWidth="1"/>
    <col min="28" max="28" width="8.796875" style="1" bestFit="1" customWidth="1"/>
    <col min="29" max="29" width="24.296875" style="1" bestFit="1" customWidth="1"/>
    <col min="30" max="16384" width="9.09765625" style="1"/>
  </cols>
  <sheetData>
    <row r="1" spans="1:29" ht="30.75" customHeight="1" thickBot="1" x14ac:dyDescent="0.3">
      <c r="A1" s="41" t="s">
        <v>0</v>
      </c>
      <c r="B1" s="43" t="s">
        <v>1</v>
      </c>
      <c r="C1" s="43" t="s">
        <v>2</v>
      </c>
      <c r="D1" s="43"/>
      <c r="E1" s="43"/>
      <c r="F1" s="43" t="s">
        <v>3</v>
      </c>
      <c r="G1" s="43"/>
      <c r="H1" s="43"/>
      <c r="I1" s="37" t="s">
        <v>14</v>
      </c>
      <c r="J1" s="38"/>
      <c r="M1" s="45" t="s">
        <v>15</v>
      </c>
      <c r="N1" s="26"/>
      <c r="O1" s="45" t="s">
        <v>28</v>
      </c>
      <c r="P1" s="26"/>
      <c r="Q1" s="48" t="s">
        <v>36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30.75" customHeight="1" thickTop="1" thickBot="1" x14ac:dyDescent="0.3">
      <c r="A2" s="42"/>
      <c r="B2" s="44"/>
      <c r="C2" s="8" t="s">
        <v>4</v>
      </c>
      <c r="D2" s="8" t="s">
        <v>5</v>
      </c>
      <c r="E2" s="9" t="s">
        <v>13</v>
      </c>
      <c r="F2" s="8" t="s">
        <v>4</v>
      </c>
      <c r="G2" s="8" t="s">
        <v>5</v>
      </c>
      <c r="H2" s="10" t="s">
        <v>13</v>
      </c>
      <c r="I2" s="22" t="s">
        <v>4</v>
      </c>
      <c r="J2" s="23" t="s">
        <v>5</v>
      </c>
      <c r="M2" s="28" t="s">
        <v>16</v>
      </c>
      <c r="O2" s="28" t="s">
        <v>29</v>
      </c>
      <c r="Q2" s="49" t="s">
        <v>39</v>
      </c>
      <c r="R2" s="49" t="s">
        <v>49</v>
      </c>
      <c r="S2" s="49" t="s">
        <v>50</v>
      </c>
      <c r="T2" s="53" t="s">
        <v>40</v>
      </c>
      <c r="U2" s="53"/>
      <c r="V2" s="49" t="s">
        <v>42</v>
      </c>
      <c r="W2" s="49"/>
      <c r="X2" s="49"/>
      <c r="Y2" s="54" t="s">
        <v>46</v>
      </c>
      <c r="Z2" s="49" t="s">
        <v>51</v>
      </c>
      <c r="AA2" s="49"/>
      <c r="AB2" s="49"/>
      <c r="AC2" s="54" t="s">
        <v>55</v>
      </c>
    </row>
    <row r="3" spans="1:29" ht="30.75" customHeight="1" thickTop="1" thickBot="1" x14ac:dyDescent="0.3">
      <c r="A3" s="11">
        <v>45778</v>
      </c>
      <c r="B3" s="12" t="s">
        <v>11</v>
      </c>
      <c r="C3" s="21">
        <v>500000</v>
      </c>
      <c r="D3" s="21">
        <v>100000</v>
      </c>
      <c r="E3" s="14">
        <f>D3+C3</f>
        <v>600000</v>
      </c>
      <c r="F3" s="13">
        <v>708728</v>
      </c>
      <c r="G3" s="13">
        <v>157180</v>
      </c>
      <c r="H3" s="15">
        <f>SUM(F3:G3)</f>
        <v>865908</v>
      </c>
      <c r="I3" s="24">
        <f>F3/C3</f>
        <v>1.417456</v>
      </c>
      <c r="J3" s="25">
        <f>IF(G3&lt;&gt;0,G3/D3,1)</f>
        <v>1.5718000000000001</v>
      </c>
      <c r="M3" s="29" t="s">
        <v>17</v>
      </c>
      <c r="O3" s="29" t="s">
        <v>31</v>
      </c>
      <c r="Q3" s="49"/>
      <c r="R3" s="49"/>
      <c r="S3" s="49"/>
      <c r="T3" s="55" t="s">
        <v>48</v>
      </c>
      <c r="U3" s="55" t="s">
        <v>41</v>
      </c>
      <c r="V3" s="8" t="s">
        <v>43</v>
      </c>
      <c r="W3" s="8" t="s">
        <v>44</v>
      </c>
      <c r="X3" s="8" t="s">
        <v>45</v>
      </c>
      <c r="Y3" s="54" t="s">
        <v>47</v>
      </c>
      <c r="Z3" s="8" t="s">
        <v>52</v>
      </c>
      <c r="AA3" s="8" t="s">
        <v>54</v>
      </c>
      <c r="AB3" s="8" t="s">
        <v>53</v>
      </c>
      <c r="AC3" s="54" t="s">
        <v>56</v>
      </c>
    </row>
    <row r="4" spans="1:29" ht="30.75" customHeight="1" thickTop="1" thickBot="1" x14ac:dyDescent="0.4">
      <c r="A4" s="11">
        <v>45779</v>
      </c>
      <c r="B4" s="16" t="s">
        <v>12</v>
      </c>
      <c r="C4" s="21">
        <v>600000</v>
      </c>
      <c r="D4" s="21">
        <v>180000</v>
      </c>
      <c r="E4" s="14">
        <f t="shared" ref="E4:E33" si="0">D4+C4</f>
        <v>780000</v>
      </c>
      <c r="F4" s="13">
        <v>562214</v>
      </c>
      <c r="G4" s="13">
        <v>109939</v>
      </c>
      <c r="H4" s="15">
        <f t="shared" ref="H4:H33" si="1">SUM(F4:G4)</f>
        <v>672153</v>
      </c>
      <c r="I4" s="24">
        <f>F4/C4</f>
        <v>0.93702333333333332</v>
      </c>
      <c r="J4" s="25">
        <f t="shared" ref="J4:J21" si="2">IF(G4&lt;&gt;0,G4/D4,1)</f>
        <v>0.61077222222222227</v>
      </c>
      <c r="M4" s="29" t="s">
        <v>18</v>
      </c>
      <c r="O4" s="29" t="s">
        <v>30</v>
      </c>
      <c r="Q4" s="47" t="s">
        <v>37</v>
      </c>
      <c r="R4" s="50">
        <f>F34</f>
        <v>14338205</v>
      </c>
      <c r="S4" s="50">
        <f>R4*0.86</f>
        <v>12330856.299999999</v>
      </c>
      <c r="T4" s="51">
        <v>192550</v>
      </c>
      <c r="U4" s="51">
        <v>1100000</v>
      </c>
      <c r="V4" s="50">
        <v>70000</v>
      </c>
      <c r="W4" s="50">
        <v>2000</v>
      </c>
      <c r="X4" s="50">
        <v>30000</v>
      </c>
      <c r="Y4" s="52">
        <f>R4-S4-T4-U4-V4-W4-X4</f>
        <v>612798.70000000112</v>
      </c>
      <c r="Z4" s="50">
        <v>20000</v>
      </c>
      <c r="AA4" s="50">
        <v>10000</v>
      </c>
      <c r="AB4" s="50">
        <v>10000</v>
      </c>
      <c r="AC4" s="52">
        <f>Y4-Z4-AA4-AB4</f>
        <v>572798.70000000112</v>
      </c>
    </row>
    <row r="5" spans="1:29" ht="30.75" customHeight="1" thickTop="1" thickBot="1" x14ac:dyDescent="0.4">
      <c r="A5" s="11">
        <v>45780</v>
      </c>
      <c r="B5" s="16" t="s">
        <v>6</v>
      </c>
      <c r="C5" s="21">
        <v>400000</v>
      </c>
      <c r="D5" s="21">
        <v>150000</v>
      </c>
      <c r="E5" s="14">
        <f t="shared" si="0"/>
        <v>550000</v>
      </c>
      <c r="F5" s="13">
        <v>354929</v>
      </c>
      <c r="G5" s="13">
        <v>94647</v>
      </c>
      <c r="H5" s="15">
        <f t="shared" si="1"/>
        <v>449576</v>
      </c>
      <c r="I5" s="24">
        <f t="shared" ref="I5:I33" si="3">F5/C5</f>
        <v>0.88732250000000001</v>
      </c>
      <c r="J5" s="25">
        <f t="shared" si="2"/>
        <v>0.63097999999999999</v>
      </c>
      <c r="M5" s="29" t="s">
        <v>19</v>
      </c>
      <c r="O5" s="29" t="s">
        <v>32</v>
      </c>
      <c r="Q5" s="47" t="s">
        <v>38</v>
      </c>
      <c r="R5" s="50">
        <f>G34</f>
        <v>3613638</v>
      </c>
      <c r="S5" s="50">
        <f>R5*0.86</f>
        <v>3107728.68</v>
      </c>
      <c r="T5" s="51">
        <v>60330</v>
      </c>
      <c r="U5" s="51">
        <v>350000</v>
      </c>
      <c r="V5" s="50">
        <v>10000</v>
      </c>
      <c r="W5" s="50">
        <v>2000</v>
      </c>
      <c r="X5" s="50">
        <v>10000</v>
      </c>
      <c r="Y5" s="52">
        <f>R5-S5-T5-U5-V5-W5-X5</f>
        <v>73579.319999999832</v>
      </c>
      <c r="Z5" s="50">
        <v>10000</v>
      </c>
      <c r="AA5" s="50">
        <v>5000</v>
      </c>
      <c r="AB5" s="50">
        <v>10000</v>
      </c>
      <c r="AC5" s="52">
        <f>Y5-Z5-AA5-AB5</f>
        <v>48579.319999999832</v>
      </c>
    </row>
    <row r="6" spans="1:29" ht="30.75" customHeight="1" thickTop="1" thickBot="1" x14ac:dyDescent="0.3">
      <c r="A6" s="11">
        <v>45781</v>
      </c>
      <c r="B6" s="12" t="s">
        <v>7</v>
      </c>
      <c r="C6" s="21">
        <v>300000</v>
      </c>
      <c r="D6" s="21">
        <v>100000</v>
      </c>
      <c r="E6" s="14">
        <f t="shared" si="0"/>
        <v>400000</v>
      </c>
      <c r="F6" s="13">
        <v>476189</v>
      </c>
      <c r="G6" s="13">
        <v>143207</v>
      </c>
      <c r="H6" s="15">
        <f t="shared" si="1"/>
        <v>619396</v>
      </c>
      <c r="I6" s="24">
        <f t="shared" si="3"/>
        <v>1.5872966666666666</v>
      </c>
      <c r="J6" s="25">
        <f t="shared" si="2"/>
        <v>1.43207</v>
      </c>
      <c r="M6" s="29" t="s">
        <v>21</v>
      </c>
      <c r="O6" s="29" t="s">
        <v>33</v>
      </c>
    </row>
    <row r="7" spans="1:29" ht="30.75" customHeight="1" thickTop="1" thickBot="1" x14ac:dyDescent="0.3">
      <c r="A7" s="11">
        <v>45782</v>
      </c>
      <c r="B7" s="17" t="s">
        <v>8</v>
      </c>
      <c r="C7" s="21">
        <v>400000</v>
      </c>
      <c r="D7" s="21">
        <v>0</v>
      </c>
      <c r="E7" s="14">
        <f t="shared" si="0"/>
        <v>400000</v>
      </c>
      <c r="F7" s="13">
        <v>514143</v>
      </c>
      <c r="G7" s="13">
        <v>0</v>
      </c>
      <c r="H7" s="15">
        <f t="shared" si="1"/>
        <v>514143</v>
      </c>
      <c r="I7" s="24">
        <f t="shared" si="3"/>
        <v>1.2853574999999999</v>
      </c>
      <c r="J7" s="25">
        <f t="shared" si="2"/>
        <v>1</v>
      </c>
      <c r="M7" s="29" t="s">
        <v>20</v>
      </c>
      <c r="O7" s="29" t="s">
        <v>34</v>
      </c>
    </row>
    <row r="8" spans="1:29" ht="30.75" customHeight="1" thickTop="1" thickBot="1" x14ac:dyDescent="0.3">
      <c r="A8" s="11">
        <v>45783</v>
      </c>
      <c r="B8" s="12" t="s">
        <v>9</v>
      </c>
      <c r="C8" s="21">
        <v>250000</v>
      </c>
      <c r="D8" s="21">
        <v>180000</v>
      </c>
      <c r="E8" s="14">
        <f t="shared" si="0"/>
        <v>430000</v>
      </c>
      <c r="F8" s="13">
        <v>349696</v>
      </c>
      <c r="G8" s="13">
        <v>145465</v>
      </c>
      <c r="H8" s="15">
        <f t="shared" si="1"/>
        <v>495161</v>
      </c>
      <c r="I8" s="24">
        <f t="shared" si="3"/>
        <v>1.398784</v>
      </c>
      <c r="J8" s="25">
        <f t="shared" si="2"/>
        <v>0.80813888888888885</v>
      </c>
      <c r="M8" s="29" t="s">
        <v>22</v>
      </c>
      <c r="O8" s="29" t="s">
        <v>35</v>
      </c>
    </row>
    <row r="9" spans="1:29" ht="30.75" customHeight="1" thickTop="1" thickBot="1" x14ac:dyDescent="0.3">
      <c r="A9" s="11">
        <v>45784</v>
      </c>
      <c r="B9" s="12" t="s">
        <v>10</v>
      </c>
      <c r="C9" s="21">
        <v>400000</v>
      </c>
      <c r="D9" s="21">
        <v>100000</v>
      </c>
      <c r="E9" s="14">
        <f t="shared" si="0"/>
        <v>500000</v>
      </c>
      <c r="F9" s="13">
        <v>347501</v>
      </c>
      <c r="G9" s="13">
        <v>47357</v>
      </c>
      <c r="H9" s="15">
        <f t="shared" si="1"/>
        <v>394858</v>
      </c>
      <c r="I9" s="24">
        <f t="shared" si="3"/>
        <v>0.86875250000000004</v>
      </c>
      <c r="J9" s="25">
        <f t="shared" si="2"/>
        <v>0.47356999999999999</v>
      </c>
      <c r="M9" s="30" t="s">
        <v>23</v>
      </c>
      <c r="O9" s="30" t="s">
        <v>23</v>
      </c>
    </row>
    <row r="10" spans="1:29" ht="30.75" customHeight="1" thickTop="1" thickBot="1" x14ac:dyDescent="0.3">
      <c r="A10" s="11">
        <v>45785</v>
      </c>
      <c r="B10" s="12" t="s">
        <v>11</v>
      </c>
      <c r="C10" s="21">
        <v>500000</v>
      </c>
      <c r="D10" s="21">
        <v>100000</v>
      </c>
      <c r="E10" s="14">
        <f t="shared" si="0"/>
        <v>600000</v>
      </c>
      <c r="F10" s="13">
        <v>590160</v>
      </c>
      <c r="G10" s="13">
        <v>72163</v>
      </c>
      <c r="H10" s="15">
        <f t="shared" si="1"/>
        <v>662323</v>
      </c>
      <c r="I10" s="24">
        <f t="shared" si="3"/>
        <v>1.18032</v>
      </c>
      <c r="J10" s="25">
        <f t="shared" si="2"/>
        <v>0.72162999999999999</v>
      </c>
    </row>
    <row r="11" spans="1:29" ht="30.75" customHeight="1" thickTop="1" thickBot="1" x14ac:dyDescent="0.3">
      <c r="A11" s="11">
        <v>45786</v>
      </c>
      <c r="B11" s="16" t="s">
        <v>12</v>
      </c>
      <c r="C11" s="21">
        <v>600000</v>
      </c>
      <c r="D11" s="21">
        <v>180000</v>
      </c>
      <c r="E11" s="14">
        <f t="shared" si="0"/>
        <v>780000</v>
      </c>
      <c r="F11" s="13">
        <v>715081</v>
      </c>
      <c r="G11" s="13">
        <v>247657</v>
      </c>
      <c r="H11" s="15">
        <f t="shared" si="1"/>
        <v>962738</v>
      </c>
      <c r="I11" s="24">
        <f t="shared" si="3"/>
        <v>1.1918016666666666</v>
      </c>
      <c r="J11" s="25">
        <f t="shared" si="2"/>
        <v>1.3758722222222222</v>
      </c>
    </row>
    <row r="12" spans="1:29" ht="30.75" customHeight="1" thickTop="1" thickBot="1" x14ac:dyDescent="0.3">
      <c r="A12" s="11">
        <v>45787</v>
      </c>
      <c r="B12" s="16" t="s">
        <v>6</v>
      </c>
      <c r="C12" s="21">
        <v>450000</v>
      </c>
      <c r="D12" s="21">
        <v>150000</v>
      </c>
      <c r="E12" s="14">
        <f t="shared" si="0"/>
        <v>600000</v>
      </c>
      <c r="F12" s="13">
        <v>392088</v>
      </c>
      <c r="G12" s="13">
        <v>159292</v>
      </c>
      <c r="H12" s="15">
        <f t="shared" si="1"/>
        <v>551380</v>
      </c>
      <c r="I12" s="24">
        <f t="shared" si="3"/>
        <v>0.87130666666666667</v>
      </c>
      <c r="J12" s="25">
        <f t="shared" si="2"/>
        <v>1.0619466666666666</v>
      </c>
    </row>
    <row r="13" spans="1:29" ht="30.75" customHeight="1" thickTop="1" thickBot="1" x14ac:dyDescent="0.3">
      <c r="A13" s="11">
        <v>45788</v>
      </c>
      <c r="B13" s="12" t="s">
        <v>7</v>
      </c>
      <c r="C13" s="21">
        <v>300000</v>
      </c>
      <c r="D13" s="21">
        <v>100000</v>
      </c>
      <c r="E13" s="14">
        <f t="shared" si="0"/>
        <v>400000</v>
      </c>
      <c r="F13" s="13">
        <v>423563</v>
      </c>
      <c r="G13" s="13">
        <v>54852</v>
      </c>
      <c r="H13" s="15">
        <f t="shared" si="1"/>
        <v>478415</v>
      </c>
      <c r="I13" s="24">
        <f t="shared" si="3"/>
        <v>1.4118766666666667</v>
      </c>
      <c r="J13" s="25">
        <f t="shared" si="2"/>
        <v>0.54852000000000001</v>
      </c>
    </row>
    <row r="14" spans="1:29" ht="30.75" customHeight="1" thickTop="1" thickBot="1" x14ac:dyDescent="0.3">
      <c r="A14" s="11">
        <v>45789</v>
      </c>
      <c r="B14" s="17" t="s">
        <v>8</v>
      </c>
      <c r="C14" s="21">
        <v>450000</v>
      </c>
      <c r="D14" s="21">
        <v>0</v>
      </c>
      <c r="E14" s="14">
        <f t="shared" si="0"/>
        <v>450000</v>
      </c>
      <c r="F14" s="13">
        <v>478703</v>
      </c>
      <c r="G14" s="13">
        <v>0</v>
      </c>
      <c r="H14" s="15">
        <f t="shared" si="1"/>
        <v>478703</v>
      </c>
      <c r="I14" s="24">
        <f t="shared" si="3"/>
        <v>1.0637844444444444</v>
      </c>
      <c r="J14" s="25">
        <f t="shared" si="2"/>
        <v>1</v>
      </c>
    </row>
    <row r="15" spans="1:29" ht="30.75" customHeight="1" thickTop="1" thickBot="1" x14ac:dyDescent="0.3">
      <c r="A15" s="11">
        <v>45790</v>
      </c>
      <c r="B15" s="12" t="s">
        <v>9</v>
      </c>
      <c r="C15" s="21">
        <v>250000</v>
      </c>
      <c r="D15" s="21">
        <v>180000</v>
      </c>
      <c r="E15" s="14">
        <f t="shared" si="0"/>
        <v>430000</v>
      </c>
      <c r="F15" s="13">
        <v>218255</v>
      </c>
      <c r="G15" s="13">
        <v>171785</v>
      </c>
      <c r="H15" s="15">
        <f t="shared" si="1"/>
        <v>390040</v>
      </c>
      <c r="I15" s="24">
        <f t="shared" si="3"/>
        <v>0.87302000000000002</v>
      </c>
      <c r="J15" s="25">
        <f t="shared" si="2"/>
        <v>0.9543611111111111</v>
      </c>
    </row>
    <row r="16" spans="1:29" ht="30.75" customHeight="1" thickTop="1" thickBot="1" x14ac:dyDescent="0.3">
      <c r="A16" s="11">
        <v>45791</v>
      </c>
      <c r="B16" s="12" t="s">
        <v>10</v>
      </c>
      <c r="C16" s="21">
        <v>400000</v>
      </c>
      <c r="D16" s="21">
        <v>100000</v>
      </c>
      <c r="E16" s="14">
        <f t="shared" si="0"/>
        <v>500000</v>
      </c>
      <c r="F16" s="13">
        <v>441717</v>
      </c>
      <c r="G16" s="13">
        <v>66355</v>
      </c>
      <c r="H16" s="15">
        <f t="shared" si="1"/>
        <v>508072</v>
      </c>
      <c r="I16" s="24">
        <f t="shared" si="3"/>
        <v>1.1042924999999999</v>
      </c>
      <c r="J16" s="25">
        <f t="shared" si="2"/>
        <v>0.66354999999999997</v>
      </c>
    </row>
    <row r="17" spans="1:10" ht="30.75" customHeight="1" thickTop="1" thickBot="1" x14ac:dyDescent="0.3">
      <c r="A17" s="11">
        <v>45792</v>
      </c>
      <c r="B17" s="12" t="s">
        <v>11</v>
      </c>
      <c r="C17" s="21">
        <v>500000</v>
      </c>
      <c r="D17" s="21">
        <v>100000</v>
      </c>
      <c r="E17" s="14">
        <f t="shared" si="0"/>
        <v>600000</v>
      </c>
      <c r="F17" s="13">
        <v>487198</v>
      </c>
      <c r="G17" s="13">
        <v>77004</v>
      </c>
      <c r="H17" s="15">
        <f t="shared" si="1"/>
        <v>564202</v>
      </c>
      <c r="I17" s="24">
        <f t="shared" si="3"/>
        <v>0.97439600000000004</v>
      </c>
      <c r="J17" s="25">
        <f t="shared" si="2"/>
        <v>0.77003999999999995</v>
      </c>
    </row>
    <row r="18" spans="1:10" ht="30.75" customHeight="1" thickTop="1" thickBot="1" x14ac:dyDescent="0.3">
      <c r="A18" s="11">
        <v>45793</v>
      </c>
      <c r="B18" s="16" t="s">
        <v>12</v>
      </c>
      <c r="C18" s="21">
        <v>600000</v>
      </c>
      <c r="D18" s="21">
        <v>180000</v>
      </c>
      <c r="E18" s="14">
        <f t="shared" si="0"/>
        <v>780000</v>
      </c>
      <c r="F18" s="13">
        <v>714773</v>
      </c>
      <c r="G18" s="13">
        <v>174234</v>
      </c>
      <c r="H18" s="15">
        <f t="shared" si="1"/>
        <v>889007</v>
      </c>
      <c r="I18" s="24">
        <f t="shared" si="3"/>
        <v>1.1912883333333333</v>
      </c>
      <c r="J18" s="25">
        <f t="shared" si="2"/>
        <v>0.96796666666666664</v>
      </c>
    </row>
    <row r="19" spans="1:10" ht="30.75" customHeight="1" thickTop="1" thickBot="1" x14ac:dyDescent="0.3">
      <c r="A19" s="11">
        <v>45794</v>
      </c>
      <c r="B19" s="16" t="s">
        <v>6</v>
      </c>
      <c r="C19" s="21">
        <v>400000</v>
      </c>
      <c r="D19" s="21">
        <v>150000</v>
      </c>
      <c r="E19" s="14">
        <f t="shared" si="0"/>
        <v>550000</v>
      </c>
      <c r="F19" s="13">
        <v>409705</v>
      </c>
      <c r="G19" s="13">
        <v>102132</v>
      </c>
      <c r="H19" s="15">
        <f t="shared" si="1"/>
        <v>511837</v>
      </c>
      <c r="I19" s="24">
        <f t="shared" si="3"/>
        <v>1.0242625000000001</v>
      </c>
      <c r="J19" s="25">
        <f t="shared" si="2"/>
        <v>0.68088000000000004</v>
      </c>
    </row>
    <row r="20" spans="1:10" ht="30.75" customHeight="1" thickTop="1" thickBot="1" x14ac:dyDescent="0.3">
      <c r="A20" s="11">
        <v>45795</v>
      </c>
      <c r="B20" s="12" t="s">
        <v>7</v>
      </c>
      <c r="C20" s="21">
        <v>300000</v>
      </c>
      <c r="D20" s="21">
        <v>100000</v>
      </c>
      <c r="E20" s="14">
        <f t="shared" si="0"/>
        <v>400000</v>
      </c>
      <c r="F20" s="13">
        <v>294093</v>
      </c>
      <c r="G20" s="13">
        <v>77257</v>
      </c>
      <c r="H20" s="15">
        <f t="shared" si="1"/>
        <v>371350</v>
      </c>
      <c r="I20" s="24">
        <f t="shared" si="3"/>
        <v>0.98031000000000001</v>
      </c>
      <c r="J20" s="25">
        <f t="shared" si="2"/>
        <v>0.77256999999999998</v>
      </c>
    </row>
    <row r="21" spans="1:10" ht="30.75" customHeight="1" thickTop="1" thickBot="1" x14ac:dyDescent="0.3">
      <c r="A21" s="11">
        <v>45796</v>
      </c>
      <c r="B21" s="17" t="s">
        <v>8</v>
      </c>
      <c r="C21" s="21">
        <v>350000</v>
      </c>
      <c r="D21" s="21">
        <v>0</v>
      </c>
      <c r="E21" s="14">
        <f t="shared" si="0"/>
        <v>350000</v>
      </c>
      <c r="F21" s="13">
        <v>348152</v>
      </c>
      <c r="G21" s="13">
        <v>0</v>
      </c>
      <c r="H21" s="15">
        <f t="shared" si="1"/>
        <v>348152</v>
      </c>
      <c r="I21" s="24">
        <f t="shared" si="3"/>
        <v>0.99472000000000005</v>
      </c>
      <c r="J21" s="25">
        <f t="shared" si="2"/>
        <v>1</v>
      </c>
    </row>
    <row r="22" spans="1:10" ht="30.75" customHeight="1" thickTop="1" thickBot="1" x14ac:dyDescent="0.3">
      <c r="A22" s="11">
        <v>45797</v>
      </c>
      <c r="B22" s="12" t="s">
        <v>9</v>
      </c>
      <c r="C22" s="21">
        <v>200000</v>
      </c>
      <c r="D22" s="21">
        <v>150000</v>
      </c>
      <c r="E22" s="14">
        <f t="shared" si="0"/>
        <v>350000</v>
      </c>
      <c r="F22" s="13">
        <v>161185</v>
      </c>
      <c r="G22" s="13">
        <v>86866</v>
      </c>
      <c r="H22" s="15">
        <f t="shared" si="1"/>
        <v>248051</v>
      </c>
      <c r="I22" s="24">
        <f t="shared" si="3"/>
        <v>0.805925</v>
      </c>
      <c r="J22" s="25">
        <f t="shared" ref="J22:J33" si="4">IF(G22&lt;&gt;0,G22/D22,1)</f>
        <v>0.57910666666666666</v>
      </c>
    </row>
    <row r="23" spans="1:10" ht="30.75" customHeight="1" thickTop="1" thickBot="1" x14ac:dyDescent="0.3">
      <c r="A23" s="11">
        <v>45798</v>
      </c>
      <c r="B23" s="12" t="s">
        <v>10</v>
      </c>
      <c r="C23" s="21">
        <v>350000</v>
      </c>
      <c r="D23" s="21">
        <v>80000</v>
      </c>
      <c r="E23" s="14">
        <f t="shared" si="0"/>
        <v>430000</v>
      </c>
      <c r="F23" s="13">
        <v>348591</v>
      </c>
      <c r="G23" s="13">
        <v>92800</v>
      </c>
      <c r="H23" s="15">
        <f t="shared" si="1"/>
        <v>441391</v>
      </c>
      <c r="I23" s="24">
        <f t="shared" si="3"/>
        <v>0.9959742857142857</v>
      </c>
      <c r="J23" s="25">
        <f t="shared" si="4"/>
        <v>1.1599999999999999</v>
      </c>
    </row>
    <row r="24" spans="1:10" ht="30.75" customHeight="1" thickTop="1" thickBot="1" x14ac:dyDescent="0.3">
      <c r="A24" s="11">
        <v>45799</v>
      </c>
      <c r="B24" s="12" t="s">
        <v>11</v>
      </c>
      <c r="C24" s="21">
        <v>500000</v>
      </c>
      <c r="D24" s="21">
        <v>80000</v>
      </c>
      <c r="E24" s="14">
        <f t="shared" si="0"/>
        <v>580000</v>
      </c>
      <c r="F24" s="13">
        <v>674369</v>
      </c>
      <c r="G24" s="13">
        <v>109843</v>
      </c>
      <c r="H24" s="15">
        <f t="shared" si="1"/>
        <v>784212</v>
      </c>
      <c r="I24" s="24">
        <f t="shared" si="3"/>
        <v>1.348738</v>
      </c>
      <c r="J24" s="25">
        <f t="shared" si="4"/>
        <v>1.3730374999999999</v>
      </c>
    </row>
    <row r="25" spans="1:10" ht="30.75" customHeight="1" thickTop="1" thickBot="1" x14ac:dyDescent="0.3">
      <c r="A25" s="11">
        <v>45800</v>
      </c>
      <c r="B25" s="16" t="s">
        <v>12</v>
      </c>
      <c r="C25" s="21">
        <v>600000</v>
      </c>
      <c r="D25" s="21">
        <v>150000</v>
      </c>
      <c r="E25" s="14">
        <f t="shared" si="0"/>
        <v>750000</v>
      </c>
      <c r="F25" s="13">
        <v>651346</v>
      </c>
      <c r="G25" s="13">
        <v>210131</v>
      </c>
      <c r="H25" s="15">
        <f t="shared" si="1"/>
        <v>861477</v>
      </c>
      <c r="I25" s="24">
        <f t="shared" si="3"/>
        <v>1.0855766666666666</v>
      </c>
      <c r="J25" s="25">
        <f t="shared" si="4"/>
        <v>1.4008733333333334</v>
      </c>
    </row>
    <row r="26" spans="1:10" ht="30.75" customHeight="1" thickTop="1" thickBot="1" x14ac:dyDescent="0.3">
      <c r="A26" s="11">
        <v>45801</v>
      </c>
      <c r="B26" s="16" t="s">
        <v>6</v>
      </c>
      <c r="C26" s="21">
        <v>350000</v>
      </c>
      <c r="D26" s="21">
        <v>120000</v>
      </c>
      <c r="E26" s="14">
        <f t="shared" si="0"/>
        <v>470000</v>
      </c>
      <c r="F26" s="13">
        <v>417359</v>
      </c>
      <c r="G26" s="13">
        <v>144485</v>
      </c>
      <c r="H26" s="15">
        <f t="shared" si="1"/>
        <v>561844</v>
      </c>
      <c r="I26" s="24">
        <f t="shared" si="3"/>
        <v>1.1924542857142857</v>
      </c>
      <c r="J26" s="25">
        <f t="shared" si="4"/>
        <v>1.2040416666666667</v>
      </c>
    </row>
    <row r="27" spans="1:10" ht="30.75" customHeight="1" thickTop="1" thickBot="1" x14ac:dyDescent="0.3">
      <c r="A27" s="11">
        <v>45802</v>
      </c>
      <c r="B27" s="12" t="s">
        <v>7</v>
      </c>
      <c r="C27" s="21">
        <v>300000</v>
      </c>
      <c r="D27" s="21">
        <v>150000</v>
      </c>
      <c r="E27" s="14">
        <f t="shared" si="0"/>
        <v>450000</v>
      </c>
      <c r="F27" s="13">
        <v>341140</v>
      </c>
      <c r="G27" s="13">
        <v>218161</v>
      </c>
      <c r="H27" s="15">
        <f t="shared" si="1"/>
        <v>559301</v>
      </c>
      <c r="I27" s="24">
        <f t="shared" si="3"/>
        <v>1.1371333333333333</v>
      </c>
      <c r="J27" s="25">
        <f t="shared" si="4"/>
        <v>1.4544066666666666</v>
      </c>
    </row>
    <row r="28" spans="1:10" ht="30.75" customHeight="1" thickTop="1" thickBot="1" x14ac:dyDescent="0.3">
      <c r="A28" s="11">
        <v>45803</v>
      </c>
      <c r="B28" s="17" t="s">
        <v>8</v>
      </c>
      <c r="C28" s="21">
        <v>350000</v>
      </c>
      <c r="D28" s="21">
        <v>0</v>
      </c>
      <c r="E28" s="14">
        <f t="shared" si="0"/>
        <v>350000</v>
      </c>
      <c r="F28" s="13">
        <v>360794</v>
      </c>
      <c r="G28" s="13">
        <v>0</v>
      </c>
      <c r="H28" s="15">
        <f t="shared" si="1"/>
        <v>360794</v>
      </c>
      <c r="I28" s="24">
        <f t="shared" si="3"/>
        <v>1.03084</v>
      </c>
      <c r="J28" s="25">
        <f t="shared" si="4"/>
        <v>1</v>
      </c>
    </row>
    <row r="29" spans="1:10" ht="30.75" customHeight="1" thickTop="1" thickBot="1" x14ac:dyDescent="0.3">
      <c r="A29" s="11">
        <v>45804</v>
      </c>
      <c r="B29" s="12" t="s">
        <v>9</v>
      </c>
      <c r="C29" s="21">
        <v>250000</v>
      </c>
      <c r="D29" s="21">
        <v>150000</v>
      </c>
      <c r="E29" s="14">
        <f t="shared" si="0"/>
        <v>400000</v>
      </c>
      <c r="F29" s="13">
        <v>214115</v>
      </c>
      <c r="G29" s="13">
        <v>164711</v>
      </c>
      <c r="H29" s="15">
        <f t="shared" si="1"/>
        <v>378826</v>
      </c>
      <c r="I29" s="24">
        <f t="shared" si="3"/>
        <v>0.85646</v>
      </c>
      <c r="J29" s="25">
        <f t="shared" si="4"/>
        <v>1.0980733333333332</v>
      </c>
    </row>
    <row r="30" spans="1:10" ht="30.75" customHeight="1" thickTop="1" thickBot="1" x14ac:dyDescent="0.3">
      <c r="A30" s="11">
        <v>45805</v>
      </c>
      <c r="B30" s="12" t="s">
        <v>10</v>
      </c>
      <c r="C30" s="21">
        <v>370000</v>
      </c>
      <c r="D30" s="21">
        <v>150000</v>
      </c>
      <c r="E30" s="14">
        <f t="shared" si="0"/>
        <v>520000</v>
      </c>
      <c r="F30" s="13">
        <v>374033</v>
      </c>
      <c r="G30" s="13">
        <v>140392</v>
      </c>
      <c r="H30" s="15">
        <f t="shared" si="1"/>
        <v>514425</v>
      </c>
      <c r="I30" s="24">
        <f t="shared" si="3"/>
        <v>1.0108999999999999</v>
      </c>
      <c r="J30" s="25">
        <f t="shared" si="4"/>
        <v>0.9359466666666667</v>
      </c>
    </row>
    <row r="31" spans="1:10" ht="30.75" customHeight="1" thickTop="1" thickBot="1" x14ac:dyDescent="0.3">
      <c r="A31" s="11">
        <v>45806</v>
      </c>
      <c r="B31" s="12" t="s">
        <v>11</v>
      </c>
      <c r="C31" s="21">
        <v>600000</v>
      </c>
      <c r="D31" s="21">
        <v>120000</v>
      </c>
      <c r="E31" s="14">
        <f t="shared" si="0"/>
        <v>720000</v>
      </c>
      <c r="F31" s="13">
        <v>685474</v>
      </c>
      <c r="G31" s="13">
        <v>94987</v>
      </c>
      <c r="H31" s="15">
        <f t="shared" si="1"/>
        <v>780461</v>
      </c>
      <c r="I31" s="24">
        <f t="shared" si="3"/>
        <v>1.1424566666666667</v>
      </c>
      <c r="J31" s="25">
        <f t="shared" si="4"/>
        <v>0.79155833333333336</v>
      </c>
    </row>
    <row r="32" spans="1:10" ht="30.75" customHeight="1" thickTop="1" thickBot="1" x14ac:dyDescent="0.3">
      <c r="A32" s="11">
        <v>45807</v>
      </c>
      <c r="B32" s="16" t="s">
        <v>12</v>
      </c>
      <c r="C32" s="21">
        <v>650000</v>
      </c>
      <c r="D32" s="21">
        <v>200000</v>
      </c>
      <c r="E32" s="14">
        <f t="shared" si="0"/>
        <v>850000</v>
      </c>
      <c r="F32" s="13">
        <v>766231</v>
      </c>
      <c r="G32" s="13">
        <v>276184</v>
      </c>
      <c r="H32" s="15">
        <f t="shared" si="1"/>
        <v>1042415</v>
      </c>
      <c r="I32" s="24">
        <f t="shared" si="3"/>
        <v>1.178816923076923</v>
      </c>
      <c r="J32" s="25">
        <f t="shared" si="4"/>
        <v>1.3809199999999999</v>
      </c>
    </row>
    <row r="33" spans="1:10" ht="30.75" customHeight="1" thickTop="1" thickBot="1" x14ac:dyDescent="0.3">
      <c r="A33" s="11">
        <v>45808</v>
      </c>
      <c r="B33" s="16" t="s">
        <v>6</v>
      </c>
      <c r="C33" s="21">
        <v>400000</v>
      </c>
      <c r="D33" s="21">
        <v>150000</v>
      </c>
      <c r="E33" s="14">
        <f t="shared" si="0"/>
        <v>550000</v>
      </c>
      <c r="F33" s="13">
        <v>516680</v>
      </c>
      <c r="G33" s="13">
        <v>174552</v>
      </c>
      <c r="H33" s="15">
        <f t="shared" si="1"/>
        <v>691232</v>
      </c>
      <c r="I33" s="24">
        <f t="shared" si="3"/>
        <v>1.2917000000000001</v>
      </c>
      <c r="J33" s="25">
        <f t="shared" si="4"/>
        <v>1.16368</v>
      </c>
    </row>
    <row r="34" spans="1:10" ht="30.75" customHeight="1" thickTop="1" thickBot="1" x14ac:dyDescent="0.55000000000000004">
      <c r="A34" s="39" t="s">
        <v>13</v>
      </c>
      <c r="B34" s="40"/>
      <c r="C34" s="18">
        <f>SUM(C3:C33)</f>
        <v>12870000</v>
      </c>
      <c r="D34" s="18">
        <f>SUM(D3:D33)</f>
        <v>3650000</v>
      </c>
      <c r="E34" s="18">
        <f>SUM(E3:E33)</f>
        <v>16520000</v>
      </c>
      <c r="F34" s="18">
        <f t="shared" ref="F34:H34" si="5">SUM(F3:F33)</f>
        <v>14338205</v>
      </c>
      <c r="G34" s="18">
        <f t="shared" si="5"/>
        <v>3613638</v>
      </c>
      <c r="H34" s="18">
        <f t="shared" si="5"/>
        <v>17951843</v>
      </c>
      <c r="I34" s="19">
        <f>AVERAGE(I3:I33)</f>
        <v>1.1071079496435465</v>
      </c>
      <c r="J34" s="20">
        <f>AVERAGE(J3:J33)</f>
        <v>0.98665522401433692</v>
      </c>
    </row>
  </sheetData>
  <mergeCells count="13">
    <mergeCell ref="Q2:Q3"/>
    <mergeCell ref="R2:R3"/>
    <mergeCell ref="S2:S3"/>
    <mergeCell ref="T2:U2"/>
    <mergeCell ref="V2:X2"/>
    <mergeCell ref="Z2:AB2"/>
    <mergeCell ref="Q1:AC1"/>
    <mergeCell ref="I1:J1"/>
    <mergeCell ref="A34:B34"/>
    <mergeCell ref="A1:A2"/>
    <mergeCell ref="B1:B2"/>
    <mergeCell ref="C1:E1"/>
    <mergeCell ref="F1:H1"/>
  </mergeCells>
  <conditionalFormatting sqref="I3:J22">
    <cfRule type="cellIs" dxfId="1" priority="1" operator="lessThan">
      <formula>1</formula>
    </cfRule>
  </conditionalFormatting>
  <pageMargins left="0.7" right="0.7" top="0.75" bottom="0.75" header="0.3" footer="0.3"/>
  <pageSetup paperSize="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32805-568C-411E-8C5D-32B663A517E8}">
  <dimension ref="A1:AC34"/>
  <sheetViews>
    <sheetView topLeftCell="N1" zoomScaleNormal="100" workbookViewId="0">
      <selection activeCell="P14" sqref="P14"/>
    </sheetView>
  </sheetViews>
  <sheetFormatPr defaultColWidth="9.09765625" defaultRowHeight="30.75" customHeight="1" x14ac:dyDescent="0.25"/>
  <cols>
    <col min="1" max="1" width="10.8984375" style="1" bestFit="1" customWidth="1"/>
    <col min="2" max="2" width="7.296875" style="1" bestFit="1" customWidth="1"/>
    <col min="3" max="3" width="12.09765625" style="1" bestFit="1" customWidth="1"/>
    <col min="4" max="4" width="11" style="1" bestFit="1" customWidth="1"/>
    <col min="5" max="5" width="12.09765625" style="1" bestFit="1" customWidth="1"/>
    <col min="6" max="6" width="12.3984375" style="1" customWidth="1"/>
    <col min="7" max="7" width="11" style="1" bestFit="1" customWidth="1"/>
    <col min="8" max="8" width="12.59765625" style="1" customWidth="1"/>
    <col min="9" max="9" width="8.09765625" style="1" bestFit="1" customWidth="1"/>
    <col min="10" max="10" width="9" style="1" customWidth="1"/>
    <col min="11" max="12" width="9.09765625" style="1"/>
    <col min="13" max="13" width="53.5" style="1" bestFit="1" customWidth="1"/>
    <col min="14" max="16" width="9.09765625" style="1"/>
    <col min="17" max="17" width="15.09765625" style="1" bestFit="1" customWidth="1"/>
    <col min="18" max="18" width="15.19921875" style="1" bestFit="1" customWidth="1"/>
    <col min="19" max="19" width="12.19921875" style="1" customWidth="1"/>
    <col min="20" max="20" width="12.296875" style="1" bestFit="1" customWidth="1"/>
    <col min="21" max="21" width="11" style="1" bestFit="1" customWidth="1"/>
    <col min="22" max="22" width="13" style="1" bestFit="1" customWidth="1"/>
    <col min="23" max="23" width="14.19921875" style="1" bestFit="1" customWidth="1"/>
    <col min="24" max="24" width="12.5" style="1" bestFit="1" customWidth="1"/>
    <col min="25" max="25" width="20.8984375" style="1" bestFit="1" customWidth="1"/>
    <col min="26" max="26" width="15.69921875" style="1" bestFit="1" customWidth="1"/>
    <col min="27" max="27" width="13.3984375" style="1" bestFit="1" customWidth="1"/>
    <col min="28" max="28" width="8.19921875" style="1" bestFit="1" customWidth="1"/>
    <col min="29" max="29" width="23.3984375" style="1" bestFit="1" customWidth="1"/>
    <col min="30" max="16384" width="9.09765625" style="1"/>
  </cols>
  <sheetData>
    <row r="1" spans="1:29" ht="30.75" customHeight="1" thickBot="1" x14ac:dyDescent="0.3">
      <c r="A1" s="41" t="s">
        <v>0</v>
      </c>
      <c r="B1" s="43" t="s">
        <v>1</v>
      </c>
      <c r="C1" s="43" t="s">
        <v>2</v>
      </c>
      <c r="D1" s="43"/>
      <c r="E1" s="43"/>
      <c r="F1" s="43" t="s">
        <v>3</v>
      </c>
      <c r="G1" s="43"/>
      <c r="H1" s="43"/>
      <c r="I1" s="37" t="s">
        <v>14</v>
      </c>
      <c r="J1" s="38"/>
      <c r="M1" s="27" t="s">
        <v>15</v>
      </c>
      <c r="N1" s="26"/>
      <c r="O1" s="26"/>
      <c r="P1" s="26"/>
      <c r="Q1" s="48" t="s">
        <v>36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</row>
    <row r="2" spans="1:29" ht="30.75" customHeight="1" thickTop="1" thickBot="1" x14ac:dyDescent="0.3">
      <c r="A2" s="42"/>
      <c r="B2" s="44"/>
      <c r="C2" s="8" t="s">
        <v>4</v>
      </c>
      <c r="D2" s="8" t="s">
        <v>5</v>
      </c>
      <c r="E2" s="9" t="s">
        <v>13</v>
      </c>
      <c r="F2" s="8" t="s">
        <v>4</v>
      </c>
      <c r="G2" s="8" t="s">
        <v>5</v>
      </c>
      <c r="H2" s="10" t="s">
        <v>13</v>
      </c>
      <c r="I2" s="22" t="s">
        <v>4</v>
      </c>
      <c r="J2" s="23" t="s">
        <v>5</v>
      </c>
      <c r="M2" s="28" t="s">
        <v>16</v>
      </c>
      <c r="Q2" s="49" t="s">
        <v>39</v>
      </c>
      <c r="R2" s="49" t="s">
        <v>49</v>
      </c>
      <c r="S2" s="49" t="s">
        <v>50</v>
      </c>
      <c r="T2" s="53" t="s">
        <v>40</v>
      </c>
      <c r="U2" s="53"/>
      <c r="V2" s="49" t="s">
        <v>42</v>
      </c>
      <c r="W2" s="49"/>
      <c r="X2" s="49"/>
      <c r="Y2" s="54" t="s">
        <v>46</v>
      </c>
      <c r="Z2" s="49" t="s">
        <v>51</v>
      </c>
      <c r="AA2" s="49"/>
      <c r="AB2" s="49"/>
      <c r="AC2" s="54" t="s">
        <v>55</v>
      </c>
    </row>
    <row r="3" spans="1:29" ht="30.75" customHeight="1" thickTop="1" thickBot="1" x14ac:dyDescent="0.3">
      <c r="A3" s="11">
        <v>45809</v>
      </c>
      <c r="B3" s="12" t="s">
        <v>7</v>
      </c>
      <c r="C3" s="21">
        <v>250000</v>
      </c>
      <c r="D3" s="21">
        <v>100000</v>
      </c>
      <c r="E3" s="14">
        <f>D3+C3</f>
        <v>350000</v>
      </c>
      <c r="F3" s="13">
        <v>174376</v>
      </c>
      <c r="G3" s="13">
        <v>80358</v>
      </c>
      <c r="H3" s="15">
        <f>SUM(F3:G3)</f>
        <v>254734</v>
      </c>
      <c r="I3" s="24">
        <f>F3/C3</f>
        <v>0.69750400000000001</v>
      </c>
      <c r="J3" s="25">
        <f>IF(G3&lt;&gt;0,G3/D3,1)</f>
        <v>0.80357999999999996</v>
      </c>
      <c r="M3" s="29" t="s">
        <v>17</v>
      </c>
      <c r="Q3" s="49"/>
      <c r="R3" s="49"/>
      <c r="S3" s="49"/>
      <c r="T3" s="55" t="s">
        <v>48</v>
      </c>
      <c r="U3" s="55" t="s">
        <v>41</v>
      </c>
      <c r="V3" s="8" t="s">
        <v>43</v>
      </c>
      <c r="W3" s="8" t="s">
        <v>44</v>
      </c>
      <c r="X3" s="8" t="s">
        <v>45</v>
      </c>
      <c r="Y3" s="54" t="s">
        <v>47</v>
      </c>
      <c r="Z3" s="8" t="s">
        <v>52</v>
      </c>
      <c r="AA3" s="8" t="s">
        <v>54</v>
      </c>
      <c r="AB3" s="8" t="s">
        <v>53</v>
      </c>
      <c r="AC3" s="54" t="s">
        <v>56</v>
      </c>
    </row>
    <row r="4" spans="1:29" ht="30.75" customHeight="1" thickTop="1" thickBot="1" x14ac:dyDescent="0.4">
      <c r="A4" s="11">
        <v>45810</v>
      </c>
      <c r="B4" s="17" t="s">
        <v>8</v>
      </c>
      <c r="C4" s="21">
        <v>350000</v>
      </c>
      <c r="D4" s="21">
        <v>0</v>
      </c>
      <c r="E4" s="14">
        <f t="shared" ref="E4:E33" si="0">D4+C4</f>
        <v>350000</v>
      </c>
      <c r="F4" s="13">
        <v>426381</v>
      </c>
      <c r="G4" s="13">
        <v>0</v>
      </c>
      <c r="H4" s="15">
        <f t="shared" ref="H4:H33" si="1">SUM(F4:G4)</f>
        <v>426381</v>
      </c>
      <c r="I4" s="24">
        <f>F4/C4</f>
        <v>1.2182314285714286</v>
      </c>
      <c r="J4" s="25">
        <f t="shared" ref="J4:J33" si="2">IF(G4&lt;&gt;0,G4/D4,1)</f>
        <v>1</v>
      </c>
      <c r="M4" s="29" t="s">
        <v>18</v>
      </c>
      <c r="Q4" s="47" t="s">
        <v>37</v>
      </c>
      <c r="R4" s="50">
        <f>F34</f>
        <v>3118295</v>
      </c>
      <c r="S4" s="50">
        <f>R4*0.86</f>
        <v>2681733.7000000002</v>
      </c>
      <c r="T4" s="51">
        <v>192550</v>
      </c>
      <c r="U4" s="51">
        <v>1100000</v>
      </c>
      <c r="V4" s="50">
        <v>80000</v>
      </c>
      <c r="W4" s="50">
        <v>2000</v>
      </c>
      <c r="X4" s="50">
        <v>30000</v>
      </c>
      <c r="Y4" s="52">
        <f>R4-S4-T4-U4-V4-W4-X4</f>
        <v>-967988.70000000019</v>
      </c>
      <c r="Z4" s="50">
        <v>20000</v>
      </c>
      <c r="AA4" s="50">
        <v>10000</v>
      </c>
      <c r="AB4" s="50">
        <v>10000</v>
      </c>
      <c r="AC4" s="52">
        <f>Y4-Z4-AA4-AB4</f>
        <v>-1007988.7000000002</v>
      </c>
    </row>
    <row r="5" spans="1:29" ht="30.75" customHeight="1" thickTop="1" thickBot="1" x14ac:dyDescent="0.4">
      <c r="A5" s="11">
        <v>45811</v>
      </c>
      <c r="B5" s="12" t="s">
        <v>9</v>
      </c>
      <c r="C5" s="21">
        <v>200000</v>
      </c>
      <c r="D5" s="21">
        <v>150000</v>
      </c>
      <c r="E5" s="14">
        <f t="shared" si="0"/>
        <v>350000</v>
      </c>
      <c r="F5" s="13">
        <v>210431</v>
      </c>
      <c r="G5" s="13">
        <v>75026</v>
      </c>
      <c r="H5" s="15">
        <f t="shared" si="1"/>
        <v>285457</v>
      </c>
      <c r="I5" s="24">
        <f t="shared" ref="I5:I32" si="3">F5/C5</f>
        <v>1.052155</v>
      </c>
      <c r="J5" s="25">
        <f t="shared" si="2"/>
        <v>0.50017333333333336</v>
      </c>
      <c r="M5" s="29" t="s">
        <v>19</v>
      </c>
      <c r="Q5" s="47" t="s">
        <v>38</v>
      </c>
      <c r="R5" s="50">
        <f>G34</f>
        <v>800775</v>
      </c>
      <c r="S5" s="50">
        <f>R5*0.86</f>
        <v>688666.5</v>
      </c>
      <c r="T5" s="51">
        <v>60330</v>
      </c>
      <c r="U5" s="51">
        <v>350000</v>
      </c>
      <c r="V5" s="50">
        <v>10000</v>
      </c>
      <c r="W5" s="50">
        <v>2000</v>
      </c>
      <c r="X5" s="50">
        <v>10000</v>
      </c>
      <c r="Y5" s="52">
        <f>R5-S5-T5-U5-V5-W5-X5</f>
        <v>-320221.5</v>
      </c>
      <c r="Z5" s="50">
        <v>10000</v>
      </c>
      <c r="AA5" s="50">
        <v>5000</v>
      </c>
      <c r="AB5" s="50">
        <v>10000</v>
      </c>
      <c r="AC5" s="52">
        <f>Y5-Z5-AA5-AB5</f>
        <v>-345221.5</v>
      </c>
    </row>
    <row r="6" spans="1:29" ht="30.75" customHeight="1" thickTop="1" thickBot="1" x14ac:dyDescent="0.3">
      <c r="A6" s="11">
        <v>45812</v>
      </c>
      <c r="B6" s="12" t="s">
        <v>10</v>
      </c>
      <c r="C6" s="21">
        <v>300000</v>
      </c>
      <c r="D6" s="21">
        <v>100000</v>
      </c>
      <c r="E6" s="14">
        <f t="shared" si="0"/>
        <v>400000</v>
      </c>
      <c r="F6" s="13">
        <v>263827</v>
      </c>
      <c r="G6" s="13">
        <v>32338</v>
      </c>
      <c r="H6" s="15">
        <f t="shared" si="1"/>
        <v>296165</v>
      </c>
      <c r="I6" s="24">
        <f t="shared" si="3"/>
        <v>0.87942333333333333</v>
      </c>
      <c r="J6" s="25">
        <f t="shared" si="2"/>
        <v>0.32338</v>
      </c>
      <c r="M6" s="29" t="s">
        <v>21</v>
      </c>
    </row>
    <row r="7" spans="1:29" ht="30.75" customHeight="1" thickTop="1" thickBot="1" x14ac:dyDescent="0.3">
      <c r="A7" s="11">
        <v>45813</v>
      </c>
      <c r="B7" s="12" t="s">
        <v>11</v>
      </c>
      <c r="C7" s="21">
        <v>600000</v>
      </c>
      <c r="D7" s="21">
        <v>100000</v>
      </c>
      <c r="E7" s="14">
        <f t="shared" si="0"/>
        <v>700000</v>
      </c>
      <c r="F7" s="13">
        <v>779222</v>
      </c>
      <c r="G7" s="13">
        <v>106834</v>
      </c>
      <c r="H7" s="15">
        <f t="shared" si="1"/>
        <v>886056</v>
      </c>
      <c r="I7" s="24">
        <f t="shared" si="3"/>
        <v>1.2987033333333333</v>
      </c>
      <c r="J7" s="25">
        <f t="shared" si="2"/>
        <v>1.0683400000000001</v>
      </c>
      <c r="M7" s="29" t="s">
        <v>20</v>
      </c>
    </row>
    <row r="8" spans="1:29" ht="30.75" customHeight="1" thickTop="1" thickBot="1" x14ac:dyDescent="0.3">
      <c r="A8" s="11">
        <v>45814</v>
      </c>
      <c r="B8" s="16" t="s">
        <v>12</v>
      </c>
      <c r="C8" s="21">
        <v>600000</v>
      </c>
      <c r="D8" s="21">
        <v>200000</v>
      </c>
      <c r="E8" s="14">
        <f t="shared" si="0"/>
        <v>800000</v>
      </c>
      <c r="F8" s="13">
        <v>696116</v>
      </c>
      <c r="G8" s="13">
        <v>206870</v>
      </c>
      <c r="H8" s="15">
        <f t="shared" si="1"/>
        <v>902986</v>
      </c>
      <c r="I8" s="24">
        <f t="shared" si="3"/>
        <v>1.1601933333333334</v>
      </c>
      <c r="J8" s="25">
        <f t="shared" si="2"/>
        <v>1.0343500000000001</v>
      </c>
      <c r="M8" s="29" t="s">
        <v>22</v>
      </c>
    </row>
    <row r="9" spans="1:29" ht="30.75" customHeight="1" thickTop="1" thickBot="1" x14ac:dyDescent="0.3">
      <c r="A9" s="11">
        <v>45815</v>
      </c>
      <c r="B9" s="16" t="s">
        <v>6</v>
      </c>
      <c r="C9" s="21">
        <v>400000</v>
      </c>
      <c r="D9" s="21">
        <v>150000</v>
      </c>
      <c r="E9" s="14">
        <f t="shared" si="0"/>
        <v>550000</v>
      </c>
      <c r="F9" s="13">
        <v>335367</v>
      </c>
      <c r="G9" s="13">
        <v>208185</v>
      </c>
      <c r="H9" s="15">
        <f t="shared" si="1"/>
        <v>543552</v>
      </c>
      <c r="I9" s="24">
        <f t="shared" si="3"/>
        <v>0.83841750000000004</v>
      </c>
      <c r="J9" s="25">
        <f t="shared" si="2"/>
        <v>1.3878999999999999</v>
      </c>
      <c r="M9" s="30" t="s">
        <v>24</v>
      </c>
    </row>
    <row r="10" spans="1:29" ht="30.75" customHeight="1" thickTop="1" thickBot="1" x14ac:dyDescent="0.3">
      <c r="A10" s="11">
        <v>45816</v>
      </c>
      <c r="B10" s="12" t="s">
        <v>7</v>
      </c>
      <c r="C10" s="21">
        <v>250000</v>
      </c>
      <c r="D10" s="21">
        <v>120000</v>
      </c>
      <c r="E10" s="14">
        <f t="shared" si="0"/>
        <v>370000</v>
      </c>
      <c r="F10" s="13">
        <v>232575</v>
      </c>
      <c r="G10" s="13">
        <v>91164</v>
      </c>
      <c r="H10" s="15">
        <f t="shared" si="1"/>
        <v>323739</v>
      </c>
      <c r="I10" s="24">
        <f t="shared" si="3"/>
        <v>0.93030000000000002</v>
      </c>
      <c r="J10" s="25">
        <f t="shared" si="2"/>
        <v>0.75970000000000004</v>
      </c>
    </row>
    <row r="11" spans="1:29" ht="30.75" customHeight="1" thickTop="1" thickBot="1" x14ac:dyDescent="0.3">
      <c r="A11" s="11">
        <v>45817</v>
      </c>
      <c r="B11" s="17" t="s">
        <v>8</v>
      </c>
      <c r="C11" s="21">
        <v>400000</v>
      </c>
      <c r="D11" s="21">
        <v>0</v>
      </c>
      <c r="E11" s="14">
        <f t="shared" si="0"/>
        <v>400000</v>
      </c>
      <c r="F11" s="13"/>
      <c r="G11" s="13"/>
      <c r="H11" s="15">
        <f t="shared" si="1"/>
        <v>0</v>
      </c>
      <c r="I11" s="24">
        <f t="shared" si="3"/>
        <v>0</v>
      </c>
      <c r="J11" s="25">
        <f t="shared" si="2"/>
        <v>1</v>
      </c>
      <c r="M11" s="28" t="s">
        <v>25</v>
      </c>
    </row>
    <row r="12" spans="1:29" ht="30.75" customHeight="1" thickTop="1" thickBot="1" x14ac:dyDescent="0.3">
      <c r="A12" s="11">
        <v>45818</v>
      </c>
      <c r="B12" s="12" t="s">
        <v>9</v>
      </c>
      <c r="C12" s="21">
        <v>250000</v>
      </c>
      <c r="D12" s="21">
        <v>150000</v>
      </c>
      <c r="E12" s="14">
        <f t="shared" si="0"/>
        <v>400000</v>
      </c>
      <c r="F12" s="13"/>
      <c r="G12" s="13"/>
      <c r="H12" s="15">
        <f t="shared" si="1"/>
        <v>0</v>
      </c>
      <c r="I12" s="24">
        <f t="shared" si="3"/>
        <v>0</v>
      </c>
      <c r="J12" s="25">
        <f t="shared" si="2"/>
        <v>1</v>
      </c>
      <c r="M12" s="29" t="s">
        <v>26</v>
      </c>
    </row>
    <row r="13" spans="1:29" ht="30.75" customHeight="1" thickTop="1" thickBot="1" x14ac:dyDescent="0.3">
      <c r="A13" s="11">
        <v>45819</v>
      </c>
      <c r="B13" s="12" t="s">
        <v>10</v>
      </c>
      <c r="C13" s="21">
        <v>350000</v>
      </c>
      <c r="D13" s="21">
        <v>150000</v>
      </c>
      <c r="E13" s="14">
        <f t="shared" si="0"/>
        <v>500000</v>
      </c>
      <c r="F13" s="13"/>
      <c r="G13" s="13"/>
      <c r="H13" s="15">
        <f t="shared" si="1"/>
        <v>0</v>
      </c>
      <c r="I13" s="24">
        <f t="shared" si="3"/>
        <v>0</v>
      </c>
      <c r="J13" s="25">
        <f t="shared" si="2"/>
        <v>1</v>
      </c>
      <c r="M13" s="29" t="s">
        <v>27</v>
      </c>
    </row>
    <row r="14" spans="1:29" ht="30.75" customHeight="1" thickTop="1" thickBot="1" x14ac:dyDescent="0.3">
      <c r="A14" s="11">
        <v>45820</v>
      </c>
      <c r="B14" s="12" t="s">
        <v>11</v>
      </c>
      <c r="C14" s="21">
        <v>600000</v>
      </c>
      <c r="D14" s="21">
        <v>100000</v>
      </c>
      <c r="E14" s="14">
        <f t="shared" si="0"/>
        <v>700000</v>
      </c>
      <c r="F14" s="13"/>
      <c r="G14" s="13"/>
      <c r="H14" s="15">
        <f t="shared" si="1"/>
        <v>0</v>
      </c>
      <c r="I14" s="24">
        <f t="shared" si="3"/>
        <v>0</v>
      </c>
      <c r="J14" s="25">
        <f t="shared" si="2"/>
        <v>1</v>
      </c>
      <c r="M14" s="29"/>
    </row>
    <row r="15" spans="1:29" ht="30.75" customHeight="1" thickTop="1" thickBot="1" x14ac:dyDescent="0.3">
      <c r="A15" s="11">
        <v>45821</v>
      </c>
      <c r="B15" s="16" t="s">
        <v>12</v>
      </c>
      <c r="C15" s="21">
        <v>700000</v>
      </c>
      <c r="D15" s="21">
        <v>200000</v>
      </c>
      <c r="E15" s="14">
        <f t="shared" si="0"/>
        <v>900000</v>
      </c>
      <c r="F15" s="13"/>
      <c r="G15" s="13"/>
      <c r="H15" s="15">
        <f t="shared" si="1"/>
        <v>0</v>
      </c>
      <c r="I15" s="24">
        <f t="shared" si="3"/>
        <v>0</v>
      </c>
      <c r="J15" s="25">
        <f t="shared" si="2"/>
        <v>1</v>
      </c>
      <c r="M15" s="29"/>
    </row>
    <row r="16" spans="1:29" ht="30.75" customHeight="1" thickTop="1" thickBot="1" x14ac:dyDescent="0.3">
      <c r="A16" s="11">
        <v>45822</v>
      </c>
      <c r="B16" s="16" t="s">
        <v>6</v>
      </c>
      <c r="C16" s="21">
        <v>400000</v>
      </c>
      <c r="D16" s="21">
        <v>150000</v>
      </c>
      <c r="E16" s="14">
        <f t="shared" si="0"/>
        <v>550000</v>
      </c>
      <c r="F16" s="13"/>
      <c r="G16" s="13"/>
      <c r="H16" s="15">
        <f t="shared" si="1"/>
        <v>0</v>
      </c>
      <c r="I16" s="24">
        <f t="shared" si="3"/>
        <v>0</v>
      </c>
      <c r="J16" s="25">
        <f t="shared" si="2"/>
        <v>1</v>
      </c>
    </row>
    <row r="17" spans="1:10" ht="30.75" customHeight="1" thickTop="1" thickBot="1" x14ac:dyDescent="0.3">
      <c r="A17" s="11">
        <v>45823</v>
      </c>
      <c r="B17" s="12" t="s">
        <v>7</v>
      </c>
      <c r="C17" s="21">
        <v>250000</v>
      </c>
      <c r="D17" s="21">
        <v>100000</v>
      </c>
      <c r="E17" s="14">
        <f t="shared" si="0"/>
        <v>350000</v>
      </c>
      <c r="F17" s="13"/>
      <c r="G17" s="13"/>
      <c r="H17" s="15">
        <f t="shared" si="1"/>
        <v>0</v>
      </c>
      <c r="I17" s="24">
        <f t="shared" si="3"/>
        <v>0</v>
      </c>
      <c r="J17" s="25">
        <f t="shared" si="2"/>
        <v>1</v>
      </c>
    </row>
    <row r="18" spans="1:10" ht="30.75" customHeight="1" thickTop="1" thickBot="1" x14ac:dyDescent="0.3">
      <c r="A18" s="11">
        <v>45824</v>
      </c>
      <c r="B18" s="17" t="s">
        <v>8</v>
      </c>
      <c r="C18" s="21">
        <v>350000</v>
      </c>
      <c r="D18" s="21">
        <v>0</v>
      </c>
      <c r="E18" s="14">
        <f t="shared" si="0"/>
        <v>350000</v>
      </c>
      <c r="F18" s="13"/>
      <c r="G18" s="13"/>
      <c r="H18" s="15">
        <f t="shared" si="1"/>
        <v>0</v>
      </c>
      <c r="I18" s="24">
        <f t="shared" si="3"/>
        <v>0</v>
      </c>
      <c r="J18" s="25">
        <f t="shared" si="2"/>
        <v>1</v>
      </c>
    </row>
    <row r="19" spans="1:10" ht="30.75" customHeight="1" thickTop="1" thickBot="1" x14ac:dyDescent="0.3">
      <c r="A19" s="11">
        <v>45825</v>
      </c>
      <c r="B19" s="12" t="s">
        <v>9</v>
      </c>
      <c r="C19" s="21">
        <v>200000</v>
      </c>
      <c r="D19" s="21">
        <v>120000</v>
      </c>
      <c r="E19" s="14">
        <f t="shared" si="0"/>
        <v>320000</v>
      </c>
      <c r="F19" s="13"/>
      <c r="G19" s="13"/>
      <c r="H19" s="15">
        <f t="shared" si="1"/>
        <v>0</v>
      </c>
      <c r="I19" s="24">
        <f t="shared" si="3"/>
        <v>0</v>
      </c>
      <c r="J19" s="25">
        <f t="shared" si="2"/>
        <v>1</v>
      </c>
    </row>
    <row r="20" spans="1:10" ht="30.75" customHeight="1" thickTop="1" thickBot="1" x14ac:dyDescent="0.3">
      <c r="A20" s="11">
        <v>45826</v>
      </c>
      <c r="B20" s="12" t="s">
        <v>10</v>
      </c>
      <c r="C20" s="21">
        <v>400000</v>
      </c>
      <c r="D20" s="21">
        <v>100000</v>
      </c>
      <c r="E20" s="14">
        <f t="shared" si="0"/>
        <v>500000</v>
      </c>
      <c r="F20" s="13"/>
      <c r="G20" s="13"/>
      <c r="H20" s="15">
        <f t="shared" si="1"/>
        <v>0</v>
      </c>
      <c r="I20" s="24">
        <f t="shared" si="3"/>
        <v>0</v>
      </c>
      <c r="J20" s="25">
        <f t="shared" si="2"/>
        <v>1</v>
      </c>
    </row>
    <row r="21" spans="1:10" ht="30.75" customHeight="1" thickTop="1" thickBot="1" x14ac:dyDescent="0.3">
      <c r="A21" s="11">
        <v>45827</v>
      </c>
      <c r="B21" s="12" t="s">
        <v>11</v>
      </c>
      <c r="C21" s="21">
        <v>600000</v>
      </c>
      <c r="D21" s="21">
        <v>100000</v>
      </c>
      <c r="E21" s="14">
        <f t="shared" si="0"/>
        <v>700000</v>
      </c>
      <c r="F21" s="13"/>
      <c r="G21" s="13"/>
      <c r="H21" s="15">
        <f t="shared" si="1"/>
        <v>0</v>
      </c>
      <c r="I21" s="24">
        <f t="shared" si="3"/>
        <v>0</v>
      </c>
      <c r="J21" s="25">
        <f t="shared" si="2"/>
        <v>1</v>
      </c>
    </row>
    <row r="22" spans="1:10" ht="30.75" customHeight="1" thickTop="1" thickBot="1" x14ac:dyDescent="0.3">
      <c r="A22" s="11">
        <v>45828</v>
      </c>
      <c r="B22" s="16" t="s">
        <v>12</v>
      </c>
      <c r="C22" s="21">
        <v>650000</v>
      </c>
      <c r="D22" s="21">
        <v>180000</v>
      </c>
      <c r="E22" s="14">
        <f t="shared" si="0"/>
        <v>830000</v>
      </c>
      <c r="F22" s="13"/>
      <c r="G22" s="13"/>
      <c r="H22" s="15">
        <f t="shared" si="1"/>
        <v>0</v>
      </c>
      <c r="I22" s="24">
        <f t="shared" si="3"/>
        <v>0</v>
      </c>
      <c r="J22" s="25">
        <f t="shared" si="2"/>
        <v>1</v>
      </c>
    </row>
    <row r="23" spans="1:10" ht="30.75" customHeight="1" thickTop="1" thickBot="1" x14ac:dyDescent="0.3">
      <c r="A23" s="11">
        <v>45829</v>
      </c>
      <c r="B23" s="16" t="s">
        <v>6</v>
      </c>
      <c r="C23" s="21">
        <v>350000</v>
      </c>
      <c r="D23" s="21">
        <v>120000</v>
      </c>
      <c r="E23" s="14">
        <f t="shared" si="0"/>
        <v>470000</v>
      </c>
      <c r="F23" s="13"/>
      <c r="G23" s="13"/>
      <c r="H23" s="15">
        <f t="shared" si="1"/>
        <v>0</v>
      </c>
      <c r="I23" s="24">
        <f t="shared" si="3"/>
        <v>0</v>
      </c>
      <c r="J23" s="25">
        <f t="shared" si="2"/>
        <v>1</v>
      </c>
    </row>
    <row r="24" spans="1:10" ht="30.75" customHeight="1" thickTop="1" thickBot="1" x14ac:dyDescent="0.3">
      <c r="A24" s="11">
        <v>45830</v>
      </c>
      <c r="B24" s="12" t="s">
        <v>7</v>
      </c>
      <c r="C24" s="21">
        <v>200000</v>
      </c>
      <c r="D24" s="21">
        <v>120000</v>
      </c>
      <c r="E24" s="14">
        <f t="shared" si="0"/>
        <v>320000</v>
      </c>
      <c r="F24" s="13"/>
      <c r="G24" s="13"/>
      <c r="H24" s="15">
        <f t="shared" si="1"/>
        <v>0</v>
      </c>
      <c r="I24" s="24">
        <f t="shared" si="3"/>
        <v>0</v>
      </c>
      <c r="J24" s="25">
        <f t="shared" si="2"/>
        <v>1</v>
      </c>
    </row>
    <row r="25" spans="1:10" ht="30.75" customHeight="1" thickTop="1" thickBot="1" x14ac:dyDescent="0.3">
      <c r="A25" s="11">
        <v>45831</v>
      </c>
      <c r="B25" s="17" t="s">
        <v>8</v>
      </c>
      <c r="C25" s="21">
        <v>350000</v>
      </c>
      <c r="D25" s="21">
        <v>0</v>
      </c>
      <c r="E25" s="14">
        <f t="shared" si="0"/>
        <v>350000</v>
      </c>
      <c r="F25" s="13"/>
      <c r="G25" s="13"/>
      <c r="H25" s="15">
        <f t="shared" si="1"/>
        <v>0</v>
      </c>
      <c r="I25" s="24">
        <f t="shared" si="3"/>
        <v>0</v>
      </c>
      <c r="J25" s="25">
        <f t="shared" si="2"/>
        <v>1</v>
      </c>
    </row>
    <row r="26" spans="1:10" ht="30.75" customHeight="1" thickTop="1" thickBot="1" x14ac:dyDescent="0.3">
      <c r="A26" s="11">
        <v>45832</v>
      </c>
      <c r="B26" s="12" t="s">
        <v>9</v>
      </c>
      <c r="C26" s="21">
        <v>200000</v>
      </c>
      <c r="D26" s="21">
        <v>100000</v>
      </c>
      <c r="E26" s="14">
        <f t="shared" si="0"/>
        <v>300000</v>
      </c>
      <c r="F26" s="13"/>
      <c r="G26" s="13"/>
      <c r="H26" s="15">
        <f t="shared" si="1"/>
        <v>0</v>
      </c>
      <c r="I26" s="24">
        <f t="shared" si="3"/>
        <v>0</v>
      </c>
      <c r="J26" s="25">
        <f t="shared" si="2"/>
        <v>1</v>
      </c>
    </row>
    <row r="27" spans="1:10" ht="30.75" customHeight="1" thickTop="1" thickBot="1" x14ac:dyDescent="0.3">
      <c r="A27" s="11">
        <v>45833</v>
      </c>
      <c r="B27" s="12" t="s">
        <v>10</v>
      </c>
      <c r="C27" s="21">
        <v>350000</v>
      </c>
      <c r="D27" s="21">
        <v>150000</v>
      </c>
      <c r="E27" s="14">
        <f t="shared" si="0"/>
        <v>500000</v>
      </c>
      <c r="F27" s="13"/>
      <c r="G27" s="13"/>
      <c r="H27" s="15">
        <f t="shared" si="1"/>
        <v>0</v>
      </c>
      <c r="I27" s="24">
        <f t="shared" si="3"/>
        <v>0</v>
      </c>
      <c r="J27" s="25">
        <f t="shared" si="2"/>
        <v>1</v>
      </c>
    </row>
    <row r="28" spans="1:10" ht="30.75" customHeight="1" thickTop="1" thickBot="1" x14ac:dyDescent="0.3">
      <c r="A28" s="11">
        <v>45834</v>
      </c>
      <c r="B28" s="12" t="s">
        <v>11</v>
      </c>
      <c r="C28" s="21">
        <v>700000</v>
      </c>
      <c r="D28" s="21">
        <v>100000</v>
      </c>
      <c r="E28" s="14">
        <f t="shared" si="0"/>
        <v>800000</v>
      </c>
      <c r="F28" s="13"/>
      <c r="G28" s="13"/>
      <c r="H28" s="15">
        <f t="shared" si="1"/>
        <v>0</v>
      </c>
      <c r="I28" s="24">
        <f t="shared" si="3"/>
        <v>0</v>
      </c>
      <c r="J28" s="25">
        <f t="shared" si="2"/>
        <v>1</v>
      </c>
    </row>
    <row r="29" spans="1:10" ht="30.75" customHeight="1" thickTop="1" thickBot="1" x14ac:dyDescent="0.3">
      <c r="A29" s="11">
        <v>45835</v>
      </c>
      <c r="B29" s="16" t="s">
        <v>12</v>
      </c>
      <c r="C29" s="21">
        <v>650000</v>
      </c>
      <c r="D29" s="21">
        <v>200000</v>
      </c>
      <c r="E29" s="14">
        <f t="shared" si="0"/>
        <v>850000</v>
      </c>
      <c r="F29" s="13"/>
      <c r="G29" s="13"/>
      <c r="H29" s="15">
        <f t="shared" si="1"/>
        <v>0</v>
      </c>
      <c r="I29" s="24">
        <f t="shared" si="3"/>
        <v>0</v>
      </c>
      <c r="J29" s="25">
        <f t="shared" si="2"/>
        <v>1</v>
      </c>
    </row>
    <row r="30" spans="1:10" ht="30.75" customHeight="1" thickTop="1" thickBot="1" x14ac:dyDescent="0.3">
      <c r="A30" s="11">
        <v>45836</v>
      </c>
      <c r="B30" s="16" t="s">
        <v>6</v>
      </c>
      <c r="C30" s="21">
        <v>450000</v>
      </c>
      <c r="D30" s="21">
        <v>180000</v>
      </c>
      <c r="E30" s="14">
        <f t="shared" si="0"/>
        <v>630000</v>
      </c>
      <c r="F30" s="13"/>
      <c r="G30" s="13"/>
      <c r="H30" s="15">
        <f t="shared" si="1"/>
        <v>0</v>
      </c>
      <c r="I30" s="24">
        <f t="shared" si="3"/>
        <v>0</v>
      </c>
      <c r="J30" s="25">
        <f t="shared" si="2"/>
        <v>1</v>
      </c>
    </row>
    <row r="31" spans="1:10" ht="30.75" customHeight="1" thickTop="1" thickBot="1" x14ac:dyDescent="0.3">
      <c r="A31" s="11">
        <v>45837</v>
      </c>
      <c r="B31" s="12" t="s">
        <v>7</v>
      </c>
      <c r="C31" s="21">
        <v>250000</v>
      </c>
      <c r="D31" s="21">
        <v>120000</v>
      </c>
      <c r="E31" s="14">
        <f t="shared" si="0"/>
        <v>370000</v>
      </c>
      <c r="F31" s="13"/>
      <c r="G31" s="13"/>
      <c r="H31" s="15">
        <f t="shared" si="1"/>
        <v>0</v>
      </c>
      <c r="I31" s="24">
        <f t="shared" si="3"/>
        <v>0</v>
      </c>
      <c r="J31" s="25">
        <f t="shared" si="2"/>
        <v>1</v>
      </c>
    </row>
    <row r="32" spans="1:10" ht="30.75" customHeight="1" thickTop="1" thickBot="1" x14ac:dyDescent="0.3">
      <c r="A32" s="11">
        <v>45838</v>
      </c>
      <c r="B32" s="17" t="s">
        <v>8</v>
      </c>
      <c r="C32" s="21">
        <v>400000</v>
      </c>
      <c r="D32" s="21">
        <v>0</v>
      </c>
      <c r="E32" s="14">
        <f t="shared" si="0"/>
        <v>400000</v>
      </c>
      <c r="F32" s="13"/>
      <c r="G32" s="13"/>
      <c r="H32" s="15">
        <f t="shared" si="1"/>
        <v>0</v>
      </c>
      <c r="I32" s="24">
        <f t="shared" si="3"/>
        <v>0</v>
      </c>
      <c r="J32" s="25">
        <f t="shared" si="2"/>
        <v>1</v>
      </c>
    </row>
    <row r="33" spans="1:10" ht="30.75" customHeight="1" thickTop="1" thickBot="1" x14ac:dyDescent="0.3">
      <c r="A33" s="11"/>
      <c r="B33" s="16"/>
      <c r="C33" s="21"/>
      <c r="D33" s="21"/>
      <c r="E33" s="14"/>
      <c r="F33" s="13"/>
      <c r="G33" s="13"/>
      <c r="H33" s="15">
        <f t="shared" si="1"/>
        <v>0</v>
      </c>
      <c r="I33" s="24"/>
      <c r="J33" s="25">
        <f t="shared" si="2"/>
        <v>1</v>
      </c>
    </row>
    <row r="34" spans="1:10" ht="30.75" customHeight="1" thickTop="1" thickBot="1" x14ac:dyDescent="0.55000000000000004">
      <c r="A34" s="39" t="s">
        <v>13</v>
      </c>
      <c r="B34" s="40"/>
      <c r="C34" s="18">
        <f>SUM(C3:C33)</f>
        <v>12000000</v>
      </c>
      <c r="D34" s="18">
        <f>SUM(D3:D33)</f>
        <v>3360000</v>
      </c>
      <c r="E34" s="18">
        <f>SUM(E3:E33)</f>
        <v>15360000</v>
      </c>
      <c r="F34" s="18">
        <f t="shared" ref="F34:H34" si="4">SUM(F3:F33)</f>
        <v>3118295</v>
      </c>
      <c r="G34" s="18">
        <f t="shared" si="4"/>
        <v>800775</v>
      </c>
      <c r="H34" s="18">
        <f t="shared" si="4"/>
        <v>3919070</v>
      </c>
      <c r="I34" s="46">
        <f>F34/C34</f>
        <v>0.25985791666666669</v>
      </c>
      <c r="J34" s="20">
        <f>AVERAGE(J3:J33)</f>
        <v>0.96378784946236562</v>
      </c>
    </row>
  </sheetData>
  <mergeCells count="13">
    <mergeCell ref="Q1:AC1"/>
    <mergeCell ref="Q2:Q3"/>
    <mergeCell ref="R2:R3"/>
    <mergeCell ref="S2:S3"/>
    <mergeCell ref="T2:U2"/>
    <mergeCell ref="V2:X2"/>
    <mergeCell ref="Z2:AB2"/>
    <mergeCell ref="A1:A2"/>
    <mergeCell ref="B1:B2"/>
    <mergeCell ref="C1:E1"/>
    <mergeCell ref="F1:H1"/>
    <mergeCell ref="I1:J1"/>
    <mergeCell ref="A34:B34"/>
  </mergeCells>
  <conditionalFormatting sqref="I3:J22">
    <cfRule type="cellIs" dxfId="0" priority="1" operator="lessThan">
      <formula>1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Mẫu</vt:lpstr>
      <vt:lpstr>2026_04</vt:lpstr>
      <vt:lpstr>2026_05</vt:lpstr>
      <vt:lpstr>2026_06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LeVeL infinity</cp:lastModifiedBy>
  <cp:lastPrinted>2026-06-09T04:55:35Z</cp:lastPrinted>
  <dcterms:created xsi:type="dcterms:W3CDTF">2026-05-17T05:58:44Z</dcterms:created>
  <dcterms:modified xsi:type="dcterms:W3CDTF">2026-06-09T06:13:24Z</dcterms:modified>
</cp:coreProperties>
</file>