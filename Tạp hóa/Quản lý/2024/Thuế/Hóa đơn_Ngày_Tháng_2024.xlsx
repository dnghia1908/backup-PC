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2024\Thuế\"/>
    </mc:Choice>
  </mc:AlternateContent>
  <xr:revisionPtr revIDLastSave="0" documentId="13_ncr:1_{AD5C9E40-F667-414B-AE62-744E63B10D1D}" xr6:coauthVersionLast="47" xr6:coauthVersionMax="47" xr10:uidLastSave="{00000000-0000-0000-0000-000000000000}"/>
  <bookViews>
    <workbookView xWindow="-120" yWindow="-120" windowWidth="29040" windowHeight="15720" firstSheet="7" activeTab="11" xr2:uid="{36B9FD25-67E2-43D1-9274-587FCFF58171}"/>
  </bookViews>
  <sheets>
    <sheet name="2024_4" sheetId="1" r:id="rId1"/>
    <sheet name="2024_5" sheetId="2" r:id="rId2"/>
    <sheet name="2024_6" sheetId="3" r:id="rId3"/>
    <sheet name="2024_7" sheetId="4" r:id="rId4"/>
    <sheet name="2024_8" sheetId="5" r:id="rId5"/>
    <sheet name="2024_9" sheetId="7" r:id="rId6"/>
    <sheet name="2024_10" sheetId="6" r:id="rId7"/>
    <sheet name="2024_11" sheetId="8" r:id="rId8"/>
    <sheet name="2024_12" sheetId="9" r:id="rId9"/>
    <sheet name="2025_1" sheetId="10" r:id="rId10"/>
    <sheet name="2025_2" sheetId="11" r:id="rId11"/>
    <sheet name="2025_3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2" l="1"/>
  <c r="D29" i="12"/>
  <c r="D28" i="12"/>
  <c r="D26" i="12"/>
  <c r="D25" i="12"/>
  <c r="D24" i="12"/>
  <c r="D22" i="12"/>
  <c r="D20" i="12"/>
  <c r="D19" i="12"/>
  <c r="D18" i="12"/>
  <c r="D17" i="12"/>
  <c r="D16" i="12"/>
  <c r="D15" i="12"/>
  <c r="D14" i="12"/>
  <c r="D12" i="12"/>
  <c r="D11" i="12"/>
  <c r="D10" i="12"/>
  <c r="D9" i="12"/>
  <c r="D8" i="12"/>
  <c r="D7" i="12"/>
  <c r="D6" i="12"/>
  <c r="D5" i="12"/>
  <c r="D4" i="12"/>
  <c r="D3" i="12"/>
  <c r="E2" i="12"/>
  <c r="F2" i="12" s="1"/>
  <c r="C1" i="12" l="1"/>
  <c r="D1" i="12"/>
  <c r="E1" i="12" l="1"/>
  <c r="D6" i="11" l="1"/>
  <c r="D30" i="11"/>
  <c r="D25" i="11"/>
  <c r="D24" i="11"/>
  <c r="D23" i="11"/>
  <c r="D21" i="11"/>
  <c r="D20" i="11"/>
  <c r="D19" i="11"/>
  <c r="D15" i="11"/>
  <c r="D17" i="11"/>
  <c r="D13" i="11"/>
  <c r="D11" i="11"/>
  <c r="D9" i="11"/>
  <c r="D10" i="11"/>
  <c r="D7" i="11"/>
  <c r="D5" i="11"/>
  <c r="D4" i="11"/>
  <c r="D3" i="11"/>
  <c r="E2" i="11"/>
  <c r="F2" i="11" s="1"/>
  <c r="D32" i="10"/>
  <c r="D30" i="10"/>
  <c r="C1" i="11" l="1"/>
  <c r="D1" i="11"/>
  <c r="D29" i="10"/>
  <c r="D27" i="10"/>
  <c r="D24" i="10"/>
  <c r="D23" i="10"/>
  <c r="D22" i="10"/>
  <c r="D21" i="10"/>
  <c r="D19" i="10"/>
  <c r="D18" i="10"/>
  <c r="D17" i="10"/>
  <c r="D16" i="10"/>
  <c r="D15" i="10"/>
  <c r="D14" i="10"/>
  <c r="D13" i="10"/>
  <c r="D12" i="10"/>
  <c r="D11" i="10"/>
  <c r="D9" i="10"/>
  <c r="D7" i="10"/>
  <c r="D5" i="10"/>
  <c r="D3" i="10"/>
  <c r="E2" i="10"/>
  <c r="F2" i="10" s="1"/>
  <c r="C1" i="10"/>
  <c r="D3" i="9"/>
  <c r="D4" i="9"/>
  <c r="D5" i="9"/>
  <c r="D6" i="9"/>
  <c r="D7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7" i="9"/>
  <c r="D28" i="9"/>
  <c r="D29" i="9"/>
  <c r="D30" i="9"/>
  <c r="D31" i="9"/>
  <c r="D33" i="9"/>
  <c r="E1" i="11" l="1"/>
  <c r="D1" i="10"/>
  <c r="E1" i="10" s="1"/>
  <c r="E2" i="9"/>
  <c r="F2" i="9" s="1"/>
  <c r="F2" i="8"/>
  <c r="D32" i="8"/>
  <c r="D29" i="8"/>
  <c r="D25" i="8"/>
  <c r="D24" i="8"/>
  <c r="D22" i="8"/>
  <c r="D19" i="8"/>
  <c r="D18" i="8"/>
  <c r="D17" i="8"/>
  <c r="D16" i="8"/>
  <c r="D15" i="8"/>
  <c r="D14" i="8"/>
  <c r="D12" i="8"/>
  <c r="D11" i="8"/>
  <c r="D10" i="8"/>
  <c r="D9" i="8"/>
  <c r="D8" i="8"/>
  <c r="D7" i="8"/>
  <c r="D4" i="8"/>
  <c r="D3" i="8"/>
  <c r="E2" i="8"/>
  <c r="D33" i="7"/>
  <c r="D32" i="7"/>
  <c r="D31" i="7"/>
  <c r="D30" i="7"/>
  <c r="D29" i="7"/>
  <c r="D28" i="7"/>
  <c r="D27" i="7"/>
  <c r="D26" i="7"/>
  <c r="D25" i="7"/>
  <c r="D23" i="7"/>
  <c r="D21" i="7"/>
  <c r="D20" i="7"/>
  <c r="D19" i="7"/>
  <c r="D18" i="7"/>
  <c r="D17" i="7"/>
  <c r="D16" i="7"/>
  <c r="D15" i="7"/>
  <c r="D14" i="7"/>
  <c r="D13" i="7"/>
  <c r="D12" i="7"/>
  <c r="D11" i="7"/>
  <c r="D10" i="7"/>
  <c r="D8" i="7"/>
  <c r="D7" i="7"/>
  <c r="D6" i="7"/>
  <c r="D5" i="7"/>
  <c r="D4" i="7"/>
  <c r="D3" i="7"/>
  <c r="E2" i="7"/>
  <c r="F2" i="7" s="1"/>
  <c r="E1" i="7"/>
  <c r="F2" i="6"/>
  <c r="D33" i="6"/>
  <c r="D32" i="6"/>
  <c r="D31" i="6"/>
  <c r="D30" i="6"/>
  <c r="D29" i="6"/>
  <c r="D28" i="6"/>
  <c r="D27" i="6"/>
  <c r="D26" i="6"/>
  <c r="D25" i="6"/>
  <c r="D23" i="6"/>
  <c r="D21" i="6"/>
  <c r="D20" i="6"/>
  <c r="D19" i="6"/>
  <c r="C1" i="9" l="1"/>
  <c r="D1" i="9"/>
  <c r="C1" i="8"/>
  <c r="D1" i="8"/>
  <c r="D18" i="6"/>
  <c r="D17" i="6"/>
  <c r="D16" i="6"/>
  <c r="D15" i="6"/>
  <c r="D14" i="6"/>
  <c r="D13" i="6"/>
  <c r="D12" i="6"/>
  <c r="D11" i="6"/>
  <c r="D10" i="6"/>
  <c r="D8" i="6"/>
  <c r="D7" i="6"/>
  <c r="D6" i="6"/>
  <c r="D5" i="6"/>
  <c r="D4" i="6"/>
  <c r="D3" i="6"/>
  <c r="E1" i="9" l="1"/>
  <c r="E1" i="8"/>
  <c r="E2" i="6"/>
  <c r="F2" i="5"/>
  <c r="C1" i="6" l="1"/>
  <c r="D1" i="6"/>
  <c r="D32" i="5"/>
  <c r="D29" i="5"/>
  <c r="D28" i="5"/>
  <c r="D27" i="5"/>
  <c r="D26" i="5"/>
  <c r="D25" i="5"/>
  <c r="D24" i="5"/>
  <c r="D23" i="5"/>
  <c r="D20" i="5"/>
  <c r="D19" i="5"/>
  <c r="D18" i="5"/>
  <c r="D17" i="5"/>
  <c r="D16" i="5"/>
  <c r="D14" i="5"/>
  <c r="D13" i="5"/>
  <c r="D12" i="5"/>
  <c r="D11" i="5"/>
  <c r="D10" i="5"/>
  <c r="D9" i="5"/>
  <c r="D8" i="5"/>
  <c r="D6" i="5"/>
  <c r="D5" i="5"/>
  <c r="D4" i="5"/>
  <c r="D3" i="5"/>
  <c r="E2" i="5"/>
  <c r="C1" i="5"/>
  <c r="D11" i="4"/>
  <c r="D12" i="4"/>
  <c r="D21" i="4"/>
  <c r="D30" i="4"/>
  <c r="D33" i="4"/>
  <c r="D32" i="4"/>
  <c r="D31" i="4"/>
  <c r="D29" i="4"/>
  <c r="D28" i="4"/>
  <c r="D27" i="4"/>
  <c r="D26" i="4"/>
  <c r="D25" i="4"/>
  <c r="D22" i="4"/>
  <c r="D20" i="4"/>
  <c r="D18" i="4"/>
  <c r="D17" i="4"/>
  <c r="D16" i="4"/>
  <c r="D15" i="4"/>
  <c r="D14" i="4"/>
  <c r="D13" i="4"/>
  <c r="D6" i="4"/>
  <c r="D5" i="4"/>
  <c r="D4" i="4"/>
  <c r="D3" i="4"/>
  <c r="E2" i="4"/>
  <c r="F2" i="4" s="1"/>
  <c r="D32" i="3"/>
  <c r="D30" i="3"/>
  <c r="D27" i="3"/>
  <c r="D28" i="3"/>
  <c r="D25" i="3"/>
  <c r="D24" i="3"/>
  <c r="D23" i="3"/>
  <c r="D22" i="3"/>
  <c r="D21" i="3"/>
  <c r="D20" i="3"/>
  <c r="D19" i="3"/>
  <c r="D17" i="3"/>
  <c r="D16" i="3"/>
  <c r="D15" i="3"/>
  <c r="D13" i="3"/>
  <c r="D14" i="3"/>
  <c r="D12" i="3"/>
  <c r="D11" i="3"/>
  <c r="D10" i="3"/>
  <c r="D9" i="3"/>
  <c r="D8" i="3"/>
  <c r="D7" i="3"/>
  <c r="D6" i="3"/>
  <c r="D5" i="3"/>
  <c r="D4" i="3"/>
  <c r="D3" i="3"/>
  <c r="E2" i="3"/>
  <c r="F2" i="3" s="1"/>
  <c r="D33" i="2"/>
  <c r="D32" i="2"/>
  <c r="D31" i="2"/>
  <c r="D30" i="2"/>
  <c r="D29" i="2"/>
  <c r="D28" i="2"/>
  <c r="D27" i="2"/>
  <c r="D26" i="2"/>
  <c r="D25" i="2"/>
  <c r="D24" i="2"/>
  <c r="D20" i="2"/>
  <c r="D19" i="2"/>
  <c r="D16" i="2"/>
  <c r="D14" i="2"/>
  <c r="D13" i="2"/>
  <c r="D12" i="2"/>
  <c r="D10" i="2"/>
  <c r="D8" i="2"/>
  <c r="D6" i="2"/>
  <c r="D5" i="2"/>
  <c r="D4" i="2"/>
  <c r="D3" i="2"/>
  <c r="E2" i="2"/>
  <c r="F2" i="2" s="1"/>
  <c r="E1" i="6" l="1"/>
  <c r="D1" i="5"/>
  <c r="E1" i="5" s="1"/>
  <c r="C1" i="4"/>
  <c r="D1" i="4"/>
  <c r="C1" i="3"/>
  <c r="D1" i="3"/>
  <c r="C1" i="2"/>
  <c r="D1" i="2"/>
  <c r="E1" i="4" l="1"/>
  <c r="E1" i="3"/>
  <c r="E1" i="2"/>
  <c r="D32" i="1"/>
  <c r="D30" i="1"/>
  <c r="D29" i="1"/>
  <c r="D27" i="1"/>
  <c r="D26" i="1"/>
  <c r="D25" i="1"/>
  <c r="D24" i="1"/>
  <c r="D23" i="1"/>
  <c r="D22" i="1"/>
  <c r="D21" i="1"/>
  <c r="D20" i="1"/>
  <c r="D19" i="1"/>
  <c r="D16" i="1"/>
  <c r="D15" i="1"/>
  <c r="D14" i="1" l="1"/>
  <c r="D13" i="1"/>
  <c r="D12" i="1"/>
  <c r="D10" i="1"/>
  <c r="D9" i="1"/>
  <c r="D7" i="1"/>
  <c r="D5" i="1" l="1"/>
  <c r="E2" i="1"/>
  <c r="F2" i="1" s="1"/>
  <c r="D3" i="1"/>
  <c r="C1" i="1"/>
  <c r="D1" i="1" l="1"/>
  <c r="E1" i="1"/>
</calcChain>
</file>

<file path=xl/sharedStrings.xml><?xml version="1.0" encoding="utf-8"?>
<sst xmlns="http://schemas.openxmlformats.org/spreadsheetml/2006/main" count="445" uniqueCount="16">
  <si>
    <t>NGÀY</t>
  </si>
  <si>
    <t>DOANH THU</t>
  </si>
  <si>
    <t>CHI</t>
  </si>
  <si>
    <t>TỔNG</t>
  </si>
  <si>
    <t>Ghi chú</t>
  </si>
  <si>
    <t>Hóa đơn CK Kome chưa hợp lệ</t>
  </si>
  <si>
    <t xml:space="preserve"> </t>
  </si>
  <si>
    <t>THỨ</t>
  </si>
  <si>
    <t>月</t>
  </si>
  <si>
    <t>火</t>
  </si>
  <si>
    <t>水</t>
  </si>
  <si>
    <t>木</t>
  </si>
  <si>
    <t>金</t>
  </si>
  <si>
    <t>土</t>
  </si>
  <si>
    <t>日</t>
  </si>
  <si>
    <t>Hóa đơn Kome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</si>
</sst>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"/>
  </numFmts>
  <fonts count="5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  <scheme val="major"/>
    </font>
    <font>
      <b/>
      <sz val="13"/>
      <color theme="1"/>
      <name val="Times New Roman"/>
      <family val="1"/>
      <scheme val="major"/>
    </font>
    <font>
      <b/>
      <sz val="20"/>
      <color theme="1"/>
      <name val="Times New Roman"/>
      <family val="1"/>
      <scheme val="major"/>
    </font>
    <font>
      <b/>
      <sz val="10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shrinkToFit="1"/>
    </xf>
    <xf numFmtId="14" fontId="1" fillId="0" borderId="1" xfId="0" applyNumberFormat="1" applyFont="1" applyBorder="1" applyAlignment="1">
      <alignment shrinkToFit="1"/>
    </xf>
    <xf numFmtId="14" fontId="1" fillId="2" borderId="1" xfId="0" applyNumberFormat="1" applyFont="1" applyFill="1" applyBorder="1" applyAlignment="1">
      <alignment shrinkToFit="1"/>
    </xf>
    <xf numFmtId="0" fontId="1" fillId="0" borderId="1" xfId="0" applyFont="1" applyBorder="1" applyAlignment="1">
      <alignment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5555-C4D5-4FE5-893C-2E974AC6E77D}">
  <dimension ref="A1:F33"/>
  <sheetViews>
    <sheetView workbookViewId="0">
      <selection activeCell="C3" sqref="C3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f>SUM(C3:C33)</f>
        <v>4910485.8445375757</v>
      </c>
      <c r="D1" s="3">
        <f>SUM(D3:D33)</f>
        <v>5049910</v>
      </c>
      <c r="E1" s="3">
        <f>C1-D1</f>
        <v>-139424.15546242427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724936</v>
      </c>
      <c r="F2" s="3">
        <f ca="1">IF(E2="土",RAND()*(250000-180000)+150000,IF(E2="日",RAND()*(200000-150000)+150000,RAND()*(150000-110000)+110000))</f>
        <v>145877.4790918729</v>
      </c>
    </row>
    <row r="3" spans="1:6" ht="22.5" customHeight="1" x14ac:dyDescent="0.25">
      <c r="A3" s="4">
        <v>45383</v>
      </c>
      <c r="B3" s="4" t="s">
        <v>8</v>
      </c>
      <c r="C3" s="2">
        <v>131756.98092567301</v>
      </c>
      <c r="D3" s="3">
        <f>900000+177900</f>
        <v>1077900</v>
      </c>
      <c r="E3" s="3">
        <v>177900</v>
      </c>
      <c r="F3" s="6" t="s">
        <v>5</v>
      </c>
    </row>
    <row r="4" spans="1:6" ht="22.5" customHeight="1" x14ac:dyDescent="0.25">
      <c r="A4" s="4">
        <v>45384</v>
      </c>
      <c r="B4" s="4" t="s">
        <v>9</v>
      </c>
      <c r="C4" s="2">
        <v>142584</v>
      </c>
      <c r="D4" s="3">
        <v>82860</v>
      </c>
      <c r="E4" s="3"/>
      <c r="F4" s="6" t="s">
        <v>6</v>
      </c>
    </row>
    <row r="5" spans="1:6" ht="22.5" customHeight="1" x14ac:dyDescent="0.25">
      <c r="A5" s="4">
        <v>45385</v>
      </c>
      <c r="B5" s="4" t="s">
        <v>10</v>
      </c>
      <c r="C5" s="2">
        <v>175441</v>
      </c>
      <c r="D5" s="3">
        <f>13040+47430+101760+51530</f>
        <v>213760</v>
      </c>
      <c r="E5" s="3">
        <v>51530</v>
      </c>
      <c r="F5" s="6" t="s">
        <v>5</v>
      </c>
    </row>
    <row r="6" spans="1:6" ht="22.5" customHeight="1" x14ac:dyDescent="0.25">
      <c r="A6" s="4">
        <v>45386</v>
      </c>
      <c r="B6" s="4" t="s">
        <v>11</v>
      </c>
      <c r="C6" s="2">
        <v>158716</v>
      </c>
      <c r="D6" s="3">
        <v>0</v>
      </c>
      <c r="E6" s="3"/>
      <c r="F6" s="6"/>
    </row>
    <row r="7" spans="1:6" ht="22.5" customHeight="1" x14ac:dyDescent="0.25">
      <c r="A7" s="4">
        <v>45387</v>
      </c>
      <c r="B7" s="5" t="s">
        <v>12</v>
      </c>
      <c r="C7" s="2">
        <v>203841</v>
      </c>
      <c r="D7" s="3">
        <f>159150+101200</f>
        <v>260350</v>
      </c>
      <c r="E7" s="3"/>
      <c r="F7" s="6"/>
    </row>
    <row r="8" spans="1:6" ht="22.5" customHeight="1" x14ac:dyDescent="0.25">
      <c r="A8" s="4">
        <v>45388</v>
      </c>
      <c r="B8" s="5" t="s">
        <v>13</v>
      </c>
      <c r="C8" s="2">
        <v>209841</v>
      </c>
      <c r="D8" s="3">
        <v>11482</v>
      </c>
      <c r="E8" s="3"/>
      <c r="F8" s="6"/>
    </row>
    <row r="9" spans="1:6" ht="22.5" customHeight="1" x14ac:dyDescent="0.25">
      <c r="A9" s="4">
        <v>45389</v>
      </c>
      <c r="B9" s="5" t="s">
        <v>14</v>
      </c>
      <c r="C9" s="2">
        <v>154814.66666663371</v>
      </c>
      <c r="D9" s="3">
        <f>7200+15240+29930</f>
        <v>52370</v>
      </c>
      <c r="E9" s="3"/>
      <c r="F9" s="6"/>
    </row>
    <row r="10" spans="1:6" ht="22.5" customHeight="1" x14ac:dyDescent="0.25">
      <c r="A10" s="4">
        <v>45390</v>
      </c>
      <c r="B10" s="4" t="s">
        <v>8</v>
      </c>
      <c r="C10" s="2">
        <v>145957.1967305631</v>
      </c>
      <c r="D10" s="3">
        <f>173002+204350</f>
        <v>377352</v>
      </c>
      <c r="E10" s="3">
        <v>173002</v>
      </c>
      <c r="F10" s="6" t="s">
        <v>5</v>
      </c>
    </row>
    <row r="11" spans="1:6" ht="22.5" customHeight="1" x14ac:dyDescent="0.25">
      <c r="A11" s="4">
        <v>45391</v>
      </c>
      <c r="B11" s="4" t="s">
        <v>9</v>
      </c>
      <c r="C11" s="2">
        <v>122707.4004541085</v>
      </c>
      <c r="D11" s="3">
        <v>0</v>
      </c>
      <c r="E11" s="3"/>
      <c r="F11" s="6"/>
    </row>
    <row r="12" spans="1:6" ht="22.5" customHeight="1" x14ac:dyDescent="0.25">
      <c r="A12" s="4">
        <v>45392</v>
      </c>
      <c r="B12" s="4" t="s">
        <v>10</v>
      </c>
      <c r="C12" s="2">
        <v>137189.35142589378</v>
      </c>
      <c r="D12" s="3">
        <f>105726+31372+78380</f>
        <v>215478</v>
      </c>
      <c r="E12" s="3">
        <v>78380</v>
      </c>
      <c r="F12" s="6" t="s">
        <v>5</v>
      </c>
    </row>
    <row r="13" spans="1:6" ht="22.5" customHeight="1" x14ac:dyDescent="0.25">
      <c r="A13" s="4">
        <v>45393</v>
      </c>
      <c r="B13" s="4" t="s">
        <v>11</v>
      </c>
      <c r="C13" s="2">
        <v>144031.10042349438</v>
      </c>
      <c r="D13" s="3">
        <f>68770+47430+100450+35650</f>
        <v>252300</v>
      </c>
      <c r="E13" s="3"/>
      <c r="F13" s="6"/>
    </row>
    <row r="14" spans="1:6" ht="22.5" customHeight="1" x14ac:dyDescent="0.25">
      <c r="A14" s="4">
        <v>45394</v>
      </c>
      <c r="B14" s="5" t="s">
        <v>12</v>
      </c>
      <c r="C14" s="2">
        <v>156987</v>
      </c>
      <c r="D14" s="3">
        <f>178550+58129</f>
        <v>236679</v>
      </c>
      <c r="E14" s="3"/>
      <c r="F14" s="6"/>
    </row>
    <row r="15" spans="1:6" ht="22.5" customHeight="1" x14ac:dyDescent="0.25">
      <c r="A15" s="4">
        <v>45395</v>
      </c>
      <c r="B15" s="5" t="s">
        <v>13</v>
      </c>
      <c r="C15" s="2">
        <v>190957.52144755787</v>
      </c>
      <c r="D15" s="3">
        <f>14400+45200+67859</f>
        <v>127459</v>
      </c>
      <c r="E15" s="3"/>
      <c r="F15" s="6"/>
    </row>
    <row r="16" spans="1:6" ht="22.5" customHeight="1" x14ac:dyDescent="0.25">
      <c r="A16" s="4">
        <v>45396</v>
      </c>
      <c r="B16" s="5" t="s">
        <v>14</v>
      </c>
      <c r="C16" s="2">
        <v>205698</v>
      </c>
      <c r="D16" s="3">
        <f>7000+94270+15330+11628</f>
        <v>128228</v>
      </c>
      <c r="E16" s="3"/>
      <c r="F16" s="6"/>
    </row>
    <row r="17" spans="1:6" ht="22.5" customHeight="1" x14ac:dyDescent="0.25">
      <c r="A17" s="4">
        <v>45397</v>
      </c>
      <c r="B17" s="4" t="s">
        <v>8</v>
      </c>
      <c r="C17" s="2">
        <v>145845</v>
      </c>
      <c r="D17" s="3">
        <v>68196</v>
      </c>
      <c r="E17" s="3"/>
      <c r="F17" s="6"/>
    </row>
    <row r="18" spans="1:6" ht="22.5" customHeight="1" x14ac:dyDescent="0.25">
      <c r="A18" s="4">
        <v>45398</v>
      </c>
      <c r="B18" s="4" t="s">
        <v>9</v>
      </c>
      <c r="C18" s="2">
        <v>174541</v>
      </c>
      <c r="D18" s="3">
        <v>24370</v>
      </c>
      <c r="E18" s="3"/>
      <c r="F18" s="6"/>
    </row>
    <row r="19" spans="1:6" ht="22.5" customHeight="1" x14ac:dyDescent="0.25">
      <c r="A19" s="4">
        <v>45399</v>
      </c>
      <c r="B19" s="4" t="s">
        <v>10</v>
      </c>
      <c r="C19" s="2">
        <v>135218.74222900864</v>
      </c>
      <c r="D19" s="3">
        <f>73560</f>
        <v>73560</v>
      </c>
      <c r="E19" s="3"/>
      <c r="F19" s="6"/>
    </row>
    <row r="20" spans="1:6" ht="22.5" customHeight="1" x14ac:dyDescent="0.25">
      <c r="A20" s="4">
        <v>45400</v>
      </c>
      <c r="B20" s="4" t="s">
        <v>11</v>
      </c>
      <c r="C20" s="2">
        <v>157447</v>
      </c>
      <c r="D20" s="3">
        <f>15600+85650+13745</f>
        <v>114995</v>
      </c>
      <c r="E20" s="3"/>
      <c r="F20" s="6"/>
    </row>
    <row r="21" spans="1:6" ht="22.5" customHeight="1" x14ac:dyDescent="0.25">
      <c r="A21" s="4">
        <v>45401</v>
      </c>
      <c r="B21" s="5" t="s">
        <v>12</v>
      </c>
      <c r="C21" s="2">
        <v>147874</v>
      </c>
      <c r="D21" s="3">
        <f>32730+18740+60360</f>
        <v>111830</v>
      </c>
      <c r="E21" s="3"/>
      <c r="F21" s="6"/>
    </row>
    <row r="22" spans="1:6" ht="22.5" customHeight="1" x14ac:dyDescent="0.25">
      <c r="A22" s="4">
        <v>45402</v>
      </c>
      <c r="B22" s="5" t="s">
        <v>13</v>
      </c>
      <c r="C22" s="2">
        <v>198186.9086319005</v>
      </c>
      <c r="D22" s="3">
        <f>125000+14410</f>
        <v>139410</v>
      </c>
      <c r="E22" s="3"/>
      <c r="F22" s="6"/>
    </row>
    <row r="23" spans="1:6" ht="22.5" customHeight="1" x14ac:dyDescent="0.25">
      <c r="A23" s="4">
        <v>45403</v>
      </c>
      <c r="B23" s="5" t="s">
        <v>14</v>
      </c>
      <c r="C23" s="2">
        <v>209115</v>
      </c>
      <c r="D23" s="3">
        <f>244124+166850</f>
        <v>410974</v>
      </c>
      <c r="E23" s="3">
        <v>244124</v>
      </c>
      <c r="F23" s="6" t="s">
        <v>5</v>
      </c>
    </row>
    <row r="24" spans="1:6" ht="22.5" customHeight="1" x14ac:dyDescent="0.25">
      <c r="A24" s="4">
        <v>45404</v>
      </c>
      <c r="B24" s="4" t="s">
        <v>8</v>
      </c>
      <c r="C24" s="2">
        <v>132541</v>
      </c>
      <c r="D24" s="3">
        <f>4294+883</f>
        <v>5177</v>
      </c>
      <c r="E24" s="3"/>
      <c r="F24" s="6"/>
    </row>
    <row r="25" spans="1:6" ht="22.5" customHeight="1" x14ac:dyDescent="0.25">
      <c r="A25" s="4">
        <v>45405</v>
      </c>
      <c r="B25" s="4" t="s">
        <v>9</v>
      </c>
      <c r="C25" s="2">
        <v>144784.55119961419</v>
      </c>
      <c r="D25" s="3">
        <f>17900+47930</f>
        <v>65830</v>
      </c>
      <c r="E25" s="3"/>
      <c r="F25" s="6"/>
    </row>
    <row r="26" spans="1:6" ht="22.5" customHeight="1" x14ac:dyDescent="0.25">
      <c r="A26" s="4">
        <v>45406</v>
      </c>
      <c r="B26" s="4" t="s">
        <v>10</v>
      </c>
      <c r="C26" s="2">
        <v>158156</v>
      </c>
      <c r="D26" s="3">
        <f>110448+27000+7000+2941</f>
        <v>147389</v>
      </c>
      <c r="E26" s="3"/>
      <c r="F26" s="6"/>
    </row>
    <row r="27" spans="1:6" ht="22.5" customHeight="1" x14ac:dyDescent="0.25">
      <c r="A27" s="4">
        <v>45407</v>
      </c>
      <c r="B27" s="4" t="s">
        <v>11</v>
      </c>
      <c r="C27" s="2">
        <v>121028.23114239966</v>
      </c>
      <c r="D27" s="3">
        <f>14120+56460</f>
        <v>70580</v>
      </c>
      <c r="E27" s="3"/>
      <c r="F27" s="6"/>
    </row>
    <row r="28" spans="1:6" ht="22.5" customHeight="1" x14ac:dyDescent="0.25">
      <c r="A28" s="4">
        <v>45408</v>
      </c>
      <c r="B28" s="5" t="s">
        <v>12</v>
      </c>
      <c r="C28" s="2">
        <v>165472</v>
      </c>
      <c r="D28" s="3">
        <v>0</v>
      </c>
      <c r="E28" s="3"/>
      <c r="F28" s="6"/>
    </row>
    <row r="29" spans="1:6" ht="22.5" customHeight="1" x14ac:dyDescent="0.25">
      <c r="A29" s="4">
        <v>45409</v>
      </c>
      <c r="B29" s="5" t="s">
        <v>13</v>
      </c>
      <c r="C29" s="2">
        <v>205741</v>
      </c>
      <c r="D29" s="3">
        <f>5403+12918+53300+69569+84203</f>
        <v>225393</v>
      </c>
      <c r="E29" s="3"/>
      <c r="F29" s="6"/>
    </row>
    <row r="30" spans="1:6" ht="22.5" customHeight="1" x14ac:dyDescent="0.25">
      <c r="A30" s="4">
        <v>45410</v>
      </c>
      <c r="B30" s="5" t="s">
        <v>14</v>
      </c>
      <c r="C30" s="2">
        <v>181487.19326072812</v>
      </c>
      <c r="D30" s="3">
        <f>8851+147400+32900</f>
        <v>189151</v>
      </c>
      <c r="E30" s="3"/>
      <c r="F30" s="6"/>
    </row>
    <row r="31" spans="1:6" ht="22.5" customHeight="1" x14ac:dyDescent="0.25">
      <c r="A31" s="4">
        <v>45411</v>
      </c>
      <c r="B31" s="4" t="s">
        <v>8</v>
      </c>
      <c r="C31" s="2">
        <v>154111</v>
      </c>
      <c r="D31" s="3">
        <v>32887</v>
      </c>
      <c r="E31" s="3"/>
      <c r="F31" s="6"/>
    </row>
    <row r="32" spans="1:6" ht="22.5" customHeight="1" x14ac:dyDescent="0.25">
      <c r="A32" s="4">
        <v>45412</v>
      </c>
      <c r="B32" s="4" t="s">
        <v>9</v>
      </c>
      <c r="C32" s="2">
        <v>198415</v>
      </c>
      <c r="D32" s="3">
        <f>238650+39440+55860</f>
        <v>333950</v>
      </c>
      <c r="E32" s="3"/>
      <c r="F32" s="6"/>
    </row>
    <row r="33" spans="1:6" ht="22.5" customHeight="1" x14ac:dyDescent="0.25">
      <c r="A33" s="6"/>
      <c r="B33" s="6"/>
      <c r="C33" s="3"/>
      <c r="D33" s="3"/>
      <c r="E33" s="3"/>
      <c r="F33" s="6"/>
    </row>
  </sheetData>
  <mergeCells count="1">
    <mergeCell ref="A1:B1"/>
  </mergeCells>
  <conditionalFormatting sqref="C1:D1 A1 A2:D2 A33:D33 A3:B32 D3:D3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9934-648D-41CE-BB96-323C2488B688}">
  <dimension ref="A1:F33"/>
  <sheetViews>
    <sheetView topLeftCell="A10" workbookViewId="0">
      <selection activeCell="C6" sqref="C6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f>SUM(C3:C33)</f>
        <v>4358705.6552371206</v>
      </c>
      <c r="D1" s="3">
        <f>SUM(D3:D33)</f>
        <v>4089982</v>
      </c>
      <c r="E1" s="3">
        <f>C1-D1</f>
        <v>268723.65523712058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446972</v>
      </c>
      <c r="F2" s="3">
        <f ca="1">IF(E2="土",RAND()*(250000-180000)+150000,IF(E2="日",RAND()*(200000-150000)+150000,RAND()*(150000-110000)+110000))</f>
        <v>117042.6049320412</v>
      </c>
    </row>
    <row r="3" spans="1:6" ht="22.5" customHeight="1" x14ac:dyDescent="0.25">
      <c r="A3" s="4">
        <v>45413</v>
      </c>
      <c r="B3" s="4" t="s">
        <v>10</v>
      </c>
      <c r="C3" s="3">
        <v>132973.062518786</v>
      </c>
      <c r="D3" s="3">
        <f>102300+41970+7226</f>
        <v>151496</v>
      </c>
      <c r="E3" s="3"/>
      <c r="F3" s="6"/>
    </row>
    <row r="4" spans="1:6" ht="22.5" customHeight="1" x14ac:dyDescent="0.25">
      <c r="A4" s="4">
        <v>45414</v>
      </c>
      <c r="B4" s="4" t="s">
        <v>11</v>
      </c>
      <c r="C4" s="3">
        <v>111298.99684472196</v>
      </c>
      <c r="D4" s="3">
        <f>146260+18010+23895</f>
        <v>188165</v>
      </c>
      <c r="E4" s="3"/>
      <c r="F4" s="6"/>
    </row>
    <row r="5" spans="1:6" ht="22.5" customHeight="1" x14ac:dyDescent="0.25">
      <c r="A5" s="4">
        <v>45415</v>
      </c>
      <c r="B5" s="5" t="s">
        <v>12</v>
      </c>
      <c r="C5" s="3">
        <v>129470.0230233961</v>
      </c>
      <c r="D5" s="3">
        <f>15330+10590+46430+20708</f>
        <v>93058</v>
      </c>
      <c r="E5" s="3"/>
      <c r="F5" s="6"/>
    </row>
    <row r="6" spans="1:6" ht="22.5" customHeight="1" x14ac:dyDescent="0.25">
      <c r="A6" s="4">
        <v>45416</v>
      </c>
      <c r="B6" s="5" t="s">
        <v>13</v>
      </c>
      <c r="C6" s="3">
        <v>150188.77905264404</v>
      </c>
      <c r="D6" s="3">
        <f>192080+24000</f>
        <v>216080</v>
      </c>
      <c r="E6" s="3"/>
      <c r="F6" s="6"/>
    </row>
    <row r="7" spans="1:6" ht="22.5" customHeight="1" x14ac:dyDescent="0.25">
      <c r="A7" s="4">
        <v>45417</v>
      </c>
      <c r="B7" s="5" t="s">
        <v>14</v>
      </c>
      <c r="C7" s="3">
        <v>182182.50594387617</v>
      </c>
      <c r="D7" s="3">
        <v>124070</v>
      </c>
      <c r="E7" s="3"/>
      <c r="F7" s="6"/>
    </row>
    <row r="8" spans="1:6" ht="22.5" customHeight="1" x14ac:dyDescent="0.25">
      <c r="A8" s="4">
        <v>45418</v>
      </c>
      <c r="B8" s="4" t="s">
        <v>8</v>
      </c>
      <c r="C8" s="3">
        <v>122969.17683114178</v>
      </c>
      <c r="D8" s="3">
        <f>553258+181760+220715</f>
        <v>955733</v>
      </c>
      <c r="E8" s="6">
        <v>181760</v>
      </c>
      <c r="F8" s="6" t="s">
        <v>15</v>
      </c>
    </row>
    <row r="9" spans="1:6" ht="22.5" customHeight="1" x14ac:dyDescent="0.25">
      <c r="A9" s="4">
        <v>45419</v>
      </c>
      <c r="B9" s="4" t="s">
        <v>9</v>
      </c>
      <c r="C9" s="3">
        <v>144887.38046442007</v>
      </c>
      <c r="D9" s="3">
        <v>22000</v>
      </c>
      <c r="E9" s="3"/>
      <c r="F9" s="6"/>
    </row>
    <row r="10" spans="1:6" ht="22.5" customHeight="1" x14ac:dyDescent="0.25">
      <c r="A10" s="4">
        <v>45420</v>
      </c>
      <c r="B10" s="4" t="s">
        <v>10</v>
      </c>
      <c r="C10" s="3">
        <v>122507.94855068155</v>
      </c>
      <c r="D10" s="3">
        <f>15330+15600+46552</f>
        <v>77482</v>
      </c>
      <c r="E10" s="3"/>
      <c r="F10" s="6"/>
    </row>
    <row r="11" spans="1:6" ht="22.5" customHeight="1" x14ac:dyDescent="0.25">
      <c r="A11" s="4">
        <v>45421</v>
      </c>
      <c r="B11" s="4" t="s">
        <v>11</v>
      </c>
      <c r="C11" s="3">
        <v>126744.24938776017</v>
      </c>
      <c r="D11" s="3">
        <v>48430</v>
      </c>
      <c r="E11" s="3"/>
      <c r="F11" s="6"/>
    </row>
    <row r="12" spans="1:6" ht="22.5" customHeight="1" x14ac:dyDescent="0.25">
      <c r="A12" s="4">
        <v>45422</v>
      </c>
      <c r="B12" s="5" t="s">
        <v>12</v>
      </c>
      <c r="C12" s="3">
        <v>122222.33122320499</v>
      </c>
      <c r="D12" s="3">
        <f>125810+24000</f>
        <v>149810</v>
      </c>
      <c r="E12" s="3"/>
      <c r="F12" s="6"/>
    </row>
    <row r="13" spans="1:6" ht="22.5" customHeight="1" x14ac:dyDescent="0.25">
      <c r="A13" s="4">
        <v>45423</v>
      </c>
      <c r="B13" s="5" t="s">
        <v>13</v>
      </c>
      <c r="C13" s="3">
        <v>203935.26321792576</v>
      </c>
      <c r="D13" s="3">
        <f>19010+37570</f>
        <v>56580</v>
      </c>
      <c r="E13" s="3"/>
      <c r="F13" s="6"/>
    </row>
    <row r="14" spans="1:6" ht="22.5" customHeight="1" x14ac:dyDescent="0.25">
      <c r="A14" s="4">
        <v>45424</v>
      </c>
      <c r="B14" s="5" t="s">
        <v>14</v>
      </c>
      <c r="C14" s="3">
        <v>165990.40717283267</v>
      </c>
      <c r="D14" s="3">
        <f>26379+63996</f>
        <v>90375</v>
      </c>
      <c r="E14" s="3"/>
      <c r="F14" s="6"/>
    </row>
    <row r="15" spans="1:6" ht="22.5" customHeight="1" x14ac:dyDescent="0.25">
      <c r="A15" s="4">
        <v>45425</v>
      </c>
      <c r="B15" s="4" t="s">
        <v>8</v>
      </c>
      <c r="C15" s="3">
        <v>110620.86583137982</v>
      </c>
      <c r="D15" s="3">
        <v>265212</v>
      </c>
      <c r="E15" s="3">
        <v>265212</v>
      </c>
      <c r="F15" s="6"/>
    </row>
    <row r="16" spans="1:6" ht="22.5" customHeight="1" x14ac:dyDescent="0.25">
      <c r="A16" s="4">
        <v>45426</v>
      </c>
      <c r="B16" s="4" t="s">
        <v>9</v>
      </c>
      <c r="C16" s="3">
        <v>144033.03752224645</v>
      </c>
      <c r="D16" s="3">
        <f>16041+48930</f>
        <v>64971</v>
      </c>
      <c r="E16" s="3"/>
      <c r="F16" s="6"/>
    </row>
    <row r="17" spans="1:6" ht="22.5" customHeight="1" x14ac:dyDescent="0.25">
      <c r="A17" s="4">
        <v>45427</v>
      </c>
      <c r="B17" s="4" t="s">
        <v>10</v>
      </c>
      <c r="C17" s="3">
        <v>135122.0257303502</v>
      </c>
      <c r="D17" s="3">
        <v>91998</v>
      </c>
      <c r="E17" s="3"/>
      <c r="F17" s="6"/>
    </row>
    <row r="18" spans="1:6" ht="22.5" customHeight="1" x14ac:dyDescent="0.25">
      <c r="A18" s="4">
        <v>45428</v>
      </c>
      <c r="B18" s="4" t="s">
        <v>11</v>
      </c>
      <c r="C18" s="3">
        <v>110437.91468726211</v>
      </c>
      <c r="D18" s="3">
        <v>113990</v>
      </c>
      <c r="E18" s="3"/>
      <c r="F18" s="6"/>
    </row>
    <row r="19" spans="1:6" ht="22.5" customHeight="1" x14ac:dyDescent="0.25">
      <c r="A19" s="4">
        <v>45429</v>
      </c>
      <c r="B19" s="5" t="s">
        <v>12</v>
      </c>
      <c r="C19" s="3">
        <v>138945.36348790472</v>
      </c>
      <c r="D19" s="3">
        <f>27800+51738</f>
        <v>79538</v>
      </c>
      <c r="E19" s="3"/>
      <c r="F19" s="6"/>
    </row>
    <row r="20" spans="1:6" ht="22.5" customHeight="1" x14ac:dyDescent="0.25">
      <c r="A20" s="4">
        <v>45430</v>
      </c>
      <c r="B20" s="5" t="s">
        <v>13</v>
      </c>
      <c r="C20" s="3">
        <v>157957.64328767316</v>
      </c>
      <c r="D20" s="3">
        <f>37661+45930+45781</f>
        <v>129372</v>
      </c>
      <c r="E20" s="3"/>
      <c r="F20" s="6"/>
    </row>
    <row r="21" spans="1:6" ht="22.5" customHeight="1" x14ac:dyDescent="0.25">
      <c r="A21" s="4">
        <v>45431</v>
      </c>
      <c r="B21" s="5" t="s">
        <v>14</v>
      </c>
      <c r="C21" s="3">
        <v>160330.29726644521</v>
      </c>
      <c r="D21" s="3">
        <v>85800</v>
      </c>
      <c r="E21" s="3"/>
      <c r="F21" s="6"/>
    </row>
    <row r="22" spans="1:6" ht="22.5" customHeight="1" x14ac:dyDescent="0.25">
      <c r="A22" s="4">
        <v>45432</v>
      </c>
      <c r="B22" s="4" t="s">
        <v>8</v>
      </c>
      <c r="C22" s="3">
        <v>136777.17489359537</v>
      </c>
      <c r="D22" s="3">
        <v>70400</v>
      </c>
      <c r="E22" s="3"/>
      <c r="F22" s="6"/>
    </row>
    <row r="23" spans="1:6" ht="22.5" customHeight="1" x14ac:dyDescent="0.25">
      <c r="A23" s="4">
        <v>45433</v>
      </c>
      <c r="B23" s="4" t="s">
        <v>9</v>
      </c>
      <c r="C23" s="3">
        <v>111440.09824112394</v>
      </c>
      <c r="D23" s="3">
        <v>50930</v>
      </c>
      <c r="E23" s="3"/>
      <c r="F23" s="6"/>
    </row>
    <row r="24" spans="1:6" ht="22.5" customHeight="1" x14ac:dyDescent="0.25">
      <c r="A24" s="4">
        <v>45434</v>
      </c>
      <c r="B24" s="4" t="s">
        <v>10</v>
      </c>
      <c r="C24" s="3">
        <v>131176.3711510498</v>
      </c>
      <c r="D24" s="3">
        <f>15330+11900</f>
        <v>27230</v>
      </c>
      <c r="E24" s="3"/>
      <c r="F24" s="6"/>
    </row>
    <row r="25" spans="1:6" ht="22.5" customHeight="1" x14ac:dyDescent="0.25">
      <c r="A25" s="4">
        <v>45435</v>
      </c>
      <c r="B25" s="4" t="s">
        <v>11</v>
      </c>
      <c r="C25" s="3">
        <v>145055.18800275389</v>
      </c>
      <c r="D25" s="3">
        <f>31996+48107</f>
        <v>80103</v>
      </c>
      <c r="E25" s="3"/>
      <c r="F25" s="6"/>
    </row>
    <row r="26" spans="1:6" ht="22.5" customHeight="1" x14ac:dyDescent="0.25">
      <c r="A26" s="4">
        <v>45436</v>
      </c>
      <c r="B26" s="5" t="s">
        <v>12</v>
      </c>
      <c r="C26" s="3">
        <v>122754.06896178614</v>
      </c>
      <c r="D26" s="3">
        <f>52662+30280+71779</f>
        <v>154721</v>
      </c>
      <c r="E26" s="3"/>
      <c r="F26" s="6"/>
    </row>
    <row r="27" spans="1:6" ht="22.5" customHeight="1" x14ac:dyDescent="0.25">
      <c r="A27" s="4">
        <v>45437</v>
      </c>
      <c r="B27" s="5" t="s">
        <v>13</v>
      </c>
      <c r="C27" s="3">
        <v>198825.42544660519</v>
      </c>
      <c r="D27" s="3">
        <f>41680+28592</f>
        <v>70272</v>
      </c>
      <c r="E27" s="3"/>
      <c r="F27" s="6"/>
    </row>
    <row r="28" spans="1:6" ht="22.5" customHeight="1" x14ac:dyDescent="0.25">
      <c r="A28" s="4">
        <v>45438</v>
      </c>
      <c r="B28" s="5" t="s">
        <v>14</v>
      </c>
      <c r="C28" s="3">
        <v>168518.80480225175</v>
      </c>
      <c r="D28" s="3">
        <f>8650+29034</f>
        <v>37684</v>
      </c>
      <c r="E28" s="3"/>
      <c r="F28" s="6"/>
    </row>
    <row r="29" spans="1:6" ht="22.5" customHeight="1" x14ac:dyDescent="0.25">
      <c r="A29" s="4">
        <v>45439</v>
      </c>
      <c r="B29" s="4" t="s">
        <v>8</v>
      </c>
      <c r="C29" s="3">
        <v>145481.87891802363</v>
      </c>
      <c r="D29" s="3">
        <f>91510</f>
        <v>91510</v>
      </c>
      <c r="E29" s="3"/>
      <c r="F29" s="6"/>
    </row>
    <row r="30" spans="1:6" ht="22.5" customHeight="1" x14ac:dyDescent="0.25">
      <c r="A30" s="4">
        <v>45440</v>
      </c>
      <c r="B30" s="4" t="s">
        <v>9</v>
      </c>
      <c r="C30" s="3">
        <v>122091.06140162367</v>
      </c>
      <c r="D30" s="3">
        <f>47930+108730</f>
        <v>156660</v>
      </c>
      <c r="E30" s="3"/>
      <c r="F30" s="6"/>
    </row>
    <row r="31" spans="1:6" ht="22.5" customHeight="1" x14ac:dyDescent="0.25">
      <c r="A31" s="4">
        <v>45441</v>
      </c>
      <c r="B31" s="4" t="s">
        <v>10</v>
      </c>
      <c r="C31" s="3">
        <v>122651.73126560709</v>
      </c>
      <c r="D31" s="3">
        <f>128560+33592+19010+63660</f>
        <v>244822</v>
      </c>
      <c r="E31" s="3"/>
      <c r="F31" s="6"/>
    </row>
    <row r="32" spans="1:6" ht="22.5" customHeight="1" x14ac:dyDescent="0.25">
      <c r="A32" s="4">
        <v>45442</v>
      </c>
      <c r="B32" s="4" t="s">
        <v>11</v>
      </c>
      <c r="C32" s="3">
        <v>144823.75807993894</v>
      </c>
      <c r="D32" s="3">
        <f>21520</f>
        <v>21520</v>
      </c>
      <c r="E32" s="3"/>
      <c r="F32" s="6"/>
    </row>
    <row r="33" spans="1:6" ht="22.5" customHeight="1" x14ac:dyDescent="0.25">
      <c r="A33" s="4">
        <v>45443</v>
      </c>
      <c r="B33" s="5" t="s">
        <v>12</v>
      </c>
      <c r="C33" s="3">
        <v>136292.82202810782</v>
      </c>
      <c r="D33" s="3">
        <f>15330+36840+27800</f>
        <v>79970</v>
      </c>
      <c r="E33" s="3"/>
      <c r="F33" s="6"/>
    </row>
  </sheetData>
  <mergeCells count="1">
    <mergeCell ref="A1:B1"/>
  </mergeCells>
  <conditionalFormatting sqref="C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A3:B3 D3:D33 A4:A33 B3:B3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28E4-1178-458C-8E1C-49F5D758CBD2}">
  <dimension ref="A1:F33"/>
  <sheetViews>
    <sheetView topLeftCell="A7" workbookViewId="0">
      <selection activeCell="J18" sqref="J18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f>SUM(C3:C33)</f>
        <v>4341899.9627309451</v>
      </c>
      <c r="D1" s="3">
        <f>SUM(D3:D33)</f>
        <v>4192243</v>
      </c>
      <c r="E1" s="3">
        <f>C1-D1</f>
        <v>149656.96273094509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0</v>
      </c>
      <c r="F2" s="3">
        <f ca="1">IF(E2="土",RAND()*(250000-180000)+150000,IF(E2="日",RAND()*(200000-150000)+150000,RAND()*(150000-110000)+110000))</f>
        <v>133750.61318004076</v>
      </c>
    </row>
    <row r="3" spans="1:6" ht="22.5" customHeight="1" x14ac:dyDescent="0.25">
      <c r="A3" s="4">
        <v>45444</v>
      </c>
      <c r="B3" s="5" t="s">
        <v>13</v>
      </c>
      <c r="C3" s="3">
        <v>210835.51587157015</v>
      </c>
      <c r="D3" s="3">
        <f>31850+22500+123070+119102</f>
        <v>296522</v>
      </c>
      <c r="E3" s="3"/>
      <c r="F3" s="6"/>
    </row>
    <row r="4" spans="1:6" ht="22.5" customHeight="1" x14ac:dyDescent="0.25">
      <c r="A4" s="4">
        <v>45445</v>
      </c>
      <c r="B4" s="5" t="s">
        <v>14</v>
      </c>
      <c r="C4" s="3">
        <v>170417.08608081166</v>
      </c>
      <c r="D4" s="3">
        <f>15664+28900</f>
        <v>44564</v>
      </c>
      <c r="E4" s="3"/>
      <c r="F4" s="6"/>
    </row>
    <row r="5" spans="1:6" ht="22.5" customHeight="1" x14ac:dyDescent="0.25">
      <c r="A5" s="4">
        <v>45446</v>
      </c>
      <c r="B5" s="4" t="s">
        <v>8</v>
      </c>
      <c r="C5" s="3">
        <v>147276.86482347455</v>
      </c>
      <c r="D5" s="3">
        <f>73250</f>
        <v>73250</v>
      </c>
      <c r="E5" s="3"/>
      <c r="F5" s="6"/>
    </row>
    <row r="6" spans="1:6" ht="22.5" customHeight="1" x14ac:dyDescent="0.25">
      <c r="A6" s="4">
        <v>45447</v>
      </c>
      <c r="B6" s="4" t="s">
        <v>9</v>
      </c>
      <c r="C6" s="3">
        <v>136481.57699159352</v>
      </c>
      <c r="D6" s="3">
        <f>6000+15560+46430+51838</f>
        <v>119828</v>
      </c>
      <c r="E6" s="3"/>
      <c r="F6" s="6"/>
    </row>
    <row r="7" spans="1:6" ht="22.5" customHeight="1" x14ac:dyDescent="0.25">
      <c r="A7" s="4">
        <v>45448</v>
      </c>
      <c r="B7" s="4" t="s">
        <v>10</v>
      </c>
      <c r="C7" s="3">
        <v>133954.3192520334</v>
      </c>
      <c r="D7" s="3">
        <f>61292</f>
        <v>61292</v>
      </c>
      <c r="E7" s="3"/>
      <c r="F7" s="6"/>
    </row>
    <row r="8" spans="1:6" ht="22.5" customHeight="1" x14ac:dyDescent="0.25">
      <c r="A8" s="4">
        <v>45449</v>
      </c>
      <c r="B8" s="4" t="s">
        <v>11</v>
      </c>
      <c r="C8" s="3">
        <v>111945.29208712827</v>
      </c>
      <c r="D8" s="3">
        <f>25908+42498+15600+60360</f>
        <v>144366</v>
      </c>
      <c r="E8" s="6"/>
      <c r="F8" s="6"/>
    </row>
    <row r="9" spans="1:6" ht="22.5" customHeight="1" x14ac:dyDescent="0.25">
      <c r="A9" s="4">
        <v>45450</v>
      </c>
      <c r="B9" s="5" t="s">
        <v>12</v>
      </c>
      <c r="C9" s="3">
        <v>114753.64984787829</v>
      </c>
      <c r="D9" s="3">
        <f>2890+3407+660+31151+22286+50900+64756</f>
        <v>176050</v>
      </c>
      <c r="E9" s="3"/>
      <c r="F9" s="6"/>
    </row>
    <row r="10" spans="1:6" ht="22.5" customHeight="1" x14ac:dyDescent="0.25">
      <c r="A10" s="4">
        <v>45451</v>
      </c>
      <c r="B10" s="5" t="s">
        <v>13</v>
      </c>
      <c r="C10" s="3">
        <v>169194.77496132551</v>
      </c>
      <c r="D10" s="3">
        <f>28000+35240+92378+307705</f>
        <v>463323</v>
      </c>
      <c r="E10" s="3"/>
      <c r="F10" s="6"/>
    </row>
    <row r="11" spans="1:6" ht="22.5" customHeight="1" x14ac:dyDescent="0.25">
      <c r="A11" s="4">
        <v>45452</v>
      </c>
      <c r="B11" s="5" t="s">
        <v>14</v>
      </c>
      <c r="C11" s="3">
        <v>159255.58410371529</v>
      </c>
      <c r="D11" s="3">
        <f>32580</f>
        <v>32580</v>
      </c>
      <c r="E11" s="3"/>
      <c r="F11" s="6"/>
    </row>
    <row r="12" spans="1:6" ht="22.5" customHeight="1" x14ac:dyDescent="0.25">
      <c r="A12" s="4">
        <v>45453</v>
      </c>
      <c r="B12" s="4" t="s">
        <v>8</v>
      </c>
      <c r="C12" s="3">
        <v>142649.00625856756</v>
      </c>
      <c r="D12" s="3">
        <f>94760+60160</f>
        <v>154920</v>
      </c>
      <c r="E12" s="3"/>
      <c r="F12" s="6"/>
    </row>
    <row r="13" spans="1:6" ht="22.5" customHeight="1" x14ac:dyDescent="0.25">
      <c r="A13" s="4">
        <v>45454</v>
      </c>
      <c r="B13" s="4" t="s">
        <v>9</v>
      </c>
      <c r="C13" s="3">
        <v>123714.4998290393</v>
      </c>
      <c r="D13" s="3">
        <f>62545</f>
        <v>62545</v>
      </c>
      <c r="E13" s="3"/>
      <c r="F13" s="6"/>
    </row>
    <row r="14" spans="1:6" ht="22.5" customHeight="1" x14ac:dyDescent="0.25">
      <c r="A14" s="4">
        <v>45455</v>
      </c>
      <c r="B14" s="4" t="s">
        <v>10</v>
      </c>
      <c r="C14" s="3">
        <v>130702.71788727099</v>
      </c>
      <c r="D14" s="3">
        <f>24815+49930</f>
        <v>74745</v>
      </c>
      <c r="E14" s="3"/>
      <c r="F14" s="6"/>
    </row>
    <row r="15" spans="1:6" ht="22.5" customHeight="1" x14ac:dyDescent="0.25">
      <c r="A15" s="4">
        <v>45456</v>
      </c>
      <c r="B15" s="4" t="s">
        <v>11</v>
      </c>
      <c r="C15" s="3">
        <v>140470.40447993189</v>
      </c>
      <c r="D15" s="3">
        <f>18400+57360</f>
        <v>75760</v>
      </c>
      <c r="E15" s="3"/>
      <c r="F15" s="6"/>
    </row>
    <row r="16" spans="1:6" ht="22.5" customHeight="1" x14ac:dyDescent="0.25">
      <c r="A16" s="4">
        <v>45457</v>
      </c>
      <c r="B16" s="5" t="s">
        <v>12</v>
      </c>
      <c r="C16" s="3">
        <v>146008.12430695537</v>
      </c>
      <c r="D16" s="3">
        <f>7281+30300</f>
        <v>37581</v>
      </c>
      <c r="E16" s="3"/>
      <c r="F16" s="6"/>
    </row>
    <row r="17" spans="1:6" ht="22.5" customHeight="1" x14ac:dyDescent="0.25">
      <c r="A17" s="4">
        <v>45458</v>
      </c>
      <c r="B17" s="5" t="s">
        <v>13</v>
      </c>
      <c r="C17" s="3">
        <v>157201.04378711293</v>
      </c>
      <c r="D17" s="3">
        <f>33285+53411</f>
        <v>86696</v>
      </c>
      <c r="E17" s="3"/>
      <c r="F17" s="6"/>
    </row>
    <row r="18" spans="1:6" ht="22.5" customHeight="1" x14ac:dyDescent="0.25">
      <c r="A18" s="4">
        <v>45459</v>
      </c>
      <c r="B18" s="5" t="s">
        <v>14</v>
      </c>
      <c r="C18" s="3">
        <v>150660.8802550023</v>
      </c>
      <c r="D18" s="3">
        <v>0</v>
      </c>
      <c r="E18" s="3"/>
      <c r="F18" s="6"/>
    </row>
    <row r="19" spans="1:6" ht="22.5" customHeight="1" x14ac:dyDescent="0.25">
      <c r="A19" s="4">
        <v>45460</v>
      </c>
      <c r="B19" s="4" t="s">
        <v>8</v>
      </c>
      <c r="C19" s="3">
        <v>139387.66912671662</v>
      </c>
      <c r="D19" s="3">
        <f>27541+54040</f>
        <v>81581</v>
      </c>
      <c r="E19" s="3"/>
      <c r="F19" s="6"/>
    </row>
    <row r="20" spans="1:6" ht="22.5" customHeight="1" x14ac:dyDescent="0.25">
      <c r="A20" s="4">
        <v>45461</v>
      </c>
      <c r="B20" s="4" t="s">
        <v>9</v>
      </c>
      <c r="C20" s="3">
        <v>111882.35157372642</v>
      </c>
      <c r="D20" s="3">
        <f>600550+48680+141895</f>
        <v>791125</v>
      </c>
      <c r="E20" s="3"/>
      <c r="F20" s="6"/>
    </row>
    <row r="21" spans="1:6" ht="22.5" customHeight="1" x14ac:dyDescent="0.25">
      <c r="A21" s="4">
        <v>45462</v>
      </c>
      <c r="B21" s="4" t="s">
        <v>10</v>
      </c>
      <c r="C21" s="3">
        <v>130118.5383771084</v>
      </c>
      <c r="D21" s="3">
        <f>13864+30712+43353+75370</f>
        <v>163299</v>
      </c>
      <c r="E21" s="3"/>
      <c r="F21" s="6"/>
    </row>
    <row r="22" spans="1:6" ht="22.5" customHeight="1" x14ac:dyDescent="0.25">
      <c r="A22" s="4">
        <v>45463</v>
      </c>
      <c r="B22" s="4" t="s">
        <v>11</v>
      </c>
      <c r="C22" s="3">
        <v>114745.10134487881</v>
      </c>
      <c r="D22" s="3">
        <f>75350+46930+39539+15330</f>
        <v>177149</v>
      </c>
      <c r="E22" s="3"/>
      <c r="F22" s="6"/>
    </row>
    <row r="23" spans="1:6" ht="22.5" customHeight="1" x14ac:dyDescent="0.25">
      <c r="A23" s="4">
        <v>45464</v>
      </c>
      <c r="B23" s="5" t="s">
        <v>12</v>
      </c>
      <c r="C23" s="3">
        <v>129907.55734269455</v>
      </c>
      <c r="D23" s="3">
        <f>17240+77280+54321</f>
        <v>148841</v>
      </c>
      <c r="E23" s="3"/>
      <c r="F23" s="6"/>
    </row>
    <row r="24" spans="1:6" ht="22.5" customHeight="1" x14ac:dyDescent="0.25">
      <c r="A24" s="4">
        <v>45465</v>
      </c>
      <c r="B24" s="5" t="s">
        <v>13</v>
      </c>
      <c r="C24" s="3">
        <v>219000.43406639848</v>
      </c>
      <c r="D24" s="3">
        <f>6000+18490+29500</f>
        <v>53990</v>
      </c>
      <c r="E24" s="3"/>
      <c r="F24" s="6"/>
    </row>
    <row r="25" spans="1:6" ht="22.5" customHeight="1" x14ac:dyDescent="0.25">
      <c r="A25" s="4">
        <v>45466</v>
      </c>
      <c r="B25" s="5" t="s">
        <v>14</v>
      </c>
      <c r="C25" s="3">
        <v>167823.6706756074</v>
      </c>
      <c r="D25" s="3">
        <f>29500+15300+37436+15600</f>
        <v>97836</v>
      </c>
      <c r="E25" s="3"/>
      <c r="F25" s="6"/>
    </row>
    <row r="26" spans="1:6" ht="22.5" customHeight="1" x14ac:dyDescent="0.25">
      <c r="A26" s="4">
        <v>45467</v>
      </c>
      <c r="B26" s="4" t="s">
        <v>8</v>
      </c>
      <c r="C26" s="3">
        <v>130416.57154578011</v>
      </c>
      <c r="D26" s="3">
        <v>86340</v>
      </c>
      <c r="E26" s="3"/>
      <c r="F26" s="6"/>
    </row>
    <row r="27" spans="1:6" ht="22.5" customHeight="1" x14ac:dyDescent="0.25">
      <c r="A27" s="4">
        <v>45468</v>
      </c>
      <c r="B27" s="4" t="s">
        <v>9</v>
      </c>
      <c r="C27" s="3">
        <v>112064.93358160574</v>
      </c>
      <c r="D27" s="3">
        <f>22731+27320</f>
        <v>50051</v>
      </c>
      <c r="E27" s="3"/>
      <c r="F27" s="6"/>
    </row>
    <row r="28" spans="1:6" ht="22.5" customHeight="1" x14ac:dyDescent="0.25">
      <c r="A28" s="4">
        <v>45469</v>
      </c>
      <c r="B28" s="4" t="s">
        <v>10</v>
      </c>
      <c r="C28" s="3">
        <v>140680.7909658578</v>
      </c>
      <c r="D28" s="3">
        <f>98560+32901</f>
        <v>131461</v>
      </c>
      <c r="E28" s="3"/>
      <c r="F28" s="6"/>
    </row>
    <row r="29" spans="1:6" ht="22.5" customHeight="1" x14ac:dyDescent="0.25">
      <c r="A29" s="4">
        <v>45470</v>
      </c>
      <c r="B29" s="4" t="s">
        <v>11</v>
      </c>
      <c r="C29" s="3">
        <v>139873.87921313912</v>
      </c>
      <c r="D29" s="3">
        <v>62640</v>
      </c>
      <c r="E29" s="3"/>
      <c r="F29" s="6"/>
    </row>
    <row r="30" spans="1:6" ht="22.5" customHeight="1" x14ac:dyDescent="0.25">
      <c r="A30" s="4">
        <v>45471</v>
      </c>
      <c r="B30" s="5" t="s">
        <v>12</v>
      </c>
      <c r="C30" s="3">
        <v>114696.48094346949</v>
      </c>
      <c r="D30" s="3">
        <f>20710+25162+23357+31000</f>
        <v>100229</v>
      </c>
      <c r="E30" s="3"/>
      <c r="F30" s="6"/>
    </row>
    <row r="31" spans="1:6" ht="22.5" customHeight="1" x14ac:dyDescent="0.25">
      <c r="A31" s="4">
        <v>45472</v>
      </c>
      <c r="B31" s="5" t="s">
        <v>13</v>
      </c>
      <c r="C31" s="3">
        <v>184275.46805168298</v>
      </c>
      <c r="D31" s="3">
        <v>72265</v>
      </c>
      <c r="E31" s="3"/>
      <c r="F31" s="6"/>
    </row>
    <row r="32" spans="1:6" ht="22.5" customHeight="1" x14ac:dyDescent="0.25">
      <c r="A32" s="4">
        <v>45473</v>
      </c>
      <c r="B32" s="5" t="s">
        <v>14</v>
      </c>
      <c r="C32" s="3">
        <v>161505.17509886823</v>
      </c>
      <c r="D32" s="3">
        <f>22684+134500+28400+37900+47930</f>
        <v>271414</v>
      </c>
      <c r="E32" s="3"/>
      <c r="F32" s="6"/>
    </row>
    <row r="33" spans="1:6" ht="22.5" customHeight="1" x14ac:dyDescent="0.25">
      <c r="A33" s="4"/>
      <c r="B33" s="4"/>
      <c r="C33" s="3"/>
      <c r="D33" s="3"/>
      <c r="E33" s="3"/>
      <c r="F33" s="6"/>
    </row>
  </sheetData>
  <mergeCells count="1">
    <mergeCell ref="A1:B1"/>
  </mergeCells>
  <conditionalFormatting sqref="C3:C3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A3:B33 D3:D3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9F0E-C2C8-421C-9961-0E83B3B829ED}">
  <dimension ref="A1:F33"/>
  <sheetViews>
    <sheetView workbookViewId="0">
      <selection activeCell="D12" sqref="D12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f>SUM(C3:C33)</f>
        <v>4475036.2498643845</v>
      </c>
      <c r="D1" s="3">
        <f>SUM(D3:D33)</f>
        <v>4078779</v>
      </c>
      <c r="E1" s="3">
        <f>C1-D1</f>
        <v>396257.24986438453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0</v>
      </c>
      <c r="F2" s="3">
        <f ca="1">IF(E2="土",RAND()*(250000-180000)+150000,IF(E2="日",RAND()*(200000-150000)+150000,RAND()*(150000-110000)+110000))</f>
        <v>119674.66013867252</v>
      </c>
    </row>
    <row r="3" spans="1:6" ht="22.5" customHeight="1" x14ac:dyDescent="0.25">
      <c r="A3" s="4">
        <v>45474</v>
      </c>
      <c r="B3" s="4" t="s">
        <v>8</v>
      </c>
      <c r="C3" s="3">
        <v>131058.75666403241</v>
      </c>
      <c r="D3" s="3">
        <f>41290</f>
        <v>41290</v>
      </c>
      <c r="E3" s="3"/>
      <c r="F3" s="6"/>
    </row>
    <row r="4" spans="1:6" ht="22.5" customHeight="1" x14ac:dyDescent="0.25">
      <c r="A4" s="4">
        <v>45475</v>
      </c>
      <c r="B4" s="4" t="s">
        <v>9</v>
      </c>
      <c r="C4" s="3">
        <v>132158.784343256</v>
      </c>
      <c r="D4" s="3">
        <f>62588+90521+48930</f>
        <v>202039</v>
      </c>
      <c r="E4" s="3"/>
      <c r="F4" s="6"/>
    </row>
    <row r="5" spans="1:6" ht="22.5" customHeight="1" x14ac:dyDescent="0.25">
      <c r="A5" s="4">
        <v>45476</v>
      </c>
      <c r="B5" s="4" t="s">
        <v>10</v>
      </c>
      <c r="C5" s="3">
        <v>140476.50559937395</v>
      </c>
      <c r="D5" s="3">
        <f>53253+52255+31000+51280</f>
        <v>187788</v>
      </c>
      <c r="E5" s="3"/>
      <c r="F5" s="6"/>
    </row>
    <row r="6" spans="1:6" ht="22.5" customHeight="1" x14ac:dyDescent="0.25">
      <c r="A6" s="4">
        <v>45477</v>
      </c>
      <c r="B6" s="4" t="s">
        <v>11</v>
      </c>
      <c r="C6" s="3">
        <v>116671.42412625848</v>
      </c>
      <c r="D6" s="3">
        <f>46430+78715</f>
        <v>125145</v>
      </c>
      <c r="E6" s="3"/>
      <c r="F6" s="6"/>
    </row>
    <row r="7" spans="1:6" ht="22.5" customHeight="1" x14ac:dyDescent="0.25">
      <c r="A7" s="4">
        <v>45478</v>
      </c>
      <c r="B7" s="5" t="s">
        <v>12</v>
      </c>
      <c r="C7" s="3">
        <v>138512.64980147159</v>
      </c>
      <c r="D7" s="3">
        <v>16530</v>
      </c>
      <c r="E7" s="3"/>
      <c r="F7" s="6"/>
    </row>
    <row r="8" spans="1:6" ht="22.5" customHeight="1" x14ac:dyDescent="0.25">
      <c r="A8" s="4">
        <v>45479</v>
      </c>
      <c r="B8" s="5" t="s">
        <v>13</v>
      </c>
      <c r="C8" s="3">
        <v>167859.16841573463</v>
      </c>
      <c r="D8" s="3">
        <v>51501</v>
      </c>
      <c r="E8" s="6"/>
      <c r="F8" s="6"/>
    </row>
    <row r="9" spans="1:6" ht="22.5" customHeight="1" x14ac:dyDescent="0.25">
      <c r="A9" s="4">
        <v>45480</v>
      </c>
      <c r="B9" s="5" t="s">
        <v>14</v>
      </c>
      <c r="C9" s="3">
        <v>194596.20221453602</v>
      </c>
      <c r="D9" s="3">
        <v>0</v>
      </c>
      <c r="E9" s="3"/>
      <c r="F9" s="6"/>
    </row>
    <row r="10" spans="1:6" ht="22.5" customHeight="1" x14ac:dyDescent="0.25">
      <c r="A10" s="4">
        <v>45481</v>
      </c>
      <c r="B10" s="4" t="s">
        <v>8</v>
      </c>
      <c r="C10" s="3">
        <v>116169.53194455951</v>
      </c>
      <c r="D10" s="3">
        <v>104650</v>
      </c>
      <c r="E10" s="3"/>
      <c r="F10" s="6"/>
    </row>
    <row r="11" spans="1:6" ht="22.5" customHeight="1" x14ac:dyDescent="0.25">
      <c r="A11" s="4">
        <v>45482</v>
      </c>
      <c r="B11" s="4" t="s">
        <v>9</v>
      </c>
      <c r="C11" s="3">
        <v>112619.4362046961</v>
      </c>
      <c r="D11" s="3">
        <f>318088</f>
        <v>318088</v>
      </c>
      <c r="E11" s="3"/>
      <c r="F11" s="6"/>
    </row>
    <row r="12" spans="1:6" ht="22.5" customHeight="1" x14ac:dyDescent="0.25">
      <c r="A12" s="4">
        <v>45483</v>
      </c>
      <c r="B12" s="4" t="s">
        <v>10</v>
      </c>
      <c r="C12" s="3">
        <v>143991.60302796212</v>
      </c>
      <c r="D12" s="3">
        <f>57361</f>
        <v>57361</v>
      </c>
      <c r="E12" s="3"/>
      <c r="F12" s="6"/>
    </row>
    <row r="13" spans="1:6" ht="22.5" customHeight="1" x14ac:dyDescent="0.25">
      <c r="A13" s="4">
        <v>45484</v>
      </c>
      <c r="B13" s="4" t="s">
        <v>11</v>
      </c>
      <c r="C13" s="3">
        <v>126395.55377789875</v>
      </c>
      <c r="D13" s="3">
        <f>48430+23309+90400</f>
        <v>162139</v>
      </c>
      <c r="E13" s="3"/>
      <c r="F13" s="6"/>
    </row>
    <row r="14" spans="1:6" ht="22.5" customHeight="1" x14ac:dyDescent="0.25">
      <c r="A14" s="4">
        <v>45485</v>
      </c>
      <c r="B14" s="5" t="s">
        <v>12</v>
      </c>
      <c r="C14" s="3">
        <v>143792.19834523357</v>
      </c>
      <c r="D14" s="3">
        <f>48200+16600+21900</f>
        <v>86700</v>
      </c>
      <c r="E14" s="3"/>
      <c r="F14" s="6"/>
    </row>
    <row r="15" spans="1:6" ht="22.5" customHeight="1" x14ac:dyDescent="0.25">
      <c r="A15" s="4">
        <v>45486</v>
      </c>
      <c r="B15" s="5" t="s">
        <v>13</v>
      </c>
      <c r="C15" s="3">
        <v>153181.19472349016</v>
      </c>
      <c r="D15" s="3">
        <f>149230+37980+56160</f>
        <v>243370</v>
      </c>
      <c r="E15" s="3"/>
      <c r="F15" s="6"/>
    </row>
    <row r="16" spans="1:6" ht="22.5" customHeight="1" x14ac:dyDescent="0.25">
      <c r="A16" s="4">
        <v>45487</v>
      </c>
      <c r="B16" s="5" t="s">
        <v>14</v>
      </c>
      <c r="C16" s="3">
        <v>176491.44165394999</v>
      </c>
      <c r="D16" s="3">
        <f>21680+55460+30664</f>
        <v>107804</v>
      </c>
      <c r="E16" s="3"/>
      <c r="F16" s="6"/>
    </row>
    <row r="17" spans="1:6" ht="22.5" customHeight="1" x14ac:dyDescent="0.25">
      <c r="A17" s="4">
        <v>45488</v>
      </c>
      <c r="B17" s="4" t="s">
        <v>8</v>
      </c>
      <c r="C17" s="3">
        <v>132742.99590729139</v>
      </c>
      <c r="D17" s="3">
        <f>22720+55000</f>
        <v>77720</v>
      </c>
      <c r="E17" s="3"/>
      <c r="F17" s="6"/>
    </row>
    <row r="18" spans="1:6" ht="22.5" customHeight="1" x14ac:dyDescent="0.25">
      <c r="A18" s="4">
        <v>45489</v>
      </c>
      <c r="B18" s="4" t="s">
        <v>9</v>
      </c>
      <c r="C18" s="3">
        <v>149774.56801273589</v>
      </c>
      <c r="D18" s="3">
        <f>47930+40140+62050</f>
        <v>150120</v>
      </c>
      <c r="E18" s="3"/>
      <c r="F18" s="6"/>
    </row>
    <row r="19" spans="1:6" ht="22.5" customHeight="1" x14ac:dyDescent="0.25">
      <c r="A19" s="4">
        <v>45490</v>
      </c>
      <c r="B19" s="4" t="s">
        <v>10</v>
      </c>
      <c r="C19" s="3">
        <v>114658.20874728364</v>
      </c>
      <c r="D19" s="3">
        <v>53940</v>
      </c>
      <c r="E19" s="3"/>
      <c r="F19" s="6"/>
    </row>
    <row r="20" spans="1:6" ht="22.5" customHeight="1" x14ac:dyDescent="0.25">
      <c r="A20" s="4">
        <v>45491</v>
      </c>
      <c r="B20" s="4" t="s">
        <v>11</v>
      </c>
      <c r="C20" s="3">
        <v>132526.24232575702</v>
      </c>
      <c r="D20" s="3">
        <f>83229+61115</f>
        <v>144344</v>
      </c>
      <c r="E20" s="3"/>
      <c r="F20" s="6"/>
    </row>
    <row r="21" spans="1:6" ht="22.5" customHeight="1" x14ac:dyDescent="0.25">
      <c r="A21" s="4">
        <v>45492</v>
      </c>
      <c r="B21" s="5" t="s">
        <v>12</v>
      </c>
      <c r="C21" s="3">
        <v>133399.89729158621</v>
      </c>
      <c r="D21" s="3">
        <f>174443+33803</f>
        <v>208246</v>
      </c>
      <c r="E21" s="3"/>
      <c r="F21" s="6"/>
    </row>
    <row r="22" spans="1:6" ht="22.5" customHeight="1" x14ac:dyDescent="0.25">
      <c r="A22" s="4">
        <v>45493</v>
      </c>
      <c r="B22" s="5" t="s">
        <v>13</v>
      </c>
      <c r="C22" s="3">
        <v>218450.74790074633</v>
      </c>
      <c r="D22" s="3">
        <f>15560+152900</f>
        <v>168460</v>
      </c>
      <c r="E22" s="3"/>
      <c r="F22" s="6"/>
    </row>
    <row r="23" spans="1:6" ht="22.5" customHeight="1" x14ac:dyDescent="0.25">
      <c r="A23" s="4">
        <v>45494</v>
      </c>
      <c r="B23" s="5" t="s">
        <v>14</v>
      </c>
      <c r="C23" s="3">
        <v>169390.81294579068</v>
      </c>
      <c r="D23" s="3">
        <v>129405</v>
      </c>
      <c r="E23" s="3"/>
      <c r="F23" s="6"/>
    </row>
    <row r="24" spans="1:6" ht="22.5" customHeight="1" x14ac:dyDescent="0.25">
      <c r="A24" s="4">
        <v>45495</v>
      </c>
      <c r="B24" s="4" t="s">
        <v>8</v>
      </c>
      <c r="C24" s="3">
        <v>140388.38594889725</v>
      </c>
      <c r="D24" s="3">
        <v>16600</v>
      </c>
      <c r="E24" s="3"/>
      <c r="F24" s="6"/>
    </row>
    <row r="25" spans="1:6" ht="22.5" customHeight="1" x14ac:dyDescent="0.25">
      <c r="A25" s="4">
        <v>45496</v>
      </c>
      <c r="B25" s="4" t="s">
        <v>9</v>
      </c>
      <c r="C25" s="3">
        <v>148063.27553464609</v>
      </c>
      <c r="D25" s="3">
        <f>150460+91560</f>
        <v>242020</v>
      </c>
      <c r="E25" s="3"/>
      <c r="F25" s="6"/>
    </row>
    <row r="26" spans="1:6" ht="22.5" customHeight="1" x14ac:dyDescent="0.25">
      <c r="A26" s="4">
        <v>45497</v>
      </c>
      <c r="B26" s="4" t="s">
        <v>10</v>
      </c>
      <c r="C26" s="3">
        <v>110683.73319082479</v>
      </c>
      <c r="D26" s="3">
        <f>53940+87220+48730+54889</f>
        <v>244779</v>
      </c>
      <c r="E26" s="3"/>
      <c r="F26" s="6"/>
    </row>
    <row r="27" spans="1:6" ht="22.5" customHeight="1" x14ac:dyDescent="0.25">
      <c r="A27" s="4">
        <v>45498</v>
      </c>
      <c r="B27" s="4" t="s">
        <v>11</v>
      </c>
      <c r="C27" s="3">
        <v>133076.89221154441</v>
      </c>
      <c r="D27" s="3">
        <f>168070+30330</f>
        <v>198400</v>
      </c>
      <c r="E27" s="3"/>
      <c r="F27" s="6"/>
    </row>
    <row r="28" spans="1:6" ht="22.5" customHeight="1" x14ac:dyDescent="0.25">
      <c r="A28" s="4">
        <v>45499</v>
      </c>
      <c r="B28" s="5" t="s">
        <v>12</v>
      </c>
      <c r="C28" s="3">
        <v>130216.01195338639</v>
      </c>
      <c r="D28" s="3">
        <f>23300+109850+26800+53940</f>
        <v>213890</v>
      </c>
      <c r="E28" s="3"/>
      <c r="F28" s="6"/>
    </row>
    <row r="29" spans="1:6" ht="22.5" customHeight="1" x14ac:dyDescent="0.25">
      <c r="A29" s="4">
        <v>45500</v>
      </c>
      <c r="B29" s="5" t="s">
        <v>13</v>
      </c>
      <c r="C29" s="3">
        <v>167501.63835592318</v>
      </c>
      <c r="D29" s="3">
        <f>100087+77172+9400</f>
        <v>186659</v>
      </c>
      <c r="E29" s="3"/>
      <c r="F29" s="6"/>
    </row>
    <row r="30" spans="1:6" ht="22.5" customHeight="1" x14ac:dyDescent="0.25">
      <c r="A30" s="4">
        <v>45501</v>
      </c>
      <c r="B30" s="5" t="s">
        <v>14</v>
      </c>
      <c r="C30" s="3">
        <v>194059.85465790553</v>
      </c>
      <c r="D30" s="3">
        <f>48480+37980</f>
        <v>86460</v>
      </c>
      <c r="E30" s="3"/>
      <c r="F30" s="6"/>
    </row>
    <row r="31" spans="1:6" ht="22.5" customHeight="1" x14ac:dyDescent="0.25">
      <c r="A31" s="4">
        <v>45502</v>
      </c>
      <c r="B31" s="4" t="s">
        <v>8</v>
      </c>
      <c r="C31" s="3">
        <v>133678.92555085343</v>
      </c>
      <c r="D31" s="3">
        <f>21440+15600</f>
        <v>37040</v>
      </c>
      <c r="E31" s="3"/>
      <c r="F31" s="6"/>
    </row>
    <row r="32" spans="1:6" ht="22.5" customHeight="1" x14ac:dyDescent="0.25">
      <c r="A32" s="4">
        <v>45503</v>
      </c>
      <c r="B32" s="4" t="s">
        <v>9</v>
      </c>
      <c r="C32" s="3">
        <v>142095.68891813615</v>
      </c>
      <c r="D32" s="3">
        <f>30330+40761+22516</f>
        <v>93607</v>
      </c>
      <c r="E32" s="3"/>
      <c r="F32" s="6"/>
    </row>
    <row r="33" spans="1:6" ht="22.5" customHeight="1" x14ac:dyDescent="0.25">
      <c r="A33" s="4">
        <v>45504</v>
      </c>
      <c r="B33" s="4" t="s">
        <v>10</v>
      </c>
      <c r="C33" s="3">
        <v>130353.91956862222</v>
      </c>
      <c r="D33" s="3">
        <f>55280+67404</f>
        <v>122684</v>
      </c>
      <c r="E33" s="3"/>
      <c r="F33" s="6"/>
    </row>
  </sheetData>
  <mergeCells count="1">
    <mergeCell ref="A1:B1"/>
  </mergeCells>
  <conditionalFormatting sqref="C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3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 A3:B33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296A-B8F2-43BE-AE85-4190F9E8F90D}">
  <dimension ref="A1:F33"/>
  <sheetViews>
    <sheetView workbookViewId="0">
      <selection activeCell="F2" sqref="F2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f>SUM(C3:C33)</f>
        <v>5491141.0911752423</v>
      </c>
      <c r="D1" s="3">
        <f>SUM(D3:D33)</f>
        <v>4593072</v>
      </c>
      <c r="E1" s="3">
        <f>C1-D1</f>
        <v>898069.09117524233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0</v>
      </c>
      <c r="F2" s="3">
        <f ca="1">IF(E2="土",RAND()*(270000-180000)+180000,IF(E2="日",RAND()*(220000-160000)+160000,RAND()*(180000-120000)+120000))</f>
        <v>153598.09152233435</v>
      </c>
    </row>
    <row r="3" spans="1:6" ht="22.5" customHeight="1" x14ac:dyDescent="0.25">
      <c r="A3" s="4">
        <v>45505</v>
      </c>
      <c r="B3" s="4" t="s">
        <v>11</v>
      </c>
      <c r="C3" s="3">
        <v>164504.54652919667</v>
      </c>
      <c r="D3" s="3">
        <f>67290</f>
        <v>67290</v>
      </c>
      <c r="E3" s="3"/>
      <c r="F3" s="6"/>
    </row>
    <row r="4" spans="1:6" ht="22.5" customHeight="1" x14ac:dyDescent="0.25">
      <c r="A4" s="4">
        <v>45506</v>
      </c>
      <c r="B4" s="5" t="s">
        <v>12</v>
      </c>
      <c r="C4" s="3">
        <v>177053.85507484645</v>
      </c>
      <c r="D4" s="3">
        <f>56108+64778+89200+42498+141102</f>
        <v>393686</v>
      </c>
      <c r="E4" s="3"/>
      <c r="F4" s="6"/>
    </row>
    <row r="5" spans="1:6" ht="22.5" customHeight="1" x14ac:dyDescent="0.25">
      <c r="A5" s="4">
        <v>45507</v>
      </c>
      <c r="B5" s="5" t="s">
        <v>13</v>
      </c>
      <c r="C5" s="3">
        <v>234791.2333385885</v>
      </c>
      <c r="D5" s="3">
        <f>71120+44920+50639</f>
        <v>166679</v>
      </c>
      <c r="E5" s="3"/>
      <c r="F5" s="6"/>
    </row>
    <row r="6" spans="1:6" ht="22.5" customHeight="1" x14ac:dyDescent="0.25">
      <c r="A6" s="4">
        <v>45508</v>
      </c>
      <c r="B6" s="5" t="s">
        <v>14</v>
      </c>
      <c r="C6" s="3">
        <v>211818.56476347183</v>
      </c>
      <c r="D6" s="3">
        <f>44720</f>
        <v>44720</v>
      </c>
      <c r="E6" s="3"/>
      <c r="F6" s="6"/>
    </row>
    <row r="7" spans="1:6" ht="22.5" customHeight="1" x14ac:dyDescent="0.25">
      <c r="A7" s="4">
        <v>45509</v>
      </c>
      <c r="B7" s="4" t="s">
        <v>8</v>
      </c>
      <c r="C7" s="3">
        <v>179229.3912923857</v>
      </c>
      <c r="D7" s="3">
        <v>0</v>
      </c>
      <c r="E7" s="3"/>
      <c r="F7" s="6"/>
    </row>
    <row r="8" spans="1:6" ht="22.5" customHeight="1" x14ac:dyDescent="0.25">
      <c r="A8" s="4">
        <v>45510</v>
      </c>
      <c r="B8" s="4" t="s">
        <v>9</v>
      </c>
      <c r="C8" s="3">
        <v>165756.34072406299</v>
      </c>
      <c r="D8" s="3">
        <f>171770+49730</f>
        <v>221500</v>
      </c>
      <c r="E8" s="6"/>
      <c r="F8" s="6"/>
    </row>
    <row r="9" spans="1:6" ht="22.5" customHeight="1" x14ac:dyDescent="0.25">
      <c r="A9" s="4">
        <v>45511</v>
      </c>
      <c r="B9" s="4" t="s">
        <v>10</v>
      </c>
      <c r="C9" s="3">
        <v>168155.95705797145</v>
      </c>
      <c r="D9" s="3">
        <f>133320+43936+30468+10360</f>
        <v>218084</v>
      </c>
      <c r="E9" s="3"/>
      <c r="F9" s="6"/>
    </row>
    <row r="10" spans="1:6" ht="22.5" customHeight="1" x14ac:dyDescent="0.25">
      <c r="A10" s="4">
        <v>45512</v>
      </c>
      <c r="B10" s="4" t="s">
        <v>11</v>
      </c>
      <c r="C10" s="3">
        <v>173364.36655951649</v>
      </c>
      <c r="D10" s="3">
        <f>126900+53940+34800</f>
        <v>215640</v>
      </c>
      <c r="E10" s="3"/>
      <c r="F10" s="6"/>
    </row>
    <row r="11" spans="1:6" ht="22.5" customHeight="1" x14ac:dyDescent="0.25">
      <c r="A11" s="4">
        <v>45513</v>
      </c>
      <c r="B11" s="5" t="s">
        <v>12</v>
      </c>
      <c r="C11" s="3">
        <v>161904.15579352336</v>
      </c>
      <c r="D11" s="3">
        <f>26800+32581+117511</f>
        <v>176892</v>
      </c>
      <c r="E11" s="3"/>
      <c r="F11" s="6"/>
    </row>
    <row r="12" spans="1:6" ht="22.5" customHeight="1" x14ac:dyDescent="0.25">
      <c r="A12" s="4">
        <v>45514</v>
      </c>
      <c r="B12" s="5" t="s">
        <v>13</v>
      </c>
      <c r="C12" s="3">
        <v>220212.45094584132</v>
      </c>
      <c r="D12" s="3">
        <f>30330+47230+37600+27295+18640</f>
        <v>161095</v>
      </c>
      <c r="E12" s="3"/>
      <c r="F12" s="6"/>
    </row>
    <row r="13" spans="1:6" ht="22.5" customHeight="1" x14ac:dyDescent="0.25">
      <c r="A13" s="4">
        <v>45515</v>
      </c>
      <c r="B13" s="5" t="s">
        <v>14</v>
      </c>
      <c r="C13" s="3">
        <v>195884.80022897679</v>
      </c>
      <c r="D13" s="3">
        <f>57538+306050+94770</f>
        <v>458358</v>
      </c>
      <c r="E13" s="3"/>
      <c r="F13" s="6"/>
    </row>
    <row r="14" spans="1:6" ht="22.5" customHeight="1" x14ac:dyDescent="0.25">
      <c r="A14" s="4">
        <v>45516</v>
      </c>
      <c r="B14" s="4" t="s">
        <v>8</v>
      </c>
      <c r="C14" s="3">
        <v>133377.19196852201</v>
      </c>
      <c r="D14" s="3">
        <f>37524+27320+26800+37980</f>
        <v>129624</v>
      </c>
      <c r="E14" s="3"/>
      <c r="F14" s="6"/>
    </row>
    <row r="15" spans="1:6" ht="22.5" customHeight="1" x14ac:dyDescent="0.25">
      <c r="A15" s="4">
        <v>45517</v>
      </c>
      <c r="B15" s="4" t="s">
        <v>9</v>
      </c>
      <c r="C15" s="3">
        <v>125777.65228454096</v>
      </c>
      <c r="D15" s="3">
        <v>147623</v>
      </c>
      <c r="E15" s="3"/>
      <c r="F15" s="6"/>
    </row>
    <row r="16" spans="1:6" ht="22.5" customHeight="1" x14ac:dyDescent="0.25">
      <c r="A16" s="4">
        <v>45518</v>
      </c>
      <c r="B16" s="4" t="s">
        <v>10</v>
      </c>
      <c r="C16" s="3">
        <v>158112.41695044044</v>
      </c>
      <c r="D16" s="3">
        <f>69560+27400+20800+44964</f>
        <v>162724</v>
      </c>
      <c r="E16" s="3"/>
      <c r="F16" s="6"/>
    </row>
    <row r="17" spans="1:6" ht="22.5" customHeight="1" x14ac:dyDescent="0.25">
      <c r="A17" s="4">
        <v>45519</v>
      </c>
      <c r="B17" s="4" t="s">
        <v>11</v>
      </c>
      <c r="C17" s="3">
        <v>137425.42991326202</v>
      </c>
      <c r="D17" s="3">
        <f>22176+50080+53868</f>
        <v>126124</v>
      </c>
      <c r="E17" s="3"/>
      <c r="F17" s="6"/>
    </row>
    <row r="18" spans="1:6" ht="22.5" customHeight="1" x14ac:dyDescent="0.25">
      <c r="A18" s="4">
        <v>45520</v>
      </c>
      <c r="B18" s="5" t="s">
        <v>12</v>
      </c>
      <c r="C18" s="3">
        <v>123229.71899528497</v>
      </c>
      <c r="D18" s="3">
        <f>38160+21400+14100</f>
        <v>73660</v>
      </c>
      <c r="E18" s="3"/>
      <c r="F18" s="6"/>
    </row>
    <row r="19" spans="1:6" ht="22.5" customHeight="1" x14ac:dyDescent="0.25">
      <c r="A19" s="4">
        <v>45521</v>
      </c>
      <c r="B19" s="5" t="s">
        <v>13</v>
      </c>
      <c r="C19" s="3">
        <v>212193.48070169915</v>
      </c>
      <c r="D19" s="3">
        <f>142157+48360+21900</f>
        <v>212417</v>
      </c>
      <c r="E19" s="3"/>
      <c r="F19" s="6"/>
    </row>
    <row r="20" spans="1:6" ht="22.5" customHeight="1" x14ac:dyDescent="0.25">
      <c r="A20" s="4">
        <v>45522</v>
      </c>
      <c r="B20" s="5" t="s">
        <v>14</v>
      </c>
      <c r="C20" s="3">
        <v>180179.59010835623</v>
      </c>
      <c r="D20" s="3">
        <f>15600+47364+130172+49230</f>
        <v>242366</v>
      </c>
      <c r="E20" s="3"/>
      <c r="F20" s="6"/>
    </row>
    <row r="21" spans="1:6" ht="22.5" customHeight="1" x14ac:dyDescent="0.25">
      <c r="A21" s="4">
        <v>45523</v>
      </c>
      <c r="B21" s="4" t="s">
        <v>8</v>
      </c>
      <c r="C21" s="3">
        <v>158402.55233577723</v>
      </c>
      <c r="D21" s="3">
        <v>53940</v>
      </c>
      <c r="E21" s="3"/>
      <c r="F21" s="6"/>
    </row>
    <row r="22" spans="1:6" ht="22.5" customHeight="1" x14ac:dyDescent="0.25">
      <c r="A22" s="4">
        <v>45524</v>
      </c>
      <c r="B22" s="4" t="s">
        <v>9</v>
      </c>
      <c r="C22" s="3">
        <v>156247.15095234709</v>
      </c>
      <c r="D22" s="3">
        <v>0</v>
      </c>
      <c r="E22" s="3"/>
      <c r="F22" s="6"/>
    </row>
    <row r="23" spans="1:6" ht="22.5" customHeight="1" x14ac:dyDescent="0.25">
      <c r="A23" s="4">
        <v>45525</v>
      </c>
      <c r="B23" s="4" t="s">
        <v>10</v>
      </c>
      <c r="C23" s="3">
        <v>146310.88089282354</v>
      </c>
      <c r="D23" s="3">
        <f>32278+28400</f>
        <v>60678</v>
      </c>
      <c r="E23" s="3"/>
      <c r="F23" s="6"/>
    </row>
    <row r="24" spans="1:6" ht="22.5" customHeight="1" x14ac:dyDescent="0.25">
      <c r="A24" s="4">
        <v>45526</v>
      </c>
      <c r="B24" s="4" t="s">
        <v>11</v>
      </c>
      <c r="C24" s="3">
        <v>177637.76717032684</v>
      </c>
      <c r="D24" s="3">
        <f>61302+63660+30330</f>
        <v>155292</v>
      </c>
      <c r="E24" s="3"/>
      <c r="F24" s="6"/>
    </row>
    <row r="25" spans="1:6" ht="22.5" customHeight="1" x14ac:dyDescent="0.25">
      <c r="A25" s="4">
        <v>45527</v>
      </c>
      <c r="B25" s="5" t="s">
        <v>12</v>
      </c>
      <c r="C25" s="3">
        <v>151085.60682285632</v>
      </c>
      <c r="D25" s="3">
        <f>37540+106914</f>
        <v>144454</v>
      </c>
      <c r="E25" s="3"/>
      <c r="F25" s="6"/>
    </row>
    <row r="26" spans="1:6" ht="22.5" customHeight="1" x14ac:dyDescent="0.25">
      <c r="A26" s="4">
        <v>45528</v>
      </c>
      <c r="B26" s="5" t="s">
        <v>13</v>
      </c>
      <c r="C26" s="3">
        <v>266536.06154492137</v>
      </c>
      <c r="D26" s="3">
        <f>26800+42498+49730</f>
        <v>119028</v>
      </c>
      <c r="E26" s="3"/>
      <c r="F26" s="6"/>
    </row>
    <row r="27" spans="1:6" ht="22.5" customHeight="1" x14ac:dyDescent="0.25">
      <c r="A27" s="4">
        <v>45529</v>
      </c>
      <c r="B27" s="5" t="s">
        <v>14</v>
      </c>
      <c r="C27" s="3">
        <v>199908.02572913643</v>
      </c>
      <c r="D27" s="3">
        <f>71280+47960</f>
        <v>119240</v>
      </c>
      <c r="E27" s="3"/>
      <c r="F27" s="6"/>
    </row>
    <row r="28" spans="1:6" ht="22.5" customHeight="1" x14ac:dyDescent="0.25">
      <c r="A28" s="4">
        <v>45530</v>
      </c>
      <c r="B28" s="4" t="s">
        <v>8</v>
      </c>
      <c r="C28" s="3">
        <v>133089.695024877</v>
      </c>
      <c r="D28" s="3">
        <f>45130+53680+42921</f>
        <v>141731</v>
      </c>
      <c r="E28" s="3"/>
      <c r="F28" s="6"/>
    </row>
    <row r="29" spans="1:6" ht="22.5" customHeight="1" x14ac:dyDescent="0.25">
      <c r="A29" s="4">
        <v>45531</v>
      </c>
      <c r="B29" s="4" t="s">
        <v>9</v>
      </c>
      <c r="C29" s="3">
        <v>163374.84163261106</v>
      </c>
      <c r="D29" s="3">
        <f>21600+226192+90355+17830</f>
        <v>355977</v>
      </c>
      <c r="E29" s="3"/>
      <c r="F29" s="6"/>
    </row>
    <row r="30" spans="1:6" ht="22.5" customHeight="1" x14ac:dyDescent="0.25">
      <c r="A30" s="4">
        <v>45532</v>
      </c>
      <c r="B30" s="4" t="s">
        <v>10</v>
      </c>
      <c r="C30" s="3">
        <v>163351.00950753444</v>
      </c>
      <c r="D30" s="3">
        <v>57679</v>
      </c>
      <c r="E30" s="3"/>
      <c r="F30" s="6"/>
    </row>
    <row r="31" spans="1:6" ht="22.5" customHeight="1" x14ac:dyDescent="0.25">
      <c r="A31" s="4">
        <v>45533</v>
      </c>
      <c r="B31" s="4" t="s">
        <v>11</v>
      </c>
      <c r="C31" s="3">
        <v>0</v>
      </c>
      <c r="D31" s="3">
        <v>0</v>
      </c>
      <c r="E31" s="3"/>
      <c r="F31" s="6"/>
    </row>
    <row r="32" spans="1:6" ht="22.5" customHeight="1" x14ac:dyDescent="0.25">
      <c r="A32" s="4">
        <v>45534</v>
      </c>
      <c r="B32" s="5" t="s">
        <v>12</v>
      </c>
      <c r="C32" s="3">
        <v>333817.08261283801</v>
      </c>
      <c r="D32" s="3">
        <f>22026+117943</f>
        <v>139969</v>
      </c>
      <c r="E32" s="3"/>
      <c r="F32" s="6"/>
    </row>
    <row r="33" spans="1:6" ht="22.5" customHeight="1" x14ac:dyDescent="0.25">
      <c r="A33" s="4">
        <v>45535</v>
      </c>
      <c r="B33" s="5" t="s">
        <v>13</v>
      </c>
      <c r="C33" s="3">
        <v>318409.27371870598</v>
      </c>
      <c r="D33" s="3">
        <v>26602</v>
      </c>
      <c r="E33" s="3"/>
      <c r="F33" s="6"/>
    </row>
  </sheetData>
  <mergeCells count="1">
    <mergeCell ref="A1:B1"/>
  </mergeCells>
  <conditionalFormatting sqref="C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3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A3:B33 D3:D33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05F1-788C-4D58-8EAC-A91D93313023}">
  <dimension ref="A1:F33"/>
  <sheetViews>
    <sheetView workbookViewId="0">
      <selection activeCell="D2" sqref="D2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v>4092096</v>
      </c>
      <c r="D1" s="3">
        <v>4230806</v>
      </c>
      <c r="E1" s="3">
        <f>C1-D1</f>
        <v>-138710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116865.71202702032</v>
      </c>
    </row>
    <row r="3" spans="1:6" ht="22.5" customHeight="1" x14ac:dyDescent="0.25">
      <c r="A3" s="4">
        <v>45566</v>
      </c>
      <c r="B3" s="4" t="s">
        <v>9</v>
      </c>
      <c r="C3" s="3">
        <v>118605.193649803</v>
      </c>
      <c r="D3" s="3">
        <f>32700+41494+78477</f>
        <v>152671</v>
      </c>
      <c r="E3" s="3"/>
      <c r="F3" s="6"/>
    </row>
    <row r="4" spans="1:6" ht="22.5" customHeight="1" x14ac:dyDescent="0.25">
      <c r="A4" s="4">
        <v>45567</v>
      </c>
      <c r="B4" s="4" t="s">
        <v>10</v>
      </c>
      <c r="C4" s="3">
        <v>122190.02899615029</v>
      </c>
      <c r="D4" s="3">
        <f>19640+100160+15664</f>
        <v>135464</v>
      </c>
      <c r="E4" s="3"/>
      <c r="F4" s="6"/>
    </row>
    <row r="5" spans="1:6" ht="22.5" customHeight="1" x14ac:dyDescent="0.25">
      <c r="A5" s="4">
        <v>45568</v>
      </c>
      <c r="B5" s="4" t="s">
        <v>11</v>
      </c>
      <c r="C5" s="3">
        <v>102553.76893941822</v>
      </c>
      <c r="D5" s="3">
        <f>17830+41600+129160</f>
        <v>188590</v>
      </c>
      <c r="E5" s="3"/>
      <c r="F5" s="6"/>
    </row>
    <row r="6" spans="1:6" ht="22.5" customHeight="1" x14ac:dyDescent="0.25">
      <c r="A6" s="4">
        <v>45569</v>
      </c>
      <c r="B6" s="5" t="s">
        <v>12</v>
      </c>
      <c r="C6" s="3">
        <v>113729.92181416086</v>
      </c>
      <c r="D6" s="3">
        <f>27760+161126+120516+81282</f>
        <v>390684</v>
      </c>
      <c r="E6" s="3"/>
      <c r="F6" s="6"/>
    </row>
    <row r="7" spans="1:6" ht="22.5" customHeight="1" x14ac:dyDescent="0.25">
      <c r="A7" s="4">
        <v>45570</v>
      </c>
      <c r="B7" s="5" t="s">
        <v>13</v>
      </c>
      <c r="C7" s="3">
        <v>202572.41536238085</v>
      </c>
      <c r="D7" s="3">
        <f>26900+49480+124386</f>
        <v>200766</v>
      </c>
      <c r="E7" s="3"/>
      <c r="F7" s="6"/>
    </row>
    <row r="8" spans="1:6" ht="22.5" customHeight="1" x14ac:dyDescent="0.25">
      <c r="A8" s="4">
        <v>45571</v>
      </c>
      <c r="B8" s="5" t="s">
        <v>14</v>
      </c>
      <c r="C8" s="3">
        <v>174254.99813195269</v>
      </c>
      <c r="D8" s="3">
        <f>50040+63120+131433</f>
        <v>244593</v>
      </c>
      <c r="E8" s="6"/>
      <c r="F8" s="6"/>
    </row>
    <row r="9" spans="1:6" ht="22.5" customHeight="1" x14ac:dyDescent="0.25">
      <c r="A9" s="4">
        <v>45572</v>
      </c>
      <c r="B9" s="4" t="s">
        <v>8</v>
      </c>
      <c r="C9" s="3">
        <v>118219.99125458367</v>
      </c>
      <c r="D9" s="3">
        <v>26800</v>
      </c>
      <c r="E9" s="3"/>
      <c r="F9" s="6"/>
    </row>
    <row r="10" spans="1:6" ht="22.5" customHeight="1" x14ac:dyDescent="0.25">
      <c r="A10" s="4">
        <v>45573</v>
      </c>
      <c r="B10" s="4" t="s">
        <v>9</v>
      </c>
      <c r="C10" s="3">
        <v>146099.07041836553</v>
      </c>
      <c r="D10" s="3">
        <f>68702+47260</f>
        <v>115962</v>
      </c>
      <c r="E10" s="3"/>
      <c r="F10" s="6"/>
    </row>
    <row r="11" spans="1:6" ht="22.5" customHeight="1" x14ac:dyDescent="0.25">
      <c r="A11" s="4">
        <v>45574</v>
      </c>
      <c r="B11" s="4" t="s">
        <v>10</v>
      </c>
      <c r="C11" s="3">
        <v>120493.84408229042</v>
      </c>
      <c r="D11" s="3">
        <f>91178+15432+49230</f>
        <v>155840</v>
      </c>
      <c r="E11" s="3"/>
      <c r="F11" s="6"/>
    </row>
    <row r="12" spans="1:6" ht="22.5" customHeight="1" x14ac:dyDescent="0.25">
      <c r="A12" s="4">
        <v>45575</v>
      </c>
      <c r="B12" s="4" t="s">
        <v>11</v>
      </c>
      <c r="C12" s="3">
        <v>116983.52306912033</v>
      </c>
      <c r="D12" s="3">
        <f>67652+60350</f>
        <v>128002</v>
      </c>
      <c r="E12" s="3"/>
      <c r="F12" s="6"/>
    </row>
    <row r="13" spans="1:6" ht="22.5" customHeight="1" x14ac:dyDescent="0.25">
      <c r="A13" s="4">
        <v>45576</v>
      </c>
      <c r="B13" s="5" t="s">
        <v>12</v>
      </c>
      <c r="C13" s="3">
        <v>131821.60542373898</v>
      </c>
      <c r="D13" s="3">
        <f>27591+114889</f>
        <v>142480</v>
      </c>
      <c r="E13" s="3"/>
      <c r="F13" s="6"/>
    </row>
    <row r="14" spans="1:6" ht="22.5" customHeight="1" x14ac:dyDescent="0.25">
      <c r="A14" s="4">
        <v>45577</v>
      </c>
      <c r="B14" s="5" t="s">
        <v>13</v>
      </c>
      <c r="C14" s="3">
        <v>244105.25507261683</v>
      </c>
      <c r="D14" s="3">
        <f>22500+50600+120348</f>
        <v>193448</v>
      </c>
      <c r="E14" s="3"/>
      <c r="F14" s="6"/>
    </row>
    <row r="15" spans="1:6" ht="22.5" customHeight="1" x14ac:dyDescent="0.25">
      <c r="A15" s="4">
        <v>45578</v>
      </c>
      <c r="B15" s="5" t="s">
        <v>14</v>
      </c>
      <c r="C15" s="3">
        <v>148751.42587376788</v>
      </c>
      <c r="D15" s="3">
        <f>30330+259470</f>
        <v>289800</v>
      </c>
      <c r="E15" s="3"/>
      <c r="F15" s="6"/>
    </row>
    <row r="16" spans="1:6" ht="22.5" customHeight="1" x14ac:dyDescent="0.25">
      <c r="A16" s="4">
        <v>45579</v>
      </c>
      <c r="B16" s="4" t="s">
        <v>8</v>
      </c>
      <c r="C16" s="3">
        <v>108766.51112178866</v>
      </c>
      <c r="D16" s="3">
        <f>14120</f>
        <v>14120</v>
      </c>
      <c r="E16" s="3"/>
      <c r="F16" s="6"/>
    </row>
    <row r="17" spans="1:6" ht="22.5" customHeight="1" x14ac:dyDescent="0.25">
      <c r="A17" s="4">
        <v>45580</v>
      </c>
      <c r="B17" s="4" t="s">
        <v>9</v>
      </c>
      <c r="C17" s="3">
        <v>119998.778361637</v>
      </c>
      <c r="D17" s="3">
        <f>103716+43215</f>
        <v>146931</v>
      </c>
      <c r="E17" s="3"/>
      <c r="F17" s="6"/>
    </row>
    <row r="18" spans="1:6" ht="22.5" customHeight="1" x14ac:dyDescent="0.25">
      <c r="A18" s="4">
        <v>45581</v>
      </c>
      <c r="B18" s="4" t="s">
        <v>10</v>
      </c>
      <c r="C18" s="3">
        <v>137145.72871435332</v>
      </c>
      <c r="D18" s="3">
        <f>14120+19640</f>
        <v>33760</v>
      </c>
      <c r="E18" s="3"/>
      <c r="F18" s="6"/>
    </row>
    <row r="19" spans="1:6" ht="22.5" customHeight="1" x14ac:dyDescent="0.25">
      <c r="A19" s="4">
        <v>45582</v>
      </c>
      <c r="B19" s="4" t="s">
        <v>11</v>
      </c>
      <c r="C19" s="3">
        <v>105619.29016671219</v>
      </c>
      <c r="D19" s="3">
        <f>25160+49900+98100+15800+15378+31060+37082+185520</f>
        <v>458000</v>
      </c>
      <c r="E19" s="3"/>
      <c r="F19" s="6"/>
    </row>
    <row r="20" spans="1:6" ht="22.5" customHeight="1" x14ac:dyDescent="0.25">
      <c r="A20" s="4">
        <v>45583</v>
      </c>
      <c r="B20" s="5" t="s">
        <v>12</v>
      </c>
      <c r="C20" s="3">
        <v>136556.56195717948</v>
      </c>
      <c r="D20" s="3">
        <f>155608+157462+49730</f>
        <v>362800</v>
      </c>
      <c r="E20" s="3"/>
      <c r="F20" s="6"/>
    </row>
    <row r="21" spans="1:6" ht="22.5" customHeight="1" x14ac:dyDescent="0.25">
      <c r="A21" s="4">
        <v>45584</v>
      </c>
      <c r="B21" s="5" t="s">
        <v>13</v>
      </c>
      <c r="C21" s="3">
        <v>212381.12475146729</v>
      </c>
      <c r="D21" s="3">
        <f>15600+22630</f>
        <v>38230</v>
      </c>
      <c r="E21" s="3"/>
      <c r="F21" s="6"/>
    </row>
    <row r="22" spans="1:6" ht="22.5" customHeight="1" x14ac:dyDescent="0.25">
      <c r="A22" s="4">
        <v>45585</v>
      </c>
      <c r="B22" s="5" t="s">
        <v>14</v>
      </c>
      <c r="C22" s="3">
        <v>128727.21682908238</v>
      </c>
      <c r="D22" s="3">
        <v>20560</v>
      </c>
      <c r="E22" s="3"/>
      <c r="F22" s="6"/>
    </row>
    <row r="23" spans="1:6" ht="22.5" customHeight="1" x14ac:dyDescent="0.25">
      <c r="A23" s="4">
        <v>45586</v>
      </c>
      <c r="B23" s="4" t="s">
        <v>8</v>
      </c>
      <c r="C23" s="3">
        <v>117184.14045475764</v>
      </c>
      <c r="D23" s="3">
        <f>17240+32309+21560</f>
        <v>71109</v>
      </c>
      <c r="E23" s="3"/>
      <c r="F23" s="6"/>
    </row>
    <row r="24" spans="1:6" ht="22.5" customHeight="1" x14ac:dyDescent="0.25">
      <c r="A24" s="4">
        <v>45587</v>
      </c>
      <c r="B24" s="4" t="s">
        <v>9</v>
      </c>
      <c r="C24" s="3">
        <v>110372.91532910669</v>
      </c>
      <c r="D24" s="3">
        <v>128695</v>
      </c>
      <c r="E24" s="3"/>
      <c r="F24" s="6"/>
    </row>
    <row r="25" spans="1:6" ht="22.5" customHeight="1" x14ac:dyDescent="0.25">
      <c r="A25" s="4">
        <v>45588</v>
      </c>
      <c r="B25" s="4" t="s">
        <v>10</v>
      </c>
      <c r="C25" s="3">
        <v>126158.81149906971</v>
      </c>
      <c r="D25" s="3">
        <f>16509+42053</f>
        <v>58562</v>
      </c>
      <c r="E25" s="3"/>
      <c r="F25" s="6"/>
    </row>
    <row r="26" spans="1:6" ht="22.5" customHeight="1" x14ac:dyDescent="0.25">
      <c r="A26" s="4">
        <v>45589</v>
      </c>
      <c r="B26" s="4" t="s">
        <v>11</v>
      </c>
      <c r="C26" s="3">
        <v>149063.74620765349</v>
      </c>
      <c r="D26" s="3">
        <f>18649+15330+25600</f>
        <v>59579</v>
      </c>
      <c r="E26" s="3"/>
      <c r="F26" s="6"/>
    </row>
    <row r="27" spans="1:6" ht="22.5" customHeight="1" x14ac:dyDescent="0.25">
      <c r="A27" s="4">
        <v>45590</v>
      </c>
      <c r="B27" s="5" t="s">
        <v>12</v>
      </c>
      <c r="C27" s="3">
        <v>134127.9002362313</v>
      </c>
      <c r="D27" s="3">
        <f>93251+26800+19640+20730</f>
        <v>160421</v>
      </c>
      <c r="E27" s="3"/>
      <c r="F27" s="6"/>
    </row>
    <row r="28" spans="1:6" ht="22.5" customHeight="1" x14ac:dyDescent="0.25">
      <c r="A28" s="4">
        <v>45591</v>
      </c>
      <c r="B28" s="5" t="s">
        <v>13</v>
      </c>
      <c r="C28" s="3">
        <v>219262.1803763482</v>
      </c>
      <c r="D28" s="3">
        <f>47260+73760+108260</f>
        <v>229280</v>
      </c>
      <c r="E28" s="3"/>
      <c r="F28" s="6"/>
    </row>
    <row r="29" spans="1:6" ht="22.5" customHeight="1" x14ac:dyDescent="0.25">
      <c r="A29" s="4">
        <v>45592</v>
      </c>
      <c r="B29" s="5" t="s">
        <v>14</v>
      </c>
      <c r="C29" s="3">
        <v>188647.21224657606</v>
      </c>
      <c r="D29" s="3">
        <f>48980+96131+26800+20560</f>
        <v>192471</v>
      </c>
      <c r="E29" s="3"/>
      <c r="F29" s="6"/>
    </row>
    <row r="30" spans="1:6" ht="22.5" customHeight="1" x14ac:dyDescent="0.25">
      <c r="A30" s="4">
        <v>45593</v>
      </c>
      <c r="B30" s="4" t="s">
        <v>8</v>
      </c>
      <c r="C30" s="3">
        <v>115707.17140523462</v>
      </c>
      <c r="D30" s="3">
        <f>14810+17240</f>
        <v>32050</v>
      </c>
      <c r="E30" s="3"/>
      <c r="F30" s="6"/>
    </row>
    <row r="31" spans="1:6" ht="22.5" customHeight="1" x14ac:dyDescent="0.25">
      <c r="A31" s="4">
        <v>45594</v>
      </c>
      <c r="B31" s="4" t="s">
        <v>9</v>
      </c>
      <c r="C31" s="3">
        <v>112562.92933692751</v>
      </c>
      <c r="D31" s="3">
        <f>32360+30330</f>
        <v>62690</v>
      </c>
      <c r="E31" s="3"/>
      <c r="F31" s="6"/>
    </row>
    <row r="32" spans="1:6" ht="22.5" customHeight="1" x14ac:dyDescent="0.25">
      <c r="A32" s="4">
        <v>45595</v>
      </c>
      <c r="B32" s="4" t="s">
        <v>10</v>
      </c>
      <c r="C32" s="3">
        <v>108690.40226693028</v>
      </c>
      <c r="D32" s="3">
        <f>47869+19150</f>
        <v>67019</v>
      </c>
      <c r="E32" s="3"/>
      <c r="F32" s="6"/>
    </row>
    <row r="33" spans="1:6" ht="22.5" customHeight="1" x14ac:dyDescent="0.25">
      <c r="A33" s="4">
        <v>45596</v>
      </c>
      <c r="B33" s="4" t="s">
        <v>11</v>
      </c>
      <c r="C33" s="3">
        <v>123716.52147242508</v>
      </c>
      <c r="D33" s="3">
        <f>28592+125000</f>
        <v>153592</v>
      </c>
      <c r="E33" s="3"/>
      <c r="F33" s="6"/>
    </row>
  </sheetData>
  <mergeCells count="1">
    <mergeCell ref="A1:B1"/>
  </mergeCells>
  <conditionalFormatting sqref="C3:C3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 A3:B3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AF9E-0466-423C-8AA9-E1624E4DD543}">
  <dimension ref="A1:F33"/>
  <sheetViews>
    <sheetView workbookViewId="0">
      <selection activeCell="D25" sqref="D25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f>SUM(C3:C33)</f>
        <v>4315070.1848218301</v>
      </c>
      <c r="D1" s="3">
        <f>SUM(D3:D33)</f>
        <v>4654969</v>
      </c>
      <c r="E1" s="3">
        <f>C1-D1</f>
        <v>-339898.81517816987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185520</v>
      </c>
      <c r="F2" s="3">
        <f ca="1">IF(E2="土",RAND()*(250000-150000)+150000,IF(E2="日",RAND()*(200000-100000)+100000,RAND()*(150000-100000)+100000))</f>
        <v>128397.17426664391</v>
      </c>
    </row>
    <row r="3" spans="1:6" ht="22.5" customHeight="1" x14ac:dyDescent="0.25">
      <c r="A3" s="4">
        <v>45566</v>
      </c>
      <c r="B3" s="4" t="s">
        <v>9</v>
      </c>
      <c r="C3" s="3">
        <v>118605.193649803</v>
      </c>
      <c r="D3" s="3">
        <f>32700+41494+78477</f>
        <v>152671</v>
      </c>
      <c r="E3" s="3"/>
      <c r="F3" s="6"/>
    </row>
    <row r="4" spans="1:6" ht="22.5" customHeight="1" x14ac:dyDescent="0.25">
      <c r="A4" s="4">
        <v>45567</v>
      </c>
      <c r="B4" s="4" t="s">
        <v>10</v>
      </c>
      <c r="C4" s="3">
        <v>122190.02899615029</v>
      </c>
      <c r="D4" s="3">
        <f>19640+100160+15664</f>
        <v>135464</v>
      </c>
      <c r="E4" s="3"/>
      <c r="F4" s="6"/>
    </row>
    <row r="5" spans="1:6" ht="22.5" customHeight="1" x14ac:dyDescent="0.25">
      <c r="A5" s="4">
        <v>45568</v>
      </c>
      <c r="B5" s="4" t="s">
        <v>11</v>
      </c>
      <c r="C5" s="3">
        <v>102553.76893941822</v>
      </c>
      <c r="D5" s="3">
        <f>17830+41600+129160</f>
        <v>188590</v>
      </c>
      <c r="E5" s="3"/>
      <c r="F5" s="6"/>
    </row>
    <row r="6" spans="1:6" ht="22.5" customHeight="1" x14ac:dyDescent="0.25">
      <c r="A6" s="4">
        <v>45569</v>
      </c>
      <c r="B6" s="5" t="s">
        <v>12</v>
      </c>
      <c r="C6" s="3">
        <v>113729.92181416086</v>
      </c>
      <c r="D6" s="3">
        <f>27760+161126+120516+81282</f>
        <v>390684</v>
      </c>
      <c r="E6" s="3"/>
      <c r="F6" s="6"/>
    </row>
    <row r="7" spans="1:6" ht="22.5" customHeight="1" x14ac:dyDescent="0.25">
      <c r="A7" s="4">
        <v>45570</v>
      </c>
      <c r="B7" s="5" t="s">
        <v>13</v>
      </c>
      <c r="C7" s="3">
        <v>202572.41536238085</v>
      </c>
      <c r="D7" s="3">
        <f>26900+49480+124386</f>
        <v>200766</v>
      </c>
      <c r="E7" s="3"/>
      <c r="F7" s="6"/>
    </row>
    <row r="8" spans="1:6" ht="22.5" customHeight="1" x14ac:dyDescent="0.25">
      <c r="A8" s="4">
        <v>45571</v>
      </c>
      <c r="B8" s="5" t="s">
        <v>14</v>
      </c>
      <c r="C8" s="3">
        <v>174254.99813195269</v>
      </c>
      <c r="D8" s="3">
        <f>50040+63120+131433</f>
        <v>244593</v>
      </c>
      <c r="E8" s="6"/>
      <c r="F8" s="6"/>
    </row>
    <row r="9" spans="1:6" ht="22.5" customHeight="1" x14ac:dyDescent="0.25">
      <c r="A9" s="4">
        <v>45572</v>
      </c>
      <c r="B9" s="4" t="s">
        <v>8</v>
      </c>
      <c r="C9" s="3">
        <v>118219.99125458367</v>
      </c>
      <c r="D9" s="3">
        <v>26800</v>
      </c>
      <c r="E9" s="3"/>
      <c r="F9" s="6"/>
    </row>
    <row r="10" spans="1:6" ht="22.5" customHeight="1" x14ac:dyDescent="0.25">
      <c r="A10" s="4">
        <v>45573</v>
      </c>
      <c r="B10" s="4" t="s">
        <v>9</v>
      </c>
      <c r="C10" s="3">
        <v>146099.07041836553</v>
      </c>
      <c r="D10" s="3">
        <f>68702+47260</f>
        <v>115962</v>
      </c>
      <c r="E10" s="3"/>
      <c r="F10" s="6"/>
    </row>
    <row r="11" spans="1:6" ht="22.5" customHeight="1" x14ac:dyDescent="0.25">
      <c r="A11" s="4">
        <v>45574</v>
      </c>
      <c r="B11" s="4" t="s">
        <v>10</v>
      </c>
      <c r="C11" s="3">
        <v>120493.84408229042</v>
      </c>
      <c r="D11" s="3">
        <f>91178+15432+49230</f>
        <v>155840</v>
      </c>
      <c r="E11" s="3"/>
      <c r="F11" s="6"/>
    </row>
    <row r="12" spans="1:6" ht="22.5" customHeight="1" x14ac:dyDescent="0.25">
      <c r="A12" s="4">
        <v>45575</v>
      </c>
      <c r="B12" s="4" t="s">
        <v>11</v>
      </c>
      <c r="C12" s="3">
        <v>116983.52306912033</v>
      </c>
      <c r="D12" s="3">
        <f>67652+60350</f>
        <v>128002</v>
      </c>
      <c r="E12" s="3"/>
      <c r="F12" s="6"/>
    </row>
    <row r="13" spans="1:6" ht="22.5" customHeight="1" x14ac:dyDescent="0.25">
      <c r="A13" s="4">
        <v>45576</v>
      </c>
      <c r="B13" s="5" t="s">
        <v>12</v>
      </c>
      <c r="C13" s="3">
        <v>131821.60542373898</v>
      </c>
      <c r="D13" s="3">
        <f>27591+114889</f>
        <v>142480</v>
      </c>
      <c r="E13" s="3"/>
      <c r="F13" s="6"/>
    </row>
    <row r="14" spans="1:6" ht="22.5" customHeight="1" x14ac:dyDescent="0.25">
      <c r="A14" s="4">
        <v>45577</v>
      </c>
      <c r="B14" s="5" t="s">
        <v>13</v>
      </c>
      <c r="C14" s="3">
        <v>244105.25507261683</v>
      </c>
      <c r="D14" s="3">
        <f>22500+50600+120348</f>
        <v>193448</v>
      </c>
      <c r="E14" s="3"/>
      <c r="F14" s="6"/>
    </row>
    <row r="15" spans="1:6" ht="22.5" customHeight="1" x14ac:dyDescent="0.25">
      <c r="A15" s="4">
        <v>45578</v>
      </c>
      <c r="B15" s="5" t="s">
        <v>14</v>
      </c>
      <c r="C15" s="3">
        <v>148751.42587376788</v>
      </c>
      <c r="D15" s="3">
        <f>30330+259470</f>
        <v>289800</v>
      </c>
      <c r="E15" s="3"/>
      <c r="F15" s="6"/>
    </row>
    <row r="16" spans="1:6" ht="22.5" customHeight="1" x14ac:dyDescent="0.25">
      <c r="A16" s="4">
        <v>45579</v>
      </c>
      <c r="B16" s="4" t="s">
        <v>8</v>
      </c>
      <c r="C16" s="3">
        <v>108766.51112178866</v>
      </c>
      <c r="D16" s="3">
        <f>14120</f>
        <v>14120</v>
      </c>
      <c r="E16" s="3"/>
      <c r="F16" s="6"/>
    </row>
    <row r="17" spans="1:6" ht="22.5" customHeight="1" x14ac:dyDescent="0.25">
      <c r="A17" s="4">
        <v>45580</v>
      </c>
      <c r="B17" s="4" t="s">
        <v>9</v>
      </c>
      <c r="C17" s="3">
        <v>119998.778361637</v>
      </c>
      <c r="D17" s="3">
        <f>103716+43215</f>
        <v>146931</v>
      </c>
      <c r="E17" s="3"/>
      <c r="F17" s="6"/>
    </row>
    <row r="18" spans="1:6" ht="22.5" customHeight="1" x14ac:dyDescent="0.25">
      <c r="A18" s="4">
        <v>45581</v>
      </c>
      <c r="B18" s="4" t="s">
        <v>10</v>
      </c>
      <c r="C18" s="3">
        <v>137145.72871435332</v>
      </c>
      <c r="D18" s="3">
        <f>14120+19640</f>
        <v>33760</v>
      </c>
      <c r="E18" s="3"/>
      <c r="F18" s="6"/>
    </row>
    <row r="19" spans="1:6" ht="22.5" customHeight="1" x14ac:dyDescent="0.25">
      <c r="A19" s="4">
        <v>45582</v>
      </c>
      <c r="B19" s="4" t="s">
        <v>11</v>
      </c>
      <c r="C19" s="3">
        <v>105619.29016671219</v>
      </c>
      <c r="D19" s="3">
        <f>25160+49900+98100+15800+15378+31060+37082+185520</f>
        <v>458000</v>
      </c>
      <c r="E19" s="3">
        <v>185520</v>
      </c>
      <c r="F19" s="6"/>
    </row>
    <row r="20" spans="1:6" ht="22.5" customHeight="1" x14ac:dyDescent="0.25">
      <c r="A20" s="4">
        <v>45583</v>
      </c>
      <c r="B20" s="5" t="s">
        <v>12</v>
      </c>
      <c r="C20" s="3">
        <v>136556.56195717948</v>
      </c>
      <c r="D20" s="3">
        <f>155608+157462+49730</f>
        <v>362800</v>
      </c>
      <c r="E20" s="3"/>
      <c r="F20" s="6"/>
    </row>
    <row r="21" spans="1:6" ht="22.5" customHeight="1" x14ac:dyDescent="0.25">
      <c r="A21" s="4">
        <v>45584</v>
      </c>
      <c r="B21" s="5" t="s">
        <v>13</v>
      </c>
      <c r="C21" s="3">
        <v>212381.12475146729</v>
      </c>
      <c r="D21" s="3">
        <f>15600+22630</f>
        <v>38230</v>
      </c>
      <c r="E21" s="3"/>
      <c r="F21" s="6"/>
    </row>
    <row r="22" spans="1:6" ht="22.5" customHeight="1" x14ac:dyDescent="0.25">
      <c r="A22" s="4">
        <v>45585</v>
      </c>
      <c r="B22" s="5" t="s">
        <v>14</v>
      </c>
      <c r="C22" s="3">
        <v>128727.21682908238</v>
      </c>
      <c r="D22" s="3">
        <v>20560</v>
      </c>
      <c r="E22" s="3"/>
      <c r="F22" s="6"/>
    </row>
    <row r="23" spans="1:6" ht="22.5" customHeight="1" x14ac:dyDescent="0.25">
      <c r="A23" s="4">
        <v>45586</v>
      </c>
      <c r="B23" s="4" t="s">
        <v>8</v>
      </c>
      <c r="C23" s="3">
        <v>117184.14045475764</v>
      </c>
      <c r="D23" s="3">
        <f>17240+32309+21560</f>
        <v>71109</v>
      </c>
      <c r="E23" s="3"/>
      <c r="F23" s="6"/>
    </row>
    <row r="24" spans="1:6" ht="22.5" customHeight="1" x14ac:dyDescent="0.25">
      <c r="A24" s="4">
        <v>45587</v>
      </c>
      <c r="B24" s="4" t="s">
        <v>9</v>
      </c>
      <c r="C24" s="3">
        <v>110372.91532910669</v>
      </c>
      <c r="D24" s="3">
        <v>128695</v>
      </c>
      <c r="E24" s="3"/>
      <c r="F24" s="6"/>
    </row>
    <row r="25" spans="1:6" ht="22.5" customHeight="1" x14ac:dyDescent="0.25">
      <c r="A25" s="4">
        <v>45588</v>
      </c>
      <c r="B25" s="4" t="s">
        <v>10</v>
      </c>
      <c r="C25" s="3">
        <v>126158.81149906971</v>
      </c>
      <c r="D25" s="3">
        <f>16509+42053</f>
        <v>58562</v>
      </c>
      <c r="E25" s="3"/>
      <c r="F25" s="6"/>
    </row>
    <row r="26" spans="1:6" ht="22.5" customHeight="1" x14ac:dyDescent="0.25">
      <c r="A26" s="4">
        <v>45589</v>
      </c>
      <c r="B26" s="4" t="s">
        <v>11</v>
      </c>
      <c r="C26" s="3">
        <v>149063.74620765349</v>
      </c>
      <c r="D26" s="3">
        <f>18649+15330+25600</f>
        <v>59579</v>
      </c>
      <c r="E26" s="3"/>
      <c r="F26" s="6"/>
    </row>
    <row r="27" spans="1:6" ht="22.5" customHeight="1" x14ac:dyDescent="0.25">
      <c r="A27" s="4">
        <v>45590</v>
      </c>
      <c r="B27" s="5" t="s">
        <v>12</v>
      </c>
      <c r="C27" s="3">
        <v>134127.9002362313</v>
      </c>
      <c r="D27" s="3">
        <f>93251+26800+19640+20730</f>
        <v>160421</v>
      </c>
      <c r="E27" s="3"/>
      <c r="F27" s="6"/>
    </row>
    <row r="28" spans="1:6" ht="22.5" customHeight="1" x14ac:dyDescent="0.25">
      <c r="A28" s="4">
        <v>45591</v>
      </c>
      <c r="B28" s="5" t="s">
        <v>13</v>
      </c>
      <c r="C28" s="3">
        <v>219262.1803763482</v>
      </c>
      <c r="D28" s="3">
        <f>47260+73760+108260</f>
        <v>229280</v>
      </c>
      <c r="E28" s="3"/>
      <c r="F28" s="6"/>
    </row>
    <row r="29" spans="1:6" ht="22.5" customHeight="1" x14ac:dyDescent="0.25">
      <c r="A29" s="4">
        <v>45592</v>
      </c>
      <c r="B29" s="5" t="s">
        <v>14</v>
      </c>
      <c r="C29" s="3">
        <v>188647.21224657606</v>
      </c>
      <c r="D29" s="3">
        <f>48980+96131+26800+20560</f>
        <v>192471</v>
      </c>
      <c r="E29" s="3"/>
      <c r="F29" s="6"/>
    </row>
    <row r="30" spans="1:6" ht="22.5" customHeight="1" x14ac:dyDescent="0.25">
      <c r="A30" s="4">
        <v>45593</v>
      </c>
      <c r="B30" s="4" t="s">
        <v>8</v>
      </c>
      <c r="C30" s="3">
        <v>115707.17140523462</v>
      </c>
      <c r="D30" s="3">
        <f>14810+17240</f>
        <v>32050</v>
      </c>
      <c r="E30" s="3"/>
      <c r="F30" s="6"/>
    </row>
    <row r="31" spans="1:6" ht="22.5" customHeight="1" x14ac:dyDescent="0.25">
      <c r="A31" s="4">
        <v>45594</v>
      </c>
      <c r="B31" s="4" t="s">
        <v>9</v>
      </c>
      <c r="C31" s="3">
        <v>112562.92933692751</v>
      </c>
      <c r="D31" s="3">
        <f>32360+30330</f>
        <v>62690</v>
      </c>
      <c r="E31" s="3"/>
      <c r="F31" s="6"/>
    </row>
    <row r="32" spans="1:6" ht="22.5" customHeight="1" x14ac:dyDescent="0.25">
      <c r="A32" s="4">
        <v>45595</v>
      </c>
      <c r="B32" s="4" t="s">
        <v>10</v>
      </c>
      <c r="C32" s="3">
        <v>108690.40226693028</v>
      </c>
      <c r="D32" s="3">
        <f>47869+19150</f>
        <v>67019</v>
      </c>
      <c r="E32" s="3"/>
      <c r="F32" s="6"/>
    </row>
    <row r="33" spans="1:6" ht="22.5" customHeight="1" x14ac:dyDescent="0.25">
      <c r="A33" s="4">
        <v>45596</v>
      </c>
      <c r="B33" s="4" t="s">
        <v>11</v>
      </c>
      <c r="C33" s="3">
        <v>123716.52147242508</v>
      </c>
      <c r="D33" s="3">
        <f>28592+125000</f>
        <v>153592</v>
      </c>
      <c r="E33" s="3"/>
      <c r="F33" s="6"/>
    </row>
  </sheetData>
  <mergeCells count="1">
    <mergeCell ref="A1:B1"/>
  </mergeCells>
  <conditionalFormatting sqref="C3:C3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 A3:B3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F812-E78C-4E6C-8DBD-57417691AEC5}">
  <dimension ref="A1:F33"/>
  <sheetViews>
    <sheetView workbookViewId="0">
      <selection activeCell="C31" sqref="C31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f>SUM(C3:C33)</f>
        <v>4504799.6153530097</v>
      </c>
      <c r="D1" s="3">
        <f>SUM(D3:D33)</f>
        <v>4319921</v>
      </c>
      <c r="E1" s="3">
        <f>C1-D1</f>
        <v>184878.61535300966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114629.18665940761</v>
      </c>
    </row>
    <row r="3" spans="1:6" ht="22.5" customHeight="1" x14ac:dyDescent="0.25">
      <c r="A3" s="4">
        <v>45597</v>
      </c>
      <c r="B3" s="5" t="s">
        <v>12</v>
      </c>
      <c r="C3" s="3">
        <v>149577.94980481252</v>
      </c>
      <c r="D3" s="3">
        <f>37054+136690+26800</f>
        <v>200544</v>
      </c>
      <c r="E3" s="3"/>
      <c r="F3" s="6"/>
    </row>
    <row r="4" spans="1:6" ht="22.5" customHeight="1" x14ac:dyDescent="0.25">
      <c r="A4" s="4">
        <v>45598</v>
      </c>
      <c r="B4" s="5" t="s">
        <v>13</v>
      </c>
      <c r="C4" s="3">
        <v>224111.08783298684</v>
      </c>
      <c r="D4" s="3">
        <f>21930+85600+20730+96720+19640</f>
        <v>244620</v>
      </c>
      <c r="E4" s="3"/>
      <c r="F4" s="6"/>
    </row>
    <row r="5" spans="1:6" ht="22.5" customHeight="1" x14ac:dyDescent="0.25">
      <c r="A5" s="4">
        <v>45599</v>
      </c>
      <c r="B5" s="5" t="s">
        <v>14</v>
      </c>
      <c r="C5" s="3">
        <v>166416.18348518043</v>
      </c>
      <c r="D5" s="3">
        <v>120800</v>
      </c>
      <c r="E5" s="3"/>
      <c r="F5" s="6"/>
    </row>
    <row r="6" spans="1:6" ht="22.5" customHeight="1" x14ac:dyDescent="0.25">
      <c r="A6" s="4">
        <v>45600</v>
      </c>
      <c r="B6" s="4" t="s">
        <v>8</v>
      </c>
      <c r="C6" s="3">
        <v>136679.20562569943</v>
      </c>
      <c r="D6" s="3">
        <v>48400</v>
      </c>
      <c r="E6" s="3"/>
      <c r="F6" s="6"/>
    </row>
    <row r="7" spans="1:6" ht="22.5" customHeight="1" x14ac:dyDescent="0.25">
      <c r="A7" s="4">
        <v>45601</v>
      </c>
      <c r="B7" s="4" t="s">
        <v>9</v>
      </c>
      <c r="C7" s="3">
        <v>120656.15934004799</v>
      </c>
      <c r="D7" s="3">
        <f>50480+52841+34204</f>
        <v>137525</v>
      </c>
      <c r="E7" s="3"/>
      <c r="F7" s="6"/>
    </row>
    <row r="8" spans="1:6" ht="22.5" customHeight="1" x14ac:dyDescent="0.25">
      <c r="A8" s="4">
        <v>45602</v>
      </c>
      <c r="B8" s="4" t="s">
        <v>10</v>
      </c>
      <c r="C8" s="3">
        <v>124769.81971504097</v>
      </c>
      <c r="D8" s="3">
        <f>27330+33299+51305+9560</f>
        <v>121494</v>
      </c>
      <c r="E8" s="6"/>
      <c r="F8" s="6"/>
    </row>
    <row r="9" spans="1:6" ht="22.5" customHeight="1" x14ac:dyDescent="0.25">
      <c r="A9" s="4">
        <v>45603</v>
      </c>
      <c r="B9" s="4" t="s">
        <v>11</v>
      </c>
      <c r="C9" s="3">
        <v>135405.86197744956</v>
      </c>
      <c r="D9" s="3">
        <f>24491+55080+44983</f>
        <v>124554</v>
      </c>
      <c r="E9" s="3"/>
      <c r="F9" s="6"/>
    </row>
    <row r="10" spans="1:6" ht="22.5" customHeight="1" x14ac:dyDescent="0.25">
      <c r="A10" s="4">
        <v>45604</v>
      </c>
      <c r="B10" s="5" t="s">
        <v>12</v>
      </c>
      <c r="C10" s="3">
        <v>138641.51191990956</v>
      </c>
      <c r="D10" s="3">
        <f>195870+31095+45784+9760</f>
        <v>282509</v>
      </c>
      <c r="E10" s="3"/>
      <c r="F10" s="6"/>
    </row>
    <row r="11" spans="1:6" ht="22.5" customHeight="1" x14ac:dyDescent="0.25">
      <c r="A11" s="4">
        <v>45605</v>
      </c>
      <c r="B11" s="5" t="s">
        <v>13</v>
      </c>
      <c r="C11" s="3">
        <v>178650.36114588988</v>
      </c>
      <c r="D11" s="3">
        <f>59200+16170+19640+73516+118322</f>
        <v>286848</v>
      </c>
      <c r="E11" s="3"/>
      <c r="F11" s="6"/>
    </row>
    <row r="12" spans="1:6" ht="22.5" customHeight="1" x14ac:dyDescent="0.25">
      <c r="A12" s="4">
        <v>45606</v>
      </c>
      <c r="B12" s="5" t="s">
        <v>14</v>
      </c>
      <c r="C12" s="3">
        <v>193892.6071407565</v>
      </c>
      <c r="D12" s="3">
        <f>347236</f>
        <v>347236</v>
      </c>
      <c r="E12" s="3"/>
      <c r="F12" s="6"/>
    </row>
    <row r="13" spans="1:6" ht="22.5" customHeight="1" x14ac:dyDescent="0.25">
      <c r="A13" s="4">
        <v>45607</v>
      </c>
      <c r="B13" s="4" t="s">
        <v>8</v>
      </c>
      <c r="C13" s="3">
        <v>142629.88092660584</v>
      </c>
      <c r="D13" s="3">
        <v>76958</v>
      </c>
      <c r="E13" s="3"/>
      <c r="F13" s="6"/>
    </row>
    <row r="14" spans="1:6" ht="22.5" customHeight="1" x14ac:dyDescent="0.25">
      <c r="A14" s="4">
        <v>45608</v>
      </c>
      <c r="B14" s="4" t="s">
        <v>9</v>
      </c>
      <c r="C14" s="3">
        <v>145220.09836394186</v>
      </c>
      <c r="D14" s="3">
        <f>74169+42220+50730</f>
        <v>167119</v>
      </c>
      <c r="E14" s="3"/>
      <c r="F14" s="6"/>
    </row>
    <row r="15" spans="1:6" ht="22.5" customHeight="1" x14ac:dyDescent="0.25">
      <c r="A15" s="4">
        <v>45609</v>
      </c>
      <c r="B15" s="4" t="s">
        <v>10</v>
      </c>
      <c r="C15" s="3">
        <v>145033.0934827461</v>
      </c>
      <c r="D15" s="3">
        <f>60000+40400+15600</f>
        <v>116000</v>
      </c>
      <c r="E15" s="3"/>
      <c r="F15" s="6"/>
    </row>
    <row r="16" spans="1:6" ht="22.5" customHeight="1" x14ac:dyDescent="0.25">
      <c r="A16" s="4">
        <v>45610</v>
      </c>
      <c r="B16" s="4" t="s">
        <v>11</v>
      </c>
      <c r="C16" s="3">
        <v>139258.72970197396</v>
      </c>
      <c r="D16" s="3">
        <f>26800+21560</f>
        <v>48360</v>
      </c>
      <c r="E16" s="3"/>
      <c r="F16" s="6"/>
    </row>
    <row r="17" spans="1:6" ht="22.5" customHeight="1" x14ac:dyDescent="0.25">
      <c r="A17" s="4">
        <v>45611</v>
      </c>
      <c r="B17" s="5" t="s">
        <v>12</v>
      </c>
      <c r="C17" s="3">
        <v>135986.45687504465</v>
      </c>
      <c r="D17" s="3">
        <f>105581+74200+31900+10930+27330</f>
        <v>249941</v>
      </c>
      <c r="E17" s="3"/>
      <c r="F17" s="6"/>
    </row>
    <row r="18" spans="1:6" ht="22.5" customHeight="1" x14ac:dyDescent="0.25">
      <c r="A18" s="4">
        <v>45612</v>
      </c>
      <c r="B18" s="5" t="s">
        <v>13</v>
      </c>
      <c r="C18" s="3">
        <v>211012.27218761845</v>
      </c>
      <c r="D18" s="3">
        <f>71874+64839+7458</f>
        <v>144171</v>
      </c>
      <c r="E18" s="3"/>
      <c r="F18" s="6"/>
    </row>
    <row r="19" spans="1:6" ht="22.5" customHeight="1" x14ac:dyDescent="0.25">
      <c r="A19" s="4">
        <v>45613</v>
      </c>
      <c r="B19" s="5" t="s">
        <v>14</v>
      </c>
      <c r="C19" s="3">
        <v>143082.26623939472</v>
      </c>
      <c r="D19" s="3">
        <f>47980+66233+99661</f>
        <v>213874</v>
      </c>
      <c r="E19" s="3"/>
      <c r="F19" s="6"/>
    </row>
    <row r="20" spans="1:6" ht="22.5" customHeight="1" x14ac:dyDescent="0.25">
      <c r="A20" s="4">
        <v>45614</v>
      </c>
      <c r="B20" s="4" t="s">
        <v>8</v>
      </c>
      <c r="C20" s="3">
        <v>148393.73090994172</v>
      </c>
      <c r="D20" s="3">
        <v>33310</v>
      </c>
      <c r="E20" s="3"/>
      <c r="F20" s="6"/>
    </row>
    <row r="21" spans="1:6" ht="22.5" customHeight="1" x14ac:dyDescent="0.25">
      <c r="A21" s="4">
        <v>45615</v>
      </c>
      <c r="B21" s="4" t="s">
        <v>9</v>
      </c>
      <c r="C21" s="3">
        <v>148665.43504763648</v>
      </c>
      <c r="D21" s="3">
        <v>69503</v>
      </c>
      <c r="E21" s="3"/>
      <c r="F21" s="6"/>
    </row>
    <row r="22" spans="1:6" ht="22.5" customHeight="1" x14ac:dyDescent="0.25">
      <c r="A22" s="4">
        <v>45616</v>
      </c>
      <c r="B22" s="4" t="s">
        <v>10</v>
      </c>
      <c r="C22" s="3">
        <v>139369.66834523084</v>
      </c>
      <c r="D22" s="3">
        <f>99424+97750+156050</f>
        <v>353224</v>
      </c>
      <c r="E22" s="3"/>
      <c r="F22" s="6"/>
    </row>
    <row r="23" spans="1:6" ht="22.5" customHeight="1" x14ac:dyDescent="0.25">
      <c r="A23" s="4">
        <v>45617</v>
      </c>
      <c r="B23" s="4" t="s">
        <v>11</v>
      </c>
      <c r="C23" s="3">
        <v>127897.81806340453</v>
      </c>
      <c r="D23" s="3">
        <v>177416</v>
      </c>
      <c r="E23" s="3"/>
      <c r="F23" s="6"/>
    </row>
    <row r="24" spans="1:6" ht="22.5" customHeight="1" x14ac:dyDescent="0.25">
      <c r="A24" s="4">
        <v>45618</v>
      </c>
      <c r="B24" s="5" t="s">
        <v>12</v>
      </c>
      <c r="C24" s="3">
        <v>130297.88485855826</v>
      </c>
      <c r="D24" s="3">
        <f>30440+16000</f>
        <v>46440</v>
      </c>
      <c r="E24" s="3"/>
      <c r="F24" s="6"/>
    </row>
    <row r="25" spans="1:6" ht="22.5" customHeight="1" x14ac:dyDescent="0.25">
      <c r="A25" s="4">
        <v>45619</v>
      </c>
      <c r="B25" s="5" t="s">
        <v>13</v>
      </c>
      <c r="C25" s="3">
        <v>224736.38657701662</v>
      </c>
      <c r="D25" s="3">
        <f>26800+63660+22500</f>
        <v>112960</v>
      </c>
      <c r="E25" s="3"/>
      <c r="F25" s="6"/>
    </row>
    <row r="26" spans="1:6" ht="22.5" customHeight="1" x14ac:dyDescent="0.25">
      <c r="A26" s="4">
        <v>45620</v>
      </c>
      <c r="B26" s="5" t="s">
        <v>14</v>
      </c>
      <c r="C26" s="3">
        <v>170782.98000359346</v>
      </c>
      <c r="D26" s="3">
        <v>96460</v>
      </c>
      <c r="E26" s="3"/>
      <c r="F26" s="6"/>
    </row>
    <row r="27" spans="1:6" ht="22.5" customHeight="1" x14ac:dyDescent="0.25">
      <c r="A27" s="4">
        <v>45621</v>
      </c>
      <c r="B27" s="4" t="s">
        <v>8</v>
      </c>
      <c r="C27" s="3">
        <v>107892.65477949975</v>
      </c>
      <c r="D27" s="3">
        <v>130310</v>
      </c>
      <c r="E27" s="3"/>
      <c r="F27" s="6"/>
    </row>
    <row r="28" spans="1:6" ht="22.5" customHeight="1" x14ac:dyDescent="0.25">
      <c r="A28" s="4">
        <v>45622</v>
      </c>
      <c r="B28" s="4" t="s">
        <v>9</v>
      </c>
      <c r="C28" s="3">
        <v>130702.89874770514</v>
      </c>
      <c r="D28" s="3">
        <v>51235</v>
      </c>
      <c r="E28" s="3"/>
      <c r="F28" s="6"/>
    </row>
    <row r="29" spans="1:6" ht="22.5" customHeight="1" x14ac:dyDescent="0.25">
      <c r="A29" s="4">
        <v>45623</v>
      </c>
      <c r="B29" s="4" t="s">
        <v>10</v>
      </c>
      <c r="C29" s="3">
        <v>101381.7916721394</v>
      </c>
      <c r="D29" s="3">
        <f>15600+87850+36900</f>
        <v>140350</v>
      </c>
      <c r="E29" s="3"/>
      <c r="F29" s="6"/>
    </row>
    <row r="30" spans="1:6" ht="22.5" customHeight="1" x14ac:dyDescent="0.25">
      <c r="A30" s="4">
        <v>45624</v>
      </c>
      <c r="B30" s="4" t="s">
        <v>11</v>
      </c>
      <c r="C30" s="3">
        <v>125092.74030792038</v>
      </c>
      <c r="D30" s="3">
        <v>34060</v>
      </c>
      <c r="E30" s="3"/>
      <c r="F30" s="6"/>
    </row>
    <row r="31" spans="1:6" ht="22.5" customHeight="1" x14ac:dyDescent="0.25">
      <c r="A31" s="4">
        <v>45625</v>
      </c>
      <c r="B31" s="5" t="s">
        <v>12</v>
      </c>
      <c r="C31" s="3">
        <v>111772.30122065678</v>
      </c>
      <c r="D31" s="3">
        <v>79540</v>
      </c>
      <c r="E31" s="3"/>
      <c r="F31" s="6"/>
    </row>
    <row r="32" spans="1:6" ht="22.5" customHeight="1" x14ac:dyDescent="0.25">
      <c r="A32" s="4">
        <v>45626</v>
      </c>
      <c r="B32" s="5" t="s">
        <v>13</v>
      </c>
      <c r="C32" s="3">
        <v>206789.77905460709</v>
      </c>
      <c r="D32" s="3">
        <f>31060+33100</f>
        <v>64160</v>
      </c>
      <c r="E32" s="3"/>
      <c r="F32" s="6"/>
    </row>
    <row r="33" spans="1:6" ht="22.5" customHeight="1" x14ac:dyDescent="0.25">
      <c r="A33" s="4"/>
      <c r="B33" s="4"/>
      <c r="C33" s="3"/>
      <c r="D33" s="3"/>
      <c r="E33" s="3"/>
      <c r="F33" s="6"/>
    </row>
  </sheetData>
  <mergeCells count="1">
    <mergeCell ref="A1:B1"/>
  </mergeCells>
  <conditionalFormatting sqref="C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 A3:B3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4EF9-BB39-4E9C-89CF-94ACD147A50D}">
  <dimension ref="A1:F33"/>
  <sheetViews>
    <sheetView workbookViewId="0">
      <selection activeCell="D16" sqref="D16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f>SUM(C3:C33)</f>
        <v>5740091.2017359501</v>
      </c>
      <c r="D1" s="3">
        <f>SUM(D3:D33)</f>
        <v>5708451</v>
      </c>
      <c r="E1" s="3">
        <f>C1-D1</f>
        <v>31640.201735950075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106640.87421170781</v>
      </c>
    </row>
    <row r="3" spans="1:6" ht="22.5" customHeight="1" x14ac:dyDescent="0.25">
      <c r="A3" s="4">
        <v>45627</v>
      </c>
      <c r="B3" s="5" t="s">
        <v>14</v>
      </c>
      <c r="C3" s="3">
        <v>103617.36037030148</v>
      </c>
      <c r="D3" s="3">
        <f>23220+52462+74081+26320</f>
        <v>176083</v>
      </c>
      <c r="E3" s="3"/>
      <c r="F3" s="6"/>
    </row>
    <row r="4" spans="1:6" ht="22.5" customHeight="1" x14ac:dyDescent="0.25">
      <c r="A4" s="4">
        <v>45628</v>
      </c>
      <c r="B4" s="4" t="s">
        <v>8</v>
      </c>
      <c r="C4" s="3">
        <v>128203.77296418081</v>
      </c>
      <c r="D4" s="3">
        <f>27242+49730+183258</f>
        <v>260230</v>
      </c>
      <c r="E4" s="3"/>
      <c r="F4" s="6"/>
    </row>
    <row r="5" spans="1:6" ht="22.5" customHeight="1" x14ac:dyDescent="0.25">
      <c r="A5" s="4">
        <v>45629</v>
      </c>
      <c r="B5" s="4" t="s">
        <v>9</v>
      </c>
      <c r="C5" s="3">
        <v>128729.54253246693</v>
      </c>
      <c r="D5" s="3">
        <f>59995+55890+27330</f>
        <v>143215</v>
      </c>
      <c r="E5" s="3"/>
      <c r="F5" s="6"/>
    </row>
    <row r="6" spans="1:6" ht="22.5" customHeight="1" x14ac:dyDescent="0.25">
      <c r="A6" s="4">
        <v>45630</v>
      </c>
      <c r="B6" s="4" t="s">
        <v>10</v>
      </c>
      <c r="C6" s="3">
        <v>144731.26917968423</v>
      </c>
      <c r="D6" s="3">
        <f>186350+39895</f>
        <v>226245</v>
      </c>
      <c r="E6" s="3"/>
      <c r="F6" s="6"/>
    </row>
    <row r="7" spans="1:6" ht="22.5" customHeight="1" x14ac:dyDescent="0.25">
      <c r="A7" s="4">
        <v>45631</v>
      </c>
      <c r="B7" s="4" t="s">
        <v>11</v>
      </c>
      <c r="C7" s="3">
        <v>141063.26728565647</v>
      </c>
      <c r="D7" s="3">
        <f>105221+9030</f>
        <v>114251</v>
      </c>
      <c r="E7" s="3"/>
      <c r="F7" s="6"/>
    </row>
    <row r="8" spans="1:6" ht="22.5" customHeight="1" x14ac:dyDescent="0.25">
      <c r="A8" s="4">
        <v>45632</v>
      </c>
      <c r="B8" s="5" t="s">
        <v>12</v>
      </c>
      <c r="C8" s="3">
        <v>129784.90560248996</v>
      </c>
      <c r="D8" s="3">
        <v>38200</v>
      </c>
      <c r="E8" s="6"/>
      <c r="F8" s="6"/>
    </row>
    <row r="9" spans="1:6" ht="22.5" customHeight="1" x14ac:dyDescent="0.25">
      <c r="A9" s="4">
        <v>45633</v>
      </c>
      <c r="B9" s="5" t="s">
        <v>13</v>
      </c>
      <c r="C9" s="3">
        <v>237941.36825562379</v>
      </c>
      <c r="D9" s="3">
        <f>27000+141764</f>
        <v>168764</v>
      </c>
      <c r="E9" s="3"/>
      <c r="F9" s="6"/>
    </row>
    <row r="10" spans="1:6" ht="22.5" customHeight="1" x14ac:dyDescent="0.25">
      <c r="A10" s="4">
        <v>45634</v>
      </c>
      <c r="B10" s="5" t="s">
        <v>14</v>
      </c>
      <c r="C10" s="3">
        <v>137998.1945059906</v>
      </c>
      <c r="D10" s="3">
        <f>15600+43252+30150+309365</f>
        <v>398367</v>
      </c>
      <c r="E10" s="3"/>
      <c r="F10" s="6"/>
    </row>
    <row r="11" spans="1:6" ht="22.5" customHeight="1" x14ac:dyDescent="0.25">
      <c r="A11" s="4">
        <v>45635</v>
      </c>
      <c r="B11" s="4" t="s">
        <v>8</v>
      </c>
      <c r="C11" s="3">
        <v>115118.93905288566</v>
      </c>
      <c r="D11" s="3">
        <f>14840+105752</f>
        <v>120592</v>
      </c>
      <c r="E11" s="3"/>
      <c r="F11" s="6"/>
    </row>
    <row r="12" spans="1:6" ht="22.5" customHeight="1" x14ac:dyDescent="0.25">
      <c r="A12" s="4">
        <v>45636</v>
      </c>
      <c r="B12" s="4" t="s">
        <v>9</v>
      </c>
      <c r="C12" s="3">
        <v>129478.56005509556</v>
      </c>
      <c r="D12" s="3">
        <f>55439+134080+50980</f>
        <v>240499</v>
      </c>
      <c r="E12" s="3"/>
      <c r="F12" s="6"/>
    </row>
    <row r="13" spans="1:6" ht="22.5" customHeight="1" x14ac:dyDescent="0.25">
      <c r="A13" s="4">
        <v>45637</v>
      </c>
      <c r="B13" s="4" t="s">
        <v>10</v>
      </c>
      <c r="C13" s="3">
        <v>140235.35665026365</v>
      </c>
      <c r="D13" s="3">
        <f>73494+36380</f>
        <v>109874</v>
      </c>
      <c r="E13" s="3"/>
      <c r="F13" s="6"/>
    </row>
    <row r="14" spans="1:6" ht="22.5" customHeight="1" x14ac:dyDescent="0.25">
      <c r="A14" s="4">
        <v>45638</v>
      </c>
      <c r="B14" s="4" t="s">
        <v>11</v>
      </c>
      <c r="C14" s="3">
        <v>107399.19896179686</v>
      </c>
      <c r="D14" s="3">
        <f>35588+38776+23220</f>
        <v>97584</v>
      </c>
      <c r="E14" s="3"/>
      <c r="F14" s="6"/>
    </row>
    <row r="15" spans="1:6" ht="22.5" customHeight="1" x14ac:dyDescent="0.25">
      <c r="A15" s="4">
        <v>45639</v>
      </c>
      <c r="B15" s="5" t="s">
        <v>12</v>
      </c>
      <c r="C15" s="3">
        <v>109601.06554606829</v>
      </c>
      <c r="D15" s="3">
        <f>45780+27330</f>
        <v>73110</v>
      </c>
      <c r="E15" s="3"/>
      <c r="F15" s="6"/>
    </row>
    <row r="16" spans="1:6" ht="22.5" customHeight="1" x14ac:dyDescent="0.25">
      <c r="A16" s="4">
        <v>45640</v>
      </c>
      <c r="B16" s="5" t="s">
        <v>13</v>
      </c>
      <c r="C16" s="3">
        <v>238316.43369584365</v>
      </c>
      <c r="D16" s="3">
        <f>56757+27980+142650</f>
        <v>227387</v>
      </c>
      <c r="E16" s="3"/>
      <c r="F16" s="6"/>
    </row>
    <row r="17" spans="1:6" ht="22.5" customHeight="1" x14ac:dyDescent="0.25">
      <c r="A17" s="4">
        <v>45641</v>
      </c>
      <c r="B17" s="5" t="s">
        <v>14</v>
      </c>
      <c r="C17" s="3">
        <v>117485.03914381462</v>
      </c>
      <c r="D17" s="3">
        <f>182878+31210</f>
        <v>214088</v>
      </c>
      <c r="E17" s="3"/>
      <c r="F17" s="6"/>
    </row>
    <row r="18" spans="1:6" ht="22.5" customHeight="1" x14ac:dyDescent="0.25">
      <c r="A18" s="4">
        <v>45642</v>
      </c>
      <c r="B18" s="4" t="s">
        <v>8</v>
      </c>
      <c r="C18" s="3">
        <v>122777.63837948178</v>
      </c>
      <c r="D18" s="3">
        <f>67800+198738</f>
        <v>266538</v>
      </c>
      <c r="E18" s="3"/>
      <c r="F18" s="6"/>
    </row>
    <row r="19" spans="1:6" ht="22.5" customHeight="1" x14ac:dyDescent="0.25">
      <c r="A19" s="4">
        <v>45643</v>
      </c>
      <c r="B19" s="4" t="s">
        <v>9</v>
      </c>
      <c r="C19" s="3">
        <v>115458.39545547603</v>
      </c>
      <c r="D19" s="3">
        <f>80882</f>
        <v>80882</v>
      </c>
      <c r="E19" s="3"/>
      <c r="F19" s="6"/>
    </row>
    <row r="20" spans="1:6" ht="22.5" customHeight="1" x14ac:dyDescent="0.25">
      <c r="A20" s="4">
        <v>45644</v>
      </c>
      <c r="B20" s="4" t="s">
        <v>10</v>
      </c>
      <c r="C20" s="3">
        <v>141071.85386429584</v>
      </c>
      <c r="D20" s="3">
        <f>29795+34150</f>
        <v>63945</v>
      </c>
      <c r="E20" s="3"/>
      <c r="F20" s="6"/>
    </row>
    <row r="21" spans="1:6" ht="22.5" customHeight="1" x14ac:dyDescent="0.25">
      <c r="A21" s="4">
        <v>45645</v>
      </c>
      <c r="B21" s="4" t="s">
        <v>11</v>
      </c>
      <c r="C21" s="3">
        <v>140735.8057326788</v>
      </c>
      <c r="D21" s="3">
        <f>49480+30531+247750</f>
        <v>327761</v>
      </c>
      <c r="E21" s="3"/>
      <c r="F21" s="6"/>
    </row>
    <row r="22" spans="1:6" ht="22.5" customHeight="1" x14ac:dyDescent="0.25">
      <c r="A22" s="4">
        <v>45646</v>
      </c>
      <c r="B22" s="5" t="s">
        <v>12</v>
      </c>
      <c r="C22" s="3">
        <v>113350.27074130907</v>
      </c>
      <c r="D22" s="3">
        <f>92902+80400+74996</f>
        <v>248298</v>
      </c>
      <c r="E22" s="3"/>
      <c r="F22" s="6"/>
    </row>
    <row r="23" spans="1:6" ht="22.5" customHeight="1" x14ac:dyDescent="0.25">
      <c r="A23" s="4">
        <v>45647</v>
      </c>
      <c r="B23" s="5" t="s">
        <v>13</v>
      </c>
      <c r="C23" s="3">
        <v>227642.41497650131</v>
      </c>
      <c r="D23" s="3">
        <f>48980+79008+200550</f>
        <v>328538</v>
      </c>
      <c r="E23" s="3"/>
      <c r="F23" s="6"/>
    </row>
    <row r="24" spans="1:6" ht="22.5" customHeight="1" x14ac:dyDescent="0.25">
      <c r="A24" s="4">
        <v>45648</v>
      </c>
      <c r="B24" s="5" t="s">
        <v>14</v>
      </c>
      <c r="C24" s="3">
        <v>199669.41620050173</v>
      </c>
      <c r="D24" s="3">
        <f>24400+15600</f>
        <v>40000</v>
      </c>
      <c r="E24" s="3"/>
      <c r="F24" s="6"/>
    </row>
    <row r="25" spans="1:6" ht="22.5" customHeight="1" x14ac:dyDescent="0.25">
      <c r="A25" s="4">
        <v>45649</v>
      </c>
      <c r="B25" s="4" t="s">
        <v>8</v>
      </c>
      <c r="C25" s="3">
        <v>215926.86241165327</v>
      </c>
      <c r="D25" s="3">
        <v>19120</v>
      </c>
      <c r="E25" s="3"/>
      <c r="F25" s="6"/>
    </row>
    <row r="26" spans="1:6" ht="22.5" customHeight="1" x14ac:dyDescent="0.25">
      <c r="A26" s="4">
        <v>45650</v>
      </c>
      <c r="B26" s="4" t="s">
        <v>9</v>
      </c>
      <c r="C26" s="3">
        <v>238326.65960658505</v>
      </c>
      <c r="D26" s="3">
        <v>33599</v>
      </c>
      <c r="E26" s="3"/>
      <c r="F26" s="6"/>
    </row>
    <row r="27" spans="1:6" ht="22.5" customHeight="1" x14ac:dyDescent="0.25">
      <c r="A27" s="4">
        <v>45651</v>
      </c>
      <c r="B27" s="4" t="s">
        <v>10</v>
      </c>
      <c r="C27" s="3">
        <v>222891.71908926271</v>
      </c>
      <c r="D27" s="3">
        <f>70812+48730+62804+28362</f>
        <v>210708</v>
      </c>
      <c r="E27" s="3"/>
      <c r="F27" s="6"/>
    </row>
    <row r="28" spans="1:6" ht="22.5" customHeight="1" x14ac:dyDescent="0.25">
      <c r="A28" s="4">
        <v>45652</v>
      </c>
      <c r="B28" s="4" t="s">
        <v>11</v>
      </c>
      <c r="C28" s="3">
        <v>288463.55012284644</v>
      </c>
      <c r="D28" s="3">
        <f>71334+67600</f>
        <v>138934</v>
      </c>
      <c r="E28" s="3"/>
      <c r="F28" s="6"/>
    </row>
    <row r="29" spans="1:6" ht="22.5" customHeight="1" x14ac:dyDescent="0.25">
      <c r="A29" s="4">
        <v>45653</v>
      </c>
      <c r="B29" s="5" t="s">
        <v>12</v>
      </c>
      <c r="C29" s="3">
        <v>265926.86241165327</v>
      </c>
      <c r="D29" s="3">
        <f>31440+45690+36930+51451+31260</f>
        <v>196771</v>
      </c>
      <c r="E29" s="3"/>
      <c r="F29" s="6"/>
    </row>
    <row r="30" spans="1:6" ht="22.5" customHeight="1" x14ac:dyDescent="0.25">
      <c r="A30" s="4">
        <v>45654</v>
      </c>
      <c r="B30" s="5" t="s">
        <v>13</v>
      </c>
      <c r="C30" s="3">
        <v>288326.65960658505</v>
      </c>
      <c r="D30" s="3">
        <f>137100+26900+60660+13520+67311</f>
        <v>305491</v>
      </c>
      <c r="E30" s="3"/>
      <c r="F30" s="6"/>
    </row>
    <row r="31" spans="1:6" ht="22.5" customHeight="1" x14ac:dyDescent="0.25">
      <c r="A31" s="4">
        <v>45655</v>
      </c>
      <c r="B31" s="5" t="s">
        <v>14</v>
      </c>
      <c r="C31" s="3">
        <v>272891.71908926271</v>
      </c>
      <c r="D31" s="3">
        <f>50230+47960+140977</f>
        <v>239167</v>
      </c>
      <c r="E31" s="3"/>
      <c r="F31" s="6"/>
    </row>
    <row r="32" spans="1:6" ht="22.5" customHeight="1" x14ac:dyDescent="0.25">
      <c r="A32" s="4">
        <v>45656</v>
      </c>
      <c r="B32" s="4" t="s">
        <v>8</v>
      </c>
      <c r="C32" s="3">
        <v>338463.55012284644</v>
      </c>
      <c r="D32" s="3">
        <v>87800</v>
      </c>
      <c r="E32" s="3"/>
      <c r="F32" s="6"/>
    </row>
    <row r="33" spans="1:6" ht="22.5" customHeight="1" x14ac:dyDescent="0.25">
      <c r="A33" s="4">
        <v>45657</v>
      </c>
      <c r="B33" s="4" t="s">
        <v>9</v>
      </c>
      <c r="C33" s="3">
        <v>438463.55012284644</v>
      </c>
      <c r="D33" s="3">
        <f>63650+448760</f>
        <v>512410</v>
      </c>
      <c r="E33" s="3"/>
      <c r="F33" s="6"/>
    </row>
  </sheetData>
  <mergeCells count="1">
    <mergeCell ref="A1:B1"/>
  </mergeCells>
  <conditionalFormatting sqref="C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 A3:B33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35CC-25D7-4962-8D2C-13ABCD545AA4}">
  <dimension ref="A1:F33"/>
  <sheetViews>
    <sheetView topLeftCell="A16" workbookViewId="0">
      <selection activeCell="D16" sqref="D16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f>SUM(C3:C33)</f>
        <v>4700732.5122689167</v>
      </c>
      <c r="D1" s="3">
        <f>SUM(D3:D33)</f>
        <v>4389135</v>
      </c>
      <c r="E1" s="3">
        <f>C1-D1</f>
        <v>311597.5122689167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144560.18347703249</v>
      </c>
    </row>
    <row r="3" spans="1:6" ht="22.5" customHeight="1" x14ac:dyDescent="0.25">
      <c r="A3" s="4">
        <v>45658</v>
      </c>
      <c r="B3" s="4" t="s">
        <v>10</v>
      </c>
      <c r="C3" s="3">
        <v>156514.92019006313</v>
      </c>
      <c r="D3" s="3">
        <f>17830+16041</f>
        <v>33871</v>
      </c>
      <c r="E3" s="3"/>
      <c r="F3" s="6"/>
    </row>
    <row r="4" spans="1:6" ht="22.5" customHeight="1" x14ac:dyDescent="0.25">
      <c r="A4" s="4">
        <v>45659</v>
      </c>
      <c r="B4" s="4" t="s">
        <v>11</v>
      </c>
      <c r="C4" s="3">
        <v>189754.82214898523</v>
      </c>
      <c r="D4" s="3">
        <v>0</v>
      </c>
      <c r="E4" s="3"/>
      <c r="F4" s="6"/>
    </row>
    <row r="5" spans="1:6" ht="22.5" customHeight="1" x14ac:dyDescent="0.25">
      <c r="A5" s="4">
        <v>45660</v>
      </c>
      <c r="B5" s="5" t="s">
        <v>12</v>
      </c>
      <c r="C5" s="3">
        <v>180323.35628283836</v>
      </c>
      <c r="D5" s="3">
        <f>196886+42400</f>
        <v>239286</v>
      </c>
      <c r="E5" s="3"/>
      <c r="F5" s="6"/>
    </row>
    <row r="6" spans="1:6" ht="22.5" customHeight="1" x14ac:dyDescent="0.25">
      <c r="A6" s="4">
        <v>45661</v>
      </c>
      <c r="B6" s="5" t="s">
        <v>13</v>
      </c>
      <c r="C6" s="3">
        <v>288925.23999806202</v>
      </c>
      <c r="D6" s="3">
        <v>71841</v>
      </c>
      <c r="E6" s="3"/>
      <c r="F6" s="6"/>
    </row>
    <row r="7" spans="1:6" ht="22.5" customHeight="1" x14ac:dyDescent="0.25">
      <c r="A7" s="4">
        <v>45662</v>
      </c>
      <c r="B7" s="5" t="s">
        <v>14</v>
      </c>
      <c r="C7" s="3">
        <v>170222.549036665</v>
      </c>
      <c r="D7" s="3">
        <f>38530+27800+18740</f>
        <v>85070</v>
      </c>
      <c r="E7" s="3"/>
      <c r="F7" s="6"/>
    </row>
    <row r="8" spans="1:6" ht="22.5" customHeight="1" x14ac:dyDescent="0.25">
      <c r="A8" s="4">
        <v>45663</v>
      </c>
      <c r="B8" s="4" t="s">
        <v>8</v>
      </c>
      <c r="C8" s="3">
        <v>134722.07041985501</v>
      </c>
      <c r="D8" s="3">
        <v>38900</v>
      </c>
      <c r="E8" s="6"/>
      <c r="F8" s="6"/>
    </row>
    <row r="9" spans="1:6" ht="22.5" customHeight="1" x14ac:dyDescent="0.25">
      <c r="A9" s="4">
        <v>45664</v>
      </c>
      <c r="B9" s="4" t="s">
        <v>9</v>
      </c>
      <c r="C9" s="3">
        <v>127942.76692147399</v>
      </c>
      <c r="D9" s="3">
        <f>49230+16509+32244+73660+137920</f>
        <v>309563</v>
      </c>
      <c r="E9" s="3"/>
      <c r="F9" s="6"/>
    </row>
    <row r="10" spans="1:6" ht="22.5" customHeight="1" x14ac:dyDescent="0.25">
      <c r="A10" s="4">
        <v>45665</v>
      </c>
      <c r="B10" s="4" t="s">
        <v>10</v>
      </c>
      <c r="C10" s="3">
        <v>109678.44424707217</v>
      </c>
      <c r="D10" s="3">
        <v>52760</v>
      </c>
      <c r="E10" s="3"/>
      <c r="F10" s="6"/>
    </row>
    <row r="11" spans="1:6" ht="22.5" customHeight="1" x14ac:dyDescent="0.25">
      <c r="A11" s="4">
        <v>45666</v>
      </c>
      <c r="B11" s="4" t="s">
        <v>11</v>
      </c>
      <c r="C11" s="3">
        <v>112630.15545982684</v>
      </c>
      <c r="D11" s="3">
        <f>38370+7497+10891</f>
        <v>56758</v>
      </c>
      <c r="E11" s="3"/>
      <c r="F11" s="6"/>
    </row>
    <row r="12" spans="1:6" ht="22.5" customHeight="1" x14ac:dyDescent="0.25">
      <c r="A12" s="4">
        <v>45667</v>
      </c>
      <c r="B12" s="5" t="s">
        <v>12</v>
      </c>
      <c r="C12" s="3">
        <v>133101.13522730005</v>
      </c>
      <c r="D12" s="3">
        <f>42996+47822+31120+74143</f>
        <v>196081</v>
      </c>
      <c r="E12" s="3"/>
      <c r="F12" s="6"/>
    </row>
    <row r="13" spans="1:6" ht="22.5" customHeight="1" x14ac:dyDescent="0.25">
      <c r="A13" s="4">
        <v>45668</v>
      </c>
      <c r="B13" s="5" t="s">
        <v>13</v>
      </c>
      <c r="C13" s="3">
        <v>199965.32011431115</v>
      </c>
      <c r="D13" s="3">
        <f>30662+81735</f>
        <v>112397</v>
      </c>
      <c r="E13" s="3"/>
      <c r="F13" s="6"/>
    </row>
    <row r="14" spans="1:6" ht="22.5" customHeight="1" x14ac:dyDescent="0.25">
      <c r="A14" s="4">
        <v>45669</v>
      </c>
      <c r="B14" s="5" t="s">
        <v>14</v>
      </c>
      <c r="C14" s="3">
        <v>152193.03147998409</v>
      </c>
      <c r="D14" s="3">
        <f>130650+48730</f>
        <v>179380</v>
      </c>
      <c r="E14" s="3"/>
      <c r="F14" s="6"/>
    </row>
    <row r="15" spans="1:6" ht="22.5" customHeight="1" x14ac:dyDescent="0.25">
      <c r="A15" s="4">
        <v>45670</v>
      </c>
      <c r="B15" s="4" t="s">
        <v>8</v>
      </c>
      <c r="C15" s="3">
        <v>125110.22300484305</v>
      </c>
      <c r="D15" s="3">
        <f>184172+30464+63600+68260</f>
        <v>346496</v>
      </c>
      <c r="E15" s="3"/>
      <c r="F15" s="6"/>
    </row>
    <row r="16" spans="1:6" ht="22.5" customHeight="1" x14ac:dyDescent="0.25">
      <c r="A16" s="4">
        <v>45671</v>
      </c>
      <c r="B16" s="4" t="s">
        <v>9</v>
      </c>
      <c r="C16" s="3">
        <v>116271.03931615899</v>
      </c>
      <c r="D16" s="3">
        <f>63336+56555</f>
        <v>119891</v>
      </c>
      <c r="E16" s="3"/>
      <c r="F16" s="6"/>
    </row>
    <row r="17" spans="1:6" ht="22.5" customHeight="1" x14ac:dyDescent="0.25">
      <c r="A17" s="4">
        <v>45672</v>
      </c>
      <c r="B17" s="4" t="s">
        <v>10</v>
      </c>
      <c r="C17" s="3">
        <v>101965.57658203639</v>
      </c>
      <c r="D17" s="3">
        <f>59995+41920</f>
        <v>101915</v>
      </c>
      <c r="E17" s="3"/>
      <c r="F17" s="6"/>
    </row>
    <row r="18" spans="1:6" ht="22.5" customHeight="1" x14ac:dyDescent="0.25">
      <c r="A18" s="4">
        <v>45673</v>
      </c>
      <c r="B18" s="4" t="s">
        <v>11</v>
      </c>
      <c r="C18" s="3">
        <v>120718.51822602465</v>
      </c>
      <c r="D18" s="3">
        <f>62763+44830</f>
        <v>107593</v>
      </c>
      <c r="E18" s="3"/>
      <c r="F18" s="6"/>
    </row>
    <row r="19" spans="1:6" ht="22.5" customHeight="1" x14ac:dyDescent="0.25">
      <c r="A19" s="4">
        <v>45674</v>
      </c>
      <c r="B19" s="5" t="s">
        <v>12</v>
      </c>
      <c r="C19" s="3">
        <v>140920.47945671584</v>
      </c>
      <c r="D19" s="3">
        <f>14586+18096+154150</f>
        <v>186832</v>
      </c>
      <c r="E19" s="3"/>
      <c r="F19" s="6"/>
    </row>
    <row r="20" spans="1:6" ht="22.5" customHeight="1" x14ac:dyDescent="0.25">
      <c r="A20" s="4">
        <v>45675</v>
      </c>
      <c r="B20" s="5" t="s">
        <v>13</v>
      </c>
      <c r="C20" s="3">
        <v>183497.34905215394</v>
      </c>
      <c r="D20" s="3">
        <v>52440</v>
      </c>
      <c r="E20" s="3"/>
      <c r="F20" s="6"/>
    </row>
    <row r="21" spans="1:6" ht="22.5" customHeight="1" x14ac:dyDescent="0.25">
      <c r="A21" s="4">
        <v>45676</v>
      </c>
      <c r="B21" s="5" t="s">
        <v>14</v>
      </c>
      <c r="C21" s="3">
        <v>140859.55628048122</v>
      </c>
      <c r="D21" s="3">
        <f>37880+49230+21956+25160</f>
        <v>134226</v>
      </c>
      <c r="E21" s="3"/>
      <c r="F21" s="6"/>
    </row>
    <row r="22" spans="1:6" ht="22.5" customHeight="1" x14ac:dyDescent="0.25">
      <c r="A22" s="4">
        <v>45677</v>
      </c>
      <c r="B22" s="4" t="s">
        <v>8</v>
      </c>
      <c r="C22" s="3">
        <v>149776.40972096243</v>
      </c>
      <c r="D22" s="3">
        <f>197574+67920+14553</f>
        <v>280047</v>
      </c>
      <c r="E22" s="3"/>
      <c r="F22" s="6"/>
    </row>
    <row r="23" spans="1:6" ht="22.5" customHeight="1" x14ac:dyDescent="0.25">
      <c r="A23" s="4">
        <v>45678</v>
      </c>
      <c r="B23" s="4" t="s">
        <v>9</v>
      </c>
      <c r="C23" s="3">
        <v>118151.69705484284</v>
      </c>
      <c r="D23" s="3">
        <f>190080+96720+54296</f>
        <v>341096</v>
      </c>
      <c r="E23" s="3"/>
      <c r="F23" s="6"/>
    </row>
    <row r="24" spans="1:6" ht="22.5" customHeight="1" x14ac:dyDescent="0.25">
      <c r="A24" s="4">
        <v>45679</v>
      </c>
      <c r="B24" s="4" t="s">
        <v>10</v>
      </c>
      <c r="C24" s="3">
        <v>110446.62024112849</v>
      </c>
      <c r="D24" s="3">
        <f>30660+60000+41210+90400</f>
        <v>222270</v>
      </c>
      <c r="E24" s="3"/>
      <c r="F24" s="6"/>
    </row>
    <row r="25" spans="1:6" ht="22.5" customHeight="1" x14ac:dyDescent="0.25">
      <c r="A25" s="4">
        <v>45680</v>
      </c>
      <c r="B25" s="4" t="s">
        <v>11</v>
      </c>
      <c r="C25" s="3">
        <v>125196.67903979801</v>
      </c>
      <c r="D25" s="3">
        <v>61439</v>
      </c>
      <c r="E25" s="3"/>
      <c r="F25" s="6"/>
    </row>
    <row r="26" spans="1:6" ht="22.5" customHeight="1" x14ac:dyDescent="0.25">
      <c r="A26" s="4">
        <v>45681</v>
      </c>
      <c r="B26" s="5" t="s">
        <v>12</v>
      </c>
      <c r="C26" s="3">
        <v>248276.46486065601</v>
      </c>
      <c r="D26" s="3">
        <v>0</v>
      </c>
      <c r="E26" s="3"/>
      <c r="F26" s="6"/>
    </row>
    <row r="27" spans="1:6" ht="22.5" customHeight="1" x14ac:dyDescent="0.25">
      <c r="A27" s="4">
        <v>45682</v>
      </c>
      <c r="B27" s="5" t="s">
        <v>13</v>
      </c>
      <c r="C27" s="3">
        <v>255709.54149984999</v>
      </c>
      <c r="D27" s="3">
        <f>37540+39895+84296+14100+27330+49230+59984</f>
        <v>312375</v>
      </c>
      <c r="E27" s="3"/>
      <c r="F27" s="6"/>
    </row>
    <row r="28" spans="1:6" ht="22.5" customHeight="1" x14ac:dyDescent="0.25">
      <c r="A28" s="4">
        <v>45683</v>
      </c>
      <c r="B28" s="5" t="s">
        <v>14</v>
      </c>
      <c r="C28" s="3">
        <v>175832.32549565035</v>
      </c>
      <c r="D28" s="3">
        <v>26900</v>
      </c>
      <c r="E28" s="3"/>
      <c r="F28" s="6"/>
    </row>
    <row r="29" spans="1:6" ht="22.5" customHeight="1" x14ac:dyDescent="0.25">
      <c r="A29" s="4">
        <v>45684</v>
      </c>
      <c r="B29" s="4" t="s">
        <v>8</v>
      </c>
      <c r="C29" s="3">
        <v>149577.84069304794</v>
      </c>
      <c r="D29" s="3">
        <f>93275+194270</f>
        <v>287545</v>
      </c>
      <c r="E29" s="3"/>
      <c r="F29" s="6"/>
    </row>
    <row r="30" spans="1:6" ht="22.5" customHeight="1" x14ac:dyDescent="0.25">
      <c r="A30" s="4">
        <v>45685</v>
      </c>
      <c r="B30" s="4" t="s">
        <v>9</v>
      </c>
      <c r="C30" s="3">
        <v>171731.57003786907</v>
      </c>
      <c r="D30" s="3">
        <f>58474+74100+103393+33294+50230</f>
        <v>319491</v>
      </c>
      <c r="E30" s="3"/>
      <c r="F30" s="6"/>
    </row>
    <row r="31" spans="1:6" ht="22.5" customHeight="1" x14ac:dyDescent="0.25">
      <c r="A31" s="4">
        <v>45686</v>
      </c>
      <c r="B31" s="4" t="s">
        <v>10</v>
      </c>
      <c r="C31" s="3">
        <v>0</v>
      </c>
      <c r="D31" s="3">
        <v>0</v>
      </c>
      <c r="E31" s="3"/>
      <c r="F31" s="6"/>
    </row>
    <row r="32" spans="1:6" ht="22.5" customHeight="1" x14ac:dyDescent="0.25">
      <c r="A32" s="4">
        <v>45687</v>
      </c>
      <c r="B32" s="4" t="s">
        <v>11</v>
      </c>
      <c r="C32" s="3">
        <v>164515.98514460458</v>
      </c>
      <c r="D32" s="3">
        <f>45390</f>
        <v>45390</v>
      </c>
      <c r="E32" s="3"/>
      <c r="F32" s="6"/>
    </row>
    <row r="33" spans="1:6" ht="22.5" customHeight="1" x14ac:dyDescent="0.25">
      <c r="A33" s="4">
        <v>45688</v>
      </c>
      <c r="B33" s="5" t="s">
        <v>12</v>
      </c>
      <c r="C33" s="3">
        <v>146200.82503565616</v>
      </c>
      <c r="D33" s="3">
        <v>67282</v>
      </c>
      <c r="E33" s="3"/>
      <c r="F33" s="6"/>
    </row>
  </sheetData>
  <mergeCells count="1">
    <mergeCell ref="A1:B1"/>
  </mergeCells>
  <conditionalFormatting sqref="C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A3:B33 D3:D33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9F37-DC2F-4D9B-BB64-627E2B408E34}">
  <dimension ref="A1:F33"/>
  <sheetViews>
    <sheetView workbookViewId="0">
      <selection activeCell="E1" sqref="E1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f>SUM(C3:C33)</f>
        <v>4397980.0338703934</v>
      </c>
      <c r="D1" s="3">
        <f>SUM(D3:D33)</f>
        <v>3223913</v>
      </c>
      <c r="E1" s="3">
        <f>C1-D1</f>
        <v>1174067.0338703934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116046.88115328809</v>
      </c>
    </row>
    <row r="3" spans="1:6" ht="22.5" customHeight="1" x14ac:dyDescent="0.25">
      <c r="A3" s="4">
        <v>45689</v>
      </c>
      <c r="B3" s="5" t="s">
        <v>13</v>
      </c>
      <c r="C3" s="3">
        <v>202169.06913782354</v>
      </c>
      <c r="D3" s="3">
        <f>49280+48480</f>
        <v>97760</v>
      </c>
      <c r="E3" s="3"/>
      <c r="F3" s="6"/>
    </row>
    <row r="4" spans="1:6" ht="22.5" customHeight="1" x14ac:dyDescent="0.25">
      <c r="A4" s="4">
        <v>45690</v>
      </c>
      <c r="B4" s="5" t="s">
        <v>14</v>
      </c>
      <c r="C4" s="3">
        <v>181593.10795743862</v>
      </c>
      <c r="D4" s="3">
        <f>197456</f>
        <v>197456</v>
      </c>
      <c r="E4" s="3"/>
      <c r="F4" s="6"/>
    </row>
    <row r="5" spans="1:6" ht="22.5" customHeight="1" x14ac:dyDescent="0.25">
      <c r="A5" s="4">
        <v>45691</v>
      </c>
      <c r="B5" s="4" t="s">
        <v>8</v>
      </c>
      <c r="C5" s="3">
        <v>168983.86067051868</v>
      </c>
      <c r="D5" s="3">
        <f>21930+13830</f>
        <v>35760</v>
      </c>
      <c r="E5" s="3"/>
      <c r="F5" s="6"/>
    </row>
    <row r="6" spans="1:6" ht="22.5" customHeight="1" x14ac:dyDescent="0.25">
      <c r="A6" s="4">
        <v>45692</v>
      </c>
      <c r="B6" s="4" t="s">
        <v>9</v>
      </c>
      <c r="C6" s="3">
        <v>141505.64159327542</v>
      </c>
      <c r="D6" s="3">
        <f>90894+14150+40720+55676</f>
        <v>201440</v>
      </c>
      <c r="E6" s="3"/>
      <c r="F6" s="6"/>
    </row>
    <row r="7" spans="1:6" ht="22.5" customHeight="1" x14ac:dyDescent="0.25">
      <c r="A7" s="4">
        <v>45693</v>
      </c>
      <c r="B7" s="4" t="s">
        <v>10</v>
      </c>
      <c r="C7" s="3">
        <v>133030.60753488637</v>
      </c>
      <c r="D7" s="3">
        <f>421530+22240</f>
        <v>443770</v>
      </c>
      <c r="E7" s="3"/>
      <c r="F7" s="6"/>
    </row>
    <row r="8" spans="1:6" ht="22.5" customHeight="1" x14ac:dyDescent="0.25">
      <c r="A8" s="4">
        <v>45694</v>
      </c>
      <c r="B8" s="4" t="s">
        <v>11</v>
      </c>
      <c r="C8" s="3">
        <v>137977.47167451758</v>
      </c>
      <c r="D8" s="3"/>
      <c r="E8" s="6"/>
      <c r="F8" s="6"/>
    </row>
    <row r="9" spans="1:6" ht="22.5" customHeight="1" x14ac:dyDescent="0.25">
      <c r="A9" s="4">
        <v>45695</v>
      </c>
      <c r="B9" s="5" t="s">
        <v>12</v>
      </c>
      <c r="C9" s="3">
        <v>128046.99543912071</v>
      </c>
      <c r="D9" s="3">
        <f>20301+64150</f>
        <v>84451</v>
      </c>
      <c r="E9" s="3"/>
      <c r="F9" s="6"/>
    </row>
    <row r="10" spans="1:6" ht="22.5" customHeight="1" x14ac:dyDescent="0.25">
      <c r="A10" s="4">
        <v>45696</v>
      </c>
      <c r="B10" s="5" t="s">
        <v>13</v>
      </c>
      <c r="C10" s="3">
        <v>222502.42816874932</v>
      </c>
      <c r="D10" s="3">
        <f>49730+25160+49670</f>
        <v>124560</v>
      </c>
      <c r="E10" s="3"/>
      <c r="F10" s="6"/>
    </row>
    <row r="11" spans="1:6" ht="22.5" customHeight="1" x14ac:dyDescent="0.25">
      <c r="A11" s="4">
        <v>45697</v>
      </c>
      <c r="B11" s="5" t="s">
        <v>14</v>
      </c>
      <c r="C11" s="3">
        <v>132431.93569472426</v>
      </c>
      <c r="D11" s="3">
        <f>160684+104950</f>
        <v>265634</v>
      </c>
      <c r="E11" s="3"/>
      <c r="F11" s="6"/>
    </row>
    <row r="12" spans="1:6" ht="22.5" customHeight="1" x14ac:dyDescent="0.25">
      <c r="A12" s="4">
        <v>45698</v>
      </c>
      <c r="B12" s="4" t="s">
        <v>8</v>
      </c>
      <c r="C12" s="3">
        <v>151540.2459783646</v>
      </c>
      <c r="D12" s="3">
        <v>27330</v>
      </c>
      <c r="E12" s="3"/>
      <c r="F12" s="6"/>
    </row>
    <row r="13" spans="1:6" ht="22.5" customHeight="1" x14ac:dyDescent="0.25">
      <c r="A13" s="4">
        <v>45699</v>
      </c>
      <c r="B13" s="4" t="s">
        <v>9</v>
      </c>
      <c r="C13" s="3">
        <v>161201.50850069194</v>
      </c>
      <c r="D13" s="3">
        <f>15240+42566+77900</f>
        <v>135706</v>
      </c>
      <c r="E13" s="3"/>
      <c r="F13" s="6"/>
    </row>
    <row r="14" spans="1:6" ht="22.5" customHeight="1" x14ac:dyDescent="0.25">
      <c r="A14" s="4">
        <v>45700</v>
      </c>
      <c r="B14" s="4" t="s">
        <v>10</v>
      </c>
      <c r="C14" s="3">
        <v>160267.53559708828</v>
      </c>
      <c r="D14" s="3"/>
      <c r="E14" s="3"/>
      <c r="F14" s="6"/>
    </row>
    <row r="15" spans="1:6" ht="22.5" customHeight="1" x14ac:dyDescent="0.25">
      <c r="A15" s="4">
        <v>45701</v>
      </c>
      <c r="B15" s="4" t="s">
        <v>11</v>
      </c>
      <c r="C15" s="3">
        <v>146460.29016086669</v>
      </c>
      <c r="D15" s="3">
        <f>49230+41780</f>
        <v>91010</v>
      </c>
      <c r="E15" s="3"/>
      <c r="F15" s="6"/>
    </row>
    <row r="16" spans="1:6" ht="22.5" customHeight="1" x14ac:dyDescent="0.25">
      <c r="A16" s="4">
        <v>45702</v>
      </c>
      <c r="B16" s="5" t="s">
        <v>12</v>
      </c>
      <c r="C16" s="3">
        <v>163604.21229592449</v>
      </c>
      <c r="D16" s="3"/>
      <c r="E16" s="3"/>
      <c r="F16" s="6"/>
    </row>
    <row r="17" spans="1:6" ht="22.5" customHeight="1" x14ac:dyDescent="0.25">
      <c r="A17" s="4">
        <v>45703</v>
      </c>
      <c r="B17" s="5" t="s">
        <v>13</v>
      </c>
      <c r="C17" s="3">
        <v>176016.11210557664</v>
      </c>
      <c r="D17" s="3">
        <f>39900+37540+9834</f>
        <v>87274</v>
      </c>
      <c r="E17" s="3"/>
      <c r="F17" s="6"/>
    </row>
    <row r="18" spans="1:6" ht="22.5" customHeight="1" x14ac:dyDescent="0.25">
      <c r="A18" s="4">
        <v>45704</v>
      </c>
      <c r="B18" s="5" t="s">
        <v>14</v>
      </c>
      <c r="C18" s="3">
        <v>180813.08389951944</v>
      </c>
      <c r="D18" s="3">
        <v>197848</v>
      </c>
      <c r="E18" s="3"/>
      <c r="F18" s="6"/>
    </row>
    <row r="19" spans="1:6" ht="22.5" customHeight="1" x14ac:dyDescent="0.25">
      <c r="A19" s="4">
        <v>45705</v>
      </c>
      <c r="B19" s="4" t="s">
        <v>8</v>
      </c>
      <c r="C19" s="3">
        <v>150870.09972881823</v>
      </c>
      <c r="D19" s="3">
        <f>25920+135910</f>
        <v>161830</v>
      </c>
      <c r="E19" s="3"/>
      <c r="F19" s="6"/>
    </row>
    <row r="20" spans="1:6" ht="22.5" customHeight="1" x14ac:dyDescent="0.25">
      <c r="A20" s="4">
        <v>45706</v>
      </c>
      <c r="B20" s="4" t="s">
        <v>9</v>
      </c>
      <c r="C20" s="3">
        <v>125107.62870767835</v>
      </c>
      <c r="D20" s="3">
        <f>62158+10891</f>
        <v>73049</v>
      </c>
      <c r="E20" s="3"/>
      <c r="F20" s="6"/>
    </row>
    <row r="21" spans="1:6" ht="22.5" customHeight="1" x14ac:dyDescent="0.25">
      <c r="A21" s="4">
        <v>45707</v>
      </c>
      <c r="B21" s="4" t="s">
        <v>10</v>
      </c>
      <c r="C21" s="3">
        <v>128840.00860773047</v>
      </c>
      <c r="D21" s="3">
        <f>33450+20041</f>
        <v>53491</v>
      </c>
      <c r="E21" s="3"/>
      <c r="F21" s="6"/>
    </row>
    <row r="22" spans="1:6" ht="22.5" customHeight="1" x14ac:dyDescent="0.25">
      <c r="A22" s="4">
        <v>45708</v>
      </c>
      <c r="B22" s="4" t="s">
        <v>11</v>
      </c>
      <c r="C22" s="3">
        <v>150672.23886210256</v>
      </c>
      <c r="D22" s="3">
        <v>60400</v>
      </c>
      <c r="E22" s="3"/>
      <c r="F22" s="6"/>
    </row>
    <row r="23" spans="1:6" ht="22.5" customHeight="1" x14ac:dyDescent="0.25">
      <c r="A23" s="4">
        <v>45709</v>
      </c>
      <c r="B23" s="5" t="s">
        <v>12</v>
      </c>
      <c r="C23" s="3">
        <v>124385.67082852079</v>
      </c>
      <c r="D23" s="3">
        <f>40400+27000</f>
        <v>67400</v>
      </c>
      <c r="E23" s="3"/>
      <c r="F23" s="6"/>
    </row>
    <row r="24" spans="1:6" ht="22.5" customHeight="1" x14ac:dyDescent="0.25">
      <c r="A24" s="4">
        <v>45710</v>
      </c>
      <c r="B24" s="5" t="s">
        <v>13</v>
      </c>
      <c r="C24" s="3">
        <v>263190.61859656038</v>
      </c>
      <c r="D24" s="3">
        <f>25160+11280+79497</f>
        <v>115937</v>
      </c>
      <c r="E24" s="3"/>
      <c r="F24" s="6"/>
    </row>
    <row r="25" spans="1:6" ht="22.5" customHeight="1" x14ac:dyDescent="0.25">
      <c r="A25" s="4">
        <v>45711</v>
      </c>
      <c r="B25" s="5" t="s">
        <v>14</v>
      </c>
      <c r="C25" s="3">
        <v>161996.29678368676</v>
      </c>
      <c r="D25" s="3">
        <f>155190+198990</f>
        <v>354180</v>
      </c>
      <c r="E25" s="3"/>
      <c r="F25" s="6"/>
    </row>
    <row r="26" spans="1:6" ht="22.5" customHeight="1" x14ac:dyDescent="0.25">
      <c r="A26" s="4">
        <v>45712</v>
      </c>
      <c r="B26" s="4" t="s">
        <v>8</v>
      </c>
      <c r="C26" s="3">
        <v>165062.99914633317</v>
      </c>
      <c r="D26" s="3">
        <v>86659</v>
      </c>
      <c r="E26" s="3"/>
      <c r="F26" s="6"/>
    </row>
    <row r="27" spans="1:6" ht="22.5" customHeight="1" x14ac:dyDescent="0.25">
      <c r="A27" s="4">
        <v>45713</v>
      </c>
      <c r="B27" s="4" t="s">
        <v>9</v>
      </c>
      <c r="C27" s="3">
        <v>155165.46713780108</v>
      </c>
      <c r="D27" s="3">
        <v>0</v>
      </c>
      <c r="E27" s="3"/>
      <c r="F27" s="6"/>
    </row>
    <row r="28" spans="1:6" ht="22.5" customHeight="1" x14ac:dyDescent="0.25">
      <c r="A28" s="4">
        <v>45714</v>
      </c>
      <c r="B28" s="4" t="s">
        <v>10</v>
      </c>
      <c r="C28" s="3">
        <v>124809.7119263873</v>
      </c>
      <c r="D28" s="3">
        <v>43950</v>
      </c>
      <c r="E28" s="3"/>
      <c r="F28" s="6"/>
    </row>
    <row r="29" spans="1:6" ht="22.5" customHeight="1" x14ac:dyDescent="0.25">
      <c r="A29" s="4">
        <v>45715</v>
      </c>
      <c r="B29" s="4" t="s">
        <v>11</v>
      </c>
      <c r="C29" s="3">
        <v>135389.82943577558</v>
      </c>
      <c r="D29" s="3">
        <v>44983</v>
      </c>
      <c r="E29" s="3"/>
      <c r="F29" s="6"/>
    </row>
    <row r="30" spans="1:6" ht="22.5" customHeight="1" x14ac:dyDescent="0.25">
      <c r="A30" s="4">
        <v>45716</v>
      </c>
      <c r="B30" s="5" t="s">
        <v>12</v>
      </c>
      <c r="C30" s="3">
        <v>124345.35769991312</v>
      </c>
      <c r="D30" s="3">
        <f>24080+46325+55590+46040</f>
        <v>172035</v>
      </c>
      <c r="E30" s="3"/>
      <c r="F30" s="6"/>
    </row>
    <row r="31" spans="1:6" ht="22.5" customHeight="1" x14ac:dyDescent="0.25">
      <c r="A31" s="4"/>
      <c r="B31" s="4"/>
      <c r="C31" s="3"/>
      <c r="D31" s="3"/>
      <c r="E31" s="3"/>
      <c r="F31" s="6"/>
    </row>
    <row r="32" spans="1:6" ht="22.5" customHeight="1" x14ac:dyDescent="0.25">
      <c r="A32" s="4"/>
      <c r="B32" s="4"/>
      <c r="C32" s="3"/>
      <c r="D32" s="3"/>
      <c r="E32" s="3"/>
      <c r="F32" s="6"/>
    </row>
    <row r="33" spans="1:6" ht="22.5" customHeight="1" x14ac:dyDescent="0.25">
      <c r="A33" s="4"/>
      <c r="B33" s="4"/>
      <c r="C33" s="3"/>
      <c r="D33" s="3"/>
      <c r="E33" s="3"/>
      <c r="F33" s="6"/>
    </row>
  </sheetData>
  <mergeCells count="1">
    <mergeCell ref="A1:B1"/>
  </mergeCells>
  <conditionalFormatting sqref="C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0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1:C3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A3:B33 D3:D3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120C-DD08-4583-A196-0D80596D007A}">
  <dimension ref="A1:F33"/>
  <sheetViews>
    <sheetView tabSelected="1" workbookViewId="0">
      <selection activeCell="F30" sqref="F30"/>
    </sheetView>
  </sheetViews>
  <sheetFormatPr defaultColWidth="15.5" defaultRowHeight="22.5" customHeight="1" x14ac:dyDescent="0.25"/>
  <cols>
    <col min="1" max="1" width="12.5" style="1" customWidth="1"/>
    <col min="2" max="2" width="3.875" style="1" customWidth="1"/>
    <col min="3" max="3" width="13" style="1" customWidth="1"/>
    <col min="4" max="4" width="13.625" style="1" customWidth="1"/>
    <col min="5" max="5" width="10.875" style="1" customWidth="1"/>
    <col min="6" max="6" width="15.5" style="1" customWidth="1"/>
    <col min="7" max="16384" width="15.5" style="1"/>
  </cols>
  <sheetData>
    <row r="1" spans="1:6" ht="22.5" customHeight="1" x14ac:dyDescent="0.25">
      <c r="A1" s="9" t="s">
        <v>3</v>
      </c>
      <c r="B1" s="9"/>
      <c r="C1" s="3">
        <f>SUM(C3:C33)</f>
        <v>4964278.208851452</v>
      </c>
      <c r="D1" s="3">
        <f>SUM(D3:D33)</f>
        <v>4437175</v>
      </c>
      <c r="E1" s="3">
        <f>C1-D1</f>
        <v>527103.20885145199</v>
      </c>
      <c r="F1" s="6" t="s">
        <v>4</v>
      </c>
    </row>
    <row r="2" spans="1:6" ht="22.5" customHeight="1" x14ac:dyDescent="0.25">
      <c r="A2" s="7" t="s">
        <v>0</v>
      </c>
      <c r="B2" s="8" t="s">
        <v>7</v>
      </c>
      <c r="C2" s="7" t="s">
        <v>1</v>
      </c>
      <c r="D2" s="7" t="s">
        <v>2</v>
      </c>
      <c r="E2" s="3">
        <f>SUM(E3:E33)</f>
        <v>0</v>
      </c>
      <c r="F2" s="3">
        <f ca="1">IF(E2="土",RAND()*(250000-150000)+150000,IF(E2="日",RAND()*(200000-100000)+100000,RAND()*(150000-100000)+100000))</f>
        <v>126214.02699415876</v>
      </c>
    </row>
    <row r="3" spans="1:6" ht="22.5" customHeight="1" x14ac:dyDescent="0.25">
      <c r="A3" s="4">
        <v>45717</v>
      </c>
      <c r="B3" s="5" t="s">
        <v>13</v>
      </c>
      <c r="C3" s="3">
        <v>248866.98506269348</v>
      </c>
      <c r="D3" s="3">
        <f>112174+22270</f>
        <v>134444</v>
      </c>
      <c r="E3" s="3"/>
      <c r="F3" s="6"/>
    </row>
    <row r="4" spans="1:6" ht="22.5" customHeight="1" x14ac:dyDescent="0.25">
      <c r="A4" s="4">
        <v>45718</v>
      </c>
      <c r="B4" s="5" t="s">
        <v>14</v>
      </c>
      <c r="C4" s="3">
        <v>166306.50838037589</v>
      </c>
      <c r="D4" s="3">
        <f>24080+32110+28795+48230+73500</f>
        <v>206715</v>
      </c>
      <c r="E4" s="3"/>
      <c r="F4" s="6"/>
    </row>
    <row r="5" spans="1:6" ht="22.5" customHeight="1" x14ac:dyDescent="0.25">
      <c r="A5" s="4">
        <v>45719</v>
      </c>
      <c r="B5" s="4" t="s">
        <v>8</v>
      </c>
      <c r="C5" s="3">
        <v>121374.08734608059</v>
      </c>
      <c r="D5" s="3">
        <f>75790+55322+192270</f>
        <v>323382</v>
      </c>
      <c r="E5" s="3"/>
      <c r="F5" s="6"/>
    </row>
    <row r="6" spans="1:6" ht="22.5" customHeight="1" x14ac:dyDescent="0.25">
      <c r="A6" s="4">
        <v>45720</v>
      </c>
      <c r="B6" s="4" t="s">
        <v>9</v>
      </c>
      <c r="C6" s="3">
        <v>137130.81567059696</v>
      </c>
      <c r="D6" s="3">
        <f>50550+24080</f>
        <v>74630</v>
      </c>
      <c r="E6" s="3"/>
      <c r="F6" s="6"/>
    </row>
    <row r="7" spans="1:6" ht="22.5" customHeight="1" x14ac:dyDescent="0.25">
      <c r="A7" s="4">
        <v>45721</v>
      </c>
      <c r="B7" s="4" t="s">
        <v>10</v>
      </c>
      <c r="C7" s="3">
        <v>148488.74358974822</v>
      </c>
      <c r="D7" s="3">
        <f>43251+87760+36200+23334</f>
        <v>190545</v>
      </c>
      <c r="E7" s="3"/>
      <c r="F7" s="6"/>
    </row>
    <row r="8" spans="1:6" ht="22.5" customHeight="1" x14ac:dyDescent="0.25">
      <c r="A8" s="4">
        <v>45722</v>
      </c>
      <c r="B8" s="4" t="s">
        <v>11</v>
      </c>
      <c r="C8" s="3">
        <v>136060.82376520592</v>
      </c>
      <c r="D8" s="3">
        <f>41524+87900+77160</f>
        <v>206584</v>
      </c>
      <c r="E8" s="6"/>
      <c r="F8" s="6"/>
    </row>
    <row r="9" spans="1:6" ht="22.5" customHeight="1" x14ac:dyDescent="0.25">
      <c r="A9" s="4">
        <v>45723</v>
      </c>
      <c r="B9" s="5" t="s">
        <v>12</v>
      </c>
      <c r="C9" s="3">
        <v>118659.96744028421</v>
      </c>
      <c r="D9" s="3">
        <f>29858+259540</f>
        <v>289398</v>
      </c>
      <c r="E9" s="3"/>
      <c r="F9" s="6"/>
    </row>
    <row r="10" spans="1:6" ht="22.5" customHeight="1" x14ac:dyDescent="0.25">
      <c r="A10" s="4">
        <v>45724</v>
      </c>
      <c r="B10" s="5" t="s">
        <v>13</v>
      </c>
      <c r="C10" s="3">
        <v>259539.57546369208</v>
      </c>
      <c r="D10" s="3">
        <f>63952+50230</f>
        <v>114182</v>
      </c>
      <c r="E10" s="3"/>
      <c r="F10" s="6"/>
    </row>
    <row r="11" spans="1:6" ht="22.5" customHeight="1" x14ac:dyDescent="0.25">
      <c r="A11" s="4">
        <v>45725</v>
      </c>
      <c r="B11" s="5" t="s">
        <v>14</v>
      </c>
      <c r="C11" s="3">
        <v>212435.79291591665</v>
      </c>
      <c r="D11" s="3">
        <f>51434+24727+194068</f>
        <v>270229</v>
      </c>
      <c r="E11" s="3"/>
      <c r="F11" s="6"/>
    </row>
    <row r="12" spans="1:6" ht="22.5" customHeight="1" x14ac:dyDescent="0.25">
      <c r="A12" s="4">
        <v>45726</v>
      </c>
      <c r="B12" s="4" t="s">
        <v>8</v>
      </c>
      <c r="C12" s="3">
        <v>128854.09212051633</v>
      </c>
      <c r="D12" s="3">
        <f>92940+154726</f>
        <v>247666</v>
      </c>
      <c r="E12" s="3"/>
      <c r="F12" s="6"/>
    </row>
    <row r="13" spans="1:6" ht="22.5" customHeight="1" x14ac:dyDescent="0.25">
      <c r="A13" s="4">
        <v>45727</v>
      </c>
      <c r="B13" s="4" t="s">
        <v>9</v>
      </c>
      <c r="C13" s="3">
        <v>139018.02766080253</v>
      </c>
      <c r="D13" s="3">
        <v>31400</v>
      </c>
      <c r="E13" s="3"/>
      <c r="F13" s="6"/>
    </row>
    <row r="14" spans="1:6" ht="22.5" customHeight="1" x14ac:dyDescent="0.25">
      <c r="A14" s="4">
        <v>45728</v>
      </c>
      <c r="B14" s="4" t="s">
        <v>10</v>
      </c>
      <c r="C14" s="3">
        <v>134504.23872123208</v>
      </c>
      <c r="D14" s="3">
        <f>47292+65640+60600</f>
        <v>173532</v>
      </c>
      <c r="E14" s="3"/>
      <c r="F14" s="6"/>
    </row>
    <row r="15" spans="1:6" ht="22.5" customHeight="1" x14ac:dyDescent="0.25">
      <c r="A15" s="4">
        <v>45729</v>
      </c>
      <c r="B15" s="4" t="s">
        <v>11</v>
      </c>
      <c r="C15" s="3">
        <v>157240.41075616528</v>
      </c>
      <c r="D15" s="3">
        <f>62500+15330</f>
        <v>77830</v>
      </c>
      <c r="E15" s="3"/>
      <c r="F15" s="6"/>
    </row>
    <row r="16" spans="1:6" ht="22.5" customHeight="1" x14ac:dyDescent="0.25">
      <c r="A16" s="4">
        <v>45730</v>
      </c>
      <c r="B16" s="5" t="s">
        <v>12</v>
      </c>
      <c r="C16" s="3">
        <v>125315.69588630526</v>
      </c>
      <c r="D16" s="3">
        <f>50730+15400+20995</f>
        <v>87125</v>
      </c>
      <c r="E16" s="3"/>
      <c r="F16" s="6"/>
    </row>
    <row r="17" spans="1:6" ht="22.5" customHeight="1" x14ac:dyDescent="0.25">
      <c r="A17" s="4">
        <v>45731</v>
      </c>
      <c r="B17" s="5" t="s">
        <v>13</v>
      </c>
      <c r="C17" s="3">
        <v>225642.7606311483</v>
      </c>
      <c r="D17" s="3">
        <f>33599+18200+33610+70660</f>
        <v>156069</v>
      </c>
      <c r="E17" s="3"/>
      <c r="F17" s="6"/>
    </row>
    <row r="18" spans="1:6" ht="22.5" customHeight="1" x14ac:dyDescent="0.25">
      <c r="A18" s="4">
        <v>45732</v>
      </c>
      <c r="B18" s="5" t="s">
        <v>14</v>
      </c>
      <c r="C18" s="3">
        <v>179892.46751439205</v>
      </c>
      <c r="D18" s="3">
        <f>34160+189914+155350</f>
        <v>379424</v>
      </c>
      <c r="E18" s="3"/>
      <c r="F18" s="6"/>
    </row>
    <row r="19" spans="1:6" ht="22.5" customHeight="1" x14ac:dyDescent="0.25">
      <c r="A19" s="4">
        <v>45733</v>
      </c>
      <c r="B19" s="4" t="s">
        <v>8</v>
      </c>
      <c r="C19" s="3">
        <v>119805.95979821026</v>
      </c>
      <c r="D19" s="3">
        <f>23200+40720</f>
        <v>63920</v>
      </c>
      <c r="E19" s="3"/>
      <c r="F19" s="6"/>
    </row>
    <row r="20" spans="1:6" ht="22.5" customHeight="1" x14ac:dyDescent="0.25">
      <c r="A20" s="4">
        <v>45734</v>
      </c>
      <c r="B20" s="4" t="s">
        <v>9</v>
      </c>
      <c r="C20" s="3">
        <v>131159.13715738142</v>
      </c>
      <c r="D20" s="3">
        <f>65496+32650</f>
        <v>98146</v>
      </c>
      <c r="E20" s="3"/>
      <c r="F20" s="6"/>
    </row>
    <row r="21" spans="1:6" ht="22.5" customHeight="1" x14ac:dyDescent="0.25">
      <c r="A21" s="4">
        <v>45735</v>
      </c>
      <c r="B21" s="4" t="s">
        <v>10</v>
      </c>
      <c r="C21" s="3">
        <v>154499.10167491218</v>
      </c>
      <c r="D21" s="3">
        <v>0</v>
      </c>
      <c r="E21" s="3"/>
      <c r="F21" s="6"/>
    </row>
    <row r="22" spans="1:6" ht="22.5" customHeight="1" x14ac:dyDescent="0.25">
      <c r="A22" s="4">
        <v>45736</v>
      </c>
      <c r="B22" s="4" t="s">
        <v>11</v>
      </c>
      <c r="C22" s="3">
        <v>157105.19079605522</v>
      </c>
      <c r="D22" s="3">
        <f>73750+48930</f>
        <v>122680</v>
      </c>
      <c r="E22" s="3"/>
      <c r="F22" s="6"/>
    </row>
    <row r="23" spans="1:6" ht="22.5" customHeight="1" x14ac:dyDescent="0.25">
      <c r="A23" s="4">
        <v>45737</v>
      </c>
      <c r="B23" s="5" t="s">
        <v>12</v>
      </c>
      <c r="C23" s="3">
        <v>147523.78215104598</v>
      </c>
      <c r="D23" s="3">
        <v>62500</v>
      </c>
      <c r="E23" s="3"/>
      <c r="F23" s="6"/>
    </row>
    <row r="24" spans="1:6" ht="22.5" customHeight="1" x14ac:dyDescent="0.25">
      <c r="A24" s="4">
        <v>45738</v>
      </c>
      <c r="B24" s="5" t="s">
        <v>13</v>
      </c>
      <c r="C24" s="3">
        <v>211585.33191477851</v>
      </c>
      <c r="D24" s="3">
        <f>74388+22070+47403</f>
        <v>143861</v>
      </c>
      <c r="E24" s="3"/>
      <c r="F24" s="6"/>
    </row>
    <row r="25" spans="1:6" ht="22.5" customHeight="1" x14ac:dyDescent="0.25">
      <c r="A25" s="4">
        <v>45739</v>
      </c>
      <c r="B25" s="5" t="s">
        <v>14</v>
      </c>
      <c r="C25" s="3">
        <v>164436.8783162935</v>
      </c>
      <c r="D25" s="3">
        <f>49730+188100</f>
        <v>237830</v>
      </c>
      <c r="E25" s="3"/>
      <c r="F25" s="6"/>
    </row>
    <row r="26" spans="1:6" ht="22.5" customHeight="1" x14ac:dyDescent="0.25">
      <c r="A26" s="4">
        <v>45740</v>
      </c>
      <c r="B26" s="4" t="s">
        <v>8</v>
      </c>
      <c r="C26" s="3">
        <v>118188.58142126561</v>
      </c>
      <c r="D26" s="3">
        <f>42400+15940</f>
        <v>58340</v>
      </c>
      <c r="E26" s="3"/>
      <c r="F26" s="6"/>
    </row>
    <row r="27" spans="1:6" ht="22.5" customHeight="1" x14ac:dyDescent="0.25">
      <c r="A27" s="4">
        <v>45741</v>
      </c>
      <c r="B27" s="4" t="s">
        <v>9</v>
      </c>
      <c r="C27" s="3">
        <v>149925.45246836508</v>
      </c>
      <c r="D27" s="3">
        <v>118720</v>
      </c>
      <c r="E27" s="3"/>
      <c r="F27" s="6"/>
    </row>
    <row r="28" spans="1:6" ht="22.5" customHeight="1" x14ac:dyDescent="0.25">
      <c r="A28" s="4">
        <v>45742</v>
      </c>
      <c r="B28" s="4" t="s">
        <v>10</v>
      </c>
      <c r="C28" s="3">
        <v>116117.8222142492</v>
      </c>
      <c r="D28" s="3">
        <f>49120+50642+20580</f>
        <v>120342</v>
      </c>
      <c r="E28" s="3"/>
      <c r="F28" s="6"/>
    </row>
    <row r="29" spans="1:6" ht="22.5" customHeight="1" x14ac:dyDescent="0.25">
      <c r="A29" s="4">
        <v>45743</v>
      </c>
      <c r="B29" s="4" t="s">
        <v>11</v>
      </c>
      <c r="C29" s="3">
        <v>127812.59589907888</v>
      </c>
      <c r="D29" s="3">
        <f>51480+74150</f>
        <v>125630</v>
      </c>
      <c r="E29" s="3"/>
      <c r="F29" s="6"/>
    </row>
    <row r="30" spans="1:6" ht="22.5" customHeight="1" x14ac:dyDescent="0.25">
      <c r="A30" s="4">
        <v>45744</v>
      </c>
      <c r="B30" s="5" t="s">
        <v>12</v>
      </c>
      <c r="C30" s="3">
        <v>152757.89699275617</v>
      </c>
      <c r="D30" s="3">
        <f>73494+18400</f>
        <v>91894</v>
      </c>
      <c r="E30" s="3"/>
      <c r="F30" s="6"/>
    </row>
    <row r="31" spans="1:6" ht="22.5" customHeight="1" x14ac:dyDescent="0.25">
      <c r="A31" s="4">
        <v>45745</v>
      </c>
      <c r="B31" s="5" t="s">
        <v>13</v>
      </c>
      <c r="C31" s="3">
        <v>233948.00126937334</v>
      </c>
      <c r="D31" s="3">
        <v>56281</v>
      </c>
      <c r="E31" s="3"/>
      <c r="F31" s="6"/>
    </row>
    <row r="32" spans="1:6" ht="22.5" customHeight="1" x14ac:dyDescent="0.25">
      <c r="A32" s="4">
        <v>45746</v>
      </c>
      <c r="B32" s="5" t="s">
        <v>14</v>
      </c>
      <c r="C32" s="3">
        <v>188078.76564654097</v>
      </c>
      <c r="D32" s="3">
        <v>173876</v>
      </c>
      <c r="E32" s="3"/>
      <c r="F32" s="6"/>
    </row>
    <row r="33" spans="1:6" ht="22.5" customHeight="1" x14ac:dyDescent="0.25">
      <c r="A33" s="4">
        <v>45747</v>
      </c>
      <c r="B33" s="4" t="s">
        <v>8</v>
      </c>
      <c r="C33" s="3">
        <v>152002.71820599111</v>
      </c>
      <c r="D33" s="3">
        <v>0</v>
      </c>
      <c r="E33" s="3"/>
      <c r="F33" s="6"/>
    </row>
  </sheetData>
  <mergeCells count="1">
    <mergeCell ref="A1:B1"/>
  </mergeCells>
  <conditionalFormatting sqref="C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:C3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D1 A1 A2:D2 D3:D33 A3:B3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2024_4</vt:lpstr>
      <vt:lpstr>2024_5</vt:lpstr>
      <vt:lpstr>2024_6</vt:lpstr>
      <vt:lpstr>2024_7</vt:lpstr>
      <vt:lpstr>2024_8</vt:lpstr>
      <vt:lpstr>2024_9</vt:lpstr>
      <vt:lpstr>2024_10</vt:lpstr>
      <vt:lpstr>2024_11</vt:lpstr>
      <vt:lpstr>2024_12</vt:lpstr>
      <vt:lpstr>2025_1</vt:lpstr>
      <vt:lpstr>2025_2</vt:lpstr>
      <vt:lpstr>2025_3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cp:lastPrinted>2025-03-03T07:57:34Z</cp:lastPrinted>
  <dcterms:created xsi:type="dcterms:W3CDTF">2025-02-25T04:58:15Z</dcterms:created>
  <dcterms:modified xsi:type="dcterms:W3CDTF">2025-04-03T12:13:42Z</dcterms:modified>
</cp:coreProperties>
</file>