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VeL infinity\Desktop\Tạp hóa\Quản lý\"/>
    </mc:Choice>
  </mc:AlternateContent>
  <xr:revisionPtr revIDLastSave="0" documentId="13_ncr:1_{D684180F-936A-47EE-8924-68AC05CF1E63}" xr6:coauthVersionLast="47" xr6:coauthVersionMax="47" xr10:uidLastSave="{00000000-0000-0000-0000-000000000000}"/>
  <bookViews>
    <workbookView xWindow="-108" yWindow="-108" windowWidth="30936" windowHeight="16776" firstSheet="39" activeTab="49" xr2:uid="{3FDE9EB1-D97D-364F-B3F8-4C7A5DC16FC5}"/>
  </bookViews>
  <sheets>
    <sheet name="Kiểm toán trong ngày" sheetId="10" r:id="rId1"/>
    <sheet name="Chi tiết_2023_Mẫu" sheetId="22" r:id="rId2"/>
    <sheet name="Báo cáo tháng_Mẫu" sheetId="16" r:id="rId3"/>
    <sheet name="Mẫu 売り上げ" sheetId="2" r:id="rId4"/>
    <sheet name="Hoá đơn_2023_5" sheetId="8" r:id="rId5"/>
    <sheet name="2022_11" sheetId="1" r:id="rId6"/>
    <sheet name="2023_2" sheetId="4" r:id="rId7"/>
    <sheet name="2023_3" sheetId="3" r:id="rId8"/>
    <sheet name="2023_4" sheetId="6" r:id="rId9"/>
    <sheet name="2023_5" sheetId="7" r:id="rId10"/>
    <sheet name="2023_6" sheetId="11" r:id="rId11"/>
    <sheet name="2023_7" sheetId="12" r:id="rId12"/>
    <sheet name="2023_8" sheetId="15" r:id="rId13"/>
    <sheet name="2023_9" sheetId="17" r:id="rId14"/>
    <sheet name="2023_10" sheetId="18" r:id="rId15"/>
    <sheet name="Chi tiết_2023_1１" sheetId="21" r:id="rId16"/>
    <sheet name="2023_11" sheetId="19" r:id="rId17"/>
    <sheet name="Chi tiết_2023_12" sheetId="20" r:id="rId18"/>
    <sheet name="2023_12" sheetId="23" r:id="rId19"/>
    <sheet name="2024_1" sheetId="26" r:id="rId20"/>
    <sheet name="2024_2" sheetId="28" r:id="rId21"/>
    <sheet name="2024_3" sheetId="30" r:id="rId22"/>
    <sheet name="2024_4" sheetId="31" r:id="rId23"/>
    <sheet name="2024_5" sheetId="32" r:id="rId24"/>
    <sheet name="2024_6" sheetId="33" r:id="rId25"/>
    <sheet name="2024_7" sheetId="34" r:id="rId26"/>
    <sheet name="2024_8" sheetId="35" r:id="rId27"/>
    <sheet name="2024_9" sheetId="36" r:id="rId28"/>
    <sheet name="2024_10" sheetId="38" r:id="rId29"/>
    <sheet name="2024_11" sheetId="39" r:id="rId30"/>
    <sheet name="2024_12" sheetId="37" r:id="rId31"/>
    <sheet name="2025_1" sheetId="40" r:id="rId32"/>
    <sheet name="2025_2" sheetId="41" r:id="rId33"/>
    <sheet name="2025_3" sheetId="42" r:id="rId34"/>
    <sheet name="2025_4" sheetId="43" r:id="rId35"/>
    <sheet name="2025_5" sheetId="44" r:id="rId36"/>
    <sheet name="2025_6" sheetId="47" r:id="rId37"/>
    <sheet name="2025_7" sheetId="48" r:id="rId38"/>
    <sheet name="2025_8" sheetId="50" r:id="rId39"/>
    <sheet name="2025_9" sheetId="51" r:id="rId40"/>
    <sheet name="2025_10" sheetId="52" r:id="rId41"/>
    <sheet name="2025_11" sheetId="53" r:id="rId42"/>
    <sheet name="2025_12" sheetId="54" r:id="rId43"/>
    <sheet name="2026_1" sheetId="55" r:id="rId44"/>
    <sheet name="2026_2" sheetId="56" r:id="rId45"/>
    <sheet name="2026_3" sheetId="57" r:id="rId46"/>
    <sheet name="2026_4" sheetId="59" r:id="rId47"/>
    <sheet name="Chi phí quán mới" sheetId="58" r:id="rId48"/>
    <sheet name="2026_5" sheetId="60" r:id="rId49"/>
    <sheet name="2026_6" sheetId="61" r:id="rId50"/>
    <sheet name="Chi phí tháng" sheetId="14" r:id="rId51"/>
    <sheet name="Bảng lợi nhuận" sheetId="13" r:id="rId5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26" i="61" l="1"/>
  <c r="X28" i="61"/>
  <c r="E43" i="13"/>
  <c r="E44" i="13"/>
  <c r="E45" i="13"/>
  <c r="E46" i="13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E58" i="13" s="1"/>
  <c r="E59" i="13" s="1"/>
  <c r="E60" i="13" s="1"/>
  <c r="E42" i="13"/>
  <c r="J9" i="38"/>
  <c r="C24" i="13"/>
  <c r="F24" i="14"/>
  <c r="AF7" i="61"/>
  <c r="AF6" i="61"/>
  <c r="I38" i="14"/>
  <c r="G38" i="14"/>
  <c r="E38" i="14"/>
  <c r="D38" i="14"/>
  <c r="E37" i="14"/>
  <c r="I3" i="61"/>
  <c r="I4" i="61"/>
  <c r="I5" i="61"/>
  <c r="I6" i="61"/>
  <c r="I7" i="61"/>
  <c r="I8" i="61"/>
  <c r="I9" i="61"/>
  <c r="I10" i="61"/>
  <c r="I11" i="61"/>
  <c r="I12" i="61"/>
  <c r="I13" i="61"/>
  <c r="I14" i="61"/>
  <c r="I15" i="61"/>
  <c r="I16" i="61"/>
  <c r="I17" i="61"/>
  <c r="I18" i="61"/>
  <c r="I19" i="61"/>
  <c r="I20" i="61"/>
  <c r="I21" i="61"/>
  <c r="I22" i="61"/>
  <c r="I23" i="61"/>
  <c r="I24" i="61"/>
  <c r="I25" i="61"/>
  <c r="I26" i="61"/>
  <c r="I27" i="61"/>
  <c r="I28" i="61"/>
  <c r="I29" i="61"/>
  <c r="I30" i="61"/>
  <c r="I31" i="61"/>
  <c r="I32" i="61"/>
  <c r="I2" i="61"/>
  <c r="G3" i="61"/>
  <c r="G4" i="61"/>
  <c r="G5" i="61"/>
  <c r="G6" i="61"/>
  <c r="G7" i="61"/>
  <c r="G8" i="61"/>
  <c r="G9" i="61"/>
  <c r="G10" i="61"/>
  <c r="G11" i="61"/>
  <c r="G12" i="61"/>
  <c r="G13" i="61"/>
  <c r="G14" i="61"/>
  <c r="G15" i="61"/>
  <c r="G16" i="61"/>
  <c r="G17" i="61"/>
  <c r="G18" i="61"/>
  <c r="G19" i="61"/>
  <c r="G20" i="61"/>
  <c r="G21" i="61"/>
  <c r="G22" i="61"/>
  <c r="G23" i="61"/>
  <c r="G24" i="61"/>
  <c r="G25" i="61"/>
  <c r="G26" i="61"/>
  <c r="G27" i="61"/>
  <c r="G28" i="61"/>
  <c r="G29" i="61"/>
  <c r="G30" i="61"/>
  <c r="G31" i="61"/>
  <c r="G32" i="61"/>
  <c r="G2" i="61"/>
  <c r="E32" i="61"/>
  <c r="E3" i="61"/>
  <c r="E4" i="61"/>
  <c r="E5" i="61"/>
  <c r="E6" i="61"/>
  <c r="E7" i="61"/>
  <c r="E8" i="61"/>
  <c r="E9" i="61"/>
  <c r="E10" i="61"/>
  <c r="E11" i="61"/>
  <c r="E12" i="61"/>
  <c r="E13" i="61"/>
  <c r="E14" i="61"/>
  <c r="E15" i="61"/>
  <c r="E16" i="61"/>
  <c r="E17" i="61"/>
  <c r="E18" i="61"/>
  <c r="E19" i="61"/>
  <c r="E20" i="61"/>
  <c r="E21" i="61"/>
  <c r="E22" i="61"/>
  <c r="E23" i="61"/>
  <c r="E24" i="61"/>
  <c r="E25" i="61"/>
  <c r="E26" i="61"/>
  <c r="E27" i="61"/>
  <c r="E28" i="61"/>
  <c r="E29" i="61"/>
  <c r="E30" i="61"/>
  <c r="E31" i="61"/>
  <c r="E2" i="61"/>
  <c r="Y23" i="61"/>
  <c r="S9" i="60"/>
  <c r="V8" i="60"/>
  <c r="W13" i="61"/>
  <c r="W15" i="61" s="1"/>
  <c r="V13" i="61"/>
  <c r="V15" i="61" s="1"/>
  <c r="S8" i="60"/>
  <c r="Q8" i="59"/>
  <c r="R8" i="59"/>
  <c r="Q8" i="57"/>
  <c r="S16" i="59"/>
  <c r="M27" i="14"/>
  <c r="K37" i="14"/>
  <c r="K36" i="14"/>
  <c r="K35" i="14"/>
  <c r="I35" i="14"/>
  <c r="I36" i="14"/>
  <c r="I37" i="14"/>
  <c r="G36" i="14"/>
  <c r="G37" i="14"/>
  <c r="G35" i="14"/>
  <c r="G34" i="14"/>
  <c r="E36" i="14"/>
  <c r="E35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M37" i="14" s="1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12" i="14"/>
  <c r="I28" i="14"/>
  <c r="I29" i="14"/>
  <c r="I30" i="14"/>
  <c r="I31" i="14"/>
  <c r="I32" i="14"/>
  <c r="I33" i="14"/>
  <c r="I34" i="14"/>
  <c r="I27" i="14"/>
  <c r="G28" i="14"/>
  <c r="G29" i="14"/>
  <c r="G30" i="14"/>
  <c r="G31" i="14"/>
  <c r="G32" i="14"/>
  <c r="G33" i="14"/>
  <c r="K13" i="14"/>
  <c r="K14" i="14"/>
  <c r="K15" i="14"/>
  <c r="K16" i="14"/>
  <c r="K17" i="14"/>
  <c r="K18" i="14"/>
  <c r="K19" i="14"/>
  <c r="K20" i="14"/>
  <c r="K21" i="14"/>
  <c r="K12" i="14"/>
  <c r="I13" i="14"/>
  <c r="I14" i="14"/>
  <c r="I15" i="14"/>
  <c r="I16" i="14"/>
  <c r="I17" i="14"/>
  <c r="I18" i="14"/>
  <c r="I19" i="14"/>
  <c r="I20" i="14"/>
  <c r="I21" i="14"/>
  <c r="I23" i="14"/>
  <c r="I24" i="14"/>
  <c r="I25" i="14"/>
  <c r="I26" i="14"/>
  <c r="I12" i="14"/>
  <c r="G15" i="14"/>
  <c r="G16" i="14"/>
  <c r="G17" i="14"/>
  <c r="G18" i="14"/>
  <c r="G19" i="14"/>
  <c r="G20" i="14"/>
  <c r="G21" i="14"/>
  <c r="G22" i="14"/>
  <c r="G14" i="14"/>
  <c r="G13" i="14"/>
  <c r="G12" i="14"/>
  <c r="E13" i="14"/>
  <c r="E14" i="14"/>
  <c r="E15" i="14"/>
  <c r="E16" i="14"/>
  <c r="E17" i="14"/>
  <c r="E18" i="14"/>
  <c r="E19" i="14"/>
  <c r="E20" i="14"/>
  <c r="E21" i="14"/>
  <c r="E12" i="14"/>
  <c r="F3" i="14"/>
  <c r="F9" i="14" s="1"/>
  <c r="E3" i="14"/>
  <c r="E9" i="14" s="1"/>
  <c r="D9" i="14"/>
  <c r="C9" i="14"/>
  <c r="R19" i="60"/>
  <c r="S19" i="60"/>
  <c r="S13" i="60"/>
  <c r="M35" i="14" l="1"/>
  <c r="M36" i="14"/>
  <c r="M13" i="14"/>
  <c r="M20" i="14"/>
  <c r="M19" i="14"/>
  <c r="M18" i="14"/>
  <c r="M17" i="14"/>
  <c r="M12" i="14"/>
  <c r="M16" i="14"/>
  <c r="M21" i="14"/>
  <c r="M14" i="14"/>
  <c r="M15" i="14"/>
  <c r="N34" i="61"/>
  <c r="AF8" i="61" s="1"/>
  <c r="M34" i="61"/>
  <c r="AF9" i="61" s="1"/>
  <c r="H34" i="61"/>
  <c r="X4" i="61" s="1"/>
  <c r="F34" i="61"/>
  <c r="R8" i="61" s="1"/>
  <c r="D34" i="61"/>
  <c r="C34" i="61"/>
  <c r="K33" i="61"/>
  <c r="K32" i="61"/>
  <c r="K31" i="61"/>
  <c r="K30" i="61"/>
  <c r="AG29" i="61"/>
  <c r="AD29" i="61"/>
  <c r="K29" i="61"/>
  <c r="K28" i="61"/>
  <c r="K27" i="61"/>
  <c r="K26" i="61"/>
  <c r="P34" i="61"/>
  <c r="K24" i="61"/>
  <c r="X19" i="61"/>
  <c r="Y19" i="61" s="1"/>
  <c r="V8" i="61" s="1"/>
  <c r="K23" i="61"/>
  <c r="K22" i="61"/>
  <c r="AL21" i="61"/>
  <c r="K21" i="61"/>
  <c r="K20" i="61"/>
  <c r="AC19" i="61"/>
  <c r="AC7" i="61"/>
  <c r="L34" i="61"/>
  <c r="AF10" i="61" s="1"/>
  <c r="K19" i="61"/>
  <c r="AC18" i="61"/>
  <c r="K18" i="61"/>
  <c r="AF17" i="61"/>
  <c r="AC17" i="61"/>
  <c r="K17" i="61"/>
  <c r="AF16" i="61"/>
  <c r="AC16" i="61"/>
  <c r="K16" i="61"/>
  <c r="Z15" i="61"/>
  <c r="Y15" i="61"/>
  <c r="T15" i="61"/>
  <c r="K15" i="61"/>
  <c r="K14" i="61"/>
  <c r="AA13" i="61"/>
  <c r="AA15" i="61" s="1"/>
  <c r="Z13" i="61"/>
  <c r="X13" i="61"/>
  <c r="X15" i="61" s="1"/>
  <c r="U13" i="61"/>
  <c r="U15" i="61" s="1"/>
  <c r="S13" i="61"/>
  <c r="S15" i="61" s="1"/>
  <c r="K13" i="61"/>
  <c r="K12" i="61"/>
  <c r="K11" i="61"/>
  <c r="AJ10" i="61"/>
  <c r="U16" i="61" s="1"/>
  <c r="T8" i="61" s="1"/>
  <c r="K10" i="61"/>
  <c r="K9" i="61"/>
  <c r="K8" i="61"/>
  <c r="K7" i="61"/>
  <c r="K6" i="61"/>
  <c r="AF5" i="61"/>
  <c r="K5" i="61"/>
  <c r="AC4" i="61"/>
  <c r="K4" i="61"/>
  <c r="K3" i="61"/>
  <c r="O34" i="61"/>
  <c r="AF12" i="61" s="1"/>
  <c r="AE17" i="60"/>
  <c r="AE16" i="60"/>
  <c r="AE31" i="60"/>
  <c r="AE30" i="60"/>
  <c r="U8" i="44"/>
  <c r="AF26" i="60"/>
  <c r="Q4" i="44"/>
  <c r="AD31" i="60"/>
  <c r="AD30" i="60"/>
  <c r="AD26" i="60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35" i="14"/>
  <c r="Y13" i="60"/>
  <c r="V13" i="60"/>
  <c r="X13" i="60"/>
  <c r="U13" i="60"/>
  <c r="T19" i="60"/>
  <c r="AB4" i="60"/>
  <c r="AE10" i="60"/>
  <c r="AE12" i="60"/>
  <c r="P25" i="60"/>
  <c r="AE5" i="60"/>
  <c r="V4" i="60"/>
  <c r="L19" i="60"/>
  <c r="G34" i="60"/>
  <c r="O30" i="60"/>
  <c r="O28" i="60"/>
  <c r="K25" i="60"/>
  <c r="O23" i="60"/>
  <c r="K23" i="60" s="1"/>
  <c r="O22" i="60"/>
  <c r="O21" i="60"/>
  <c r="O16" i="60"/>
  <c r="O13" i="60"/>
  <c r="O9" i="60"/>
  <c r="O8" i="60"/>
  <c r="O7" i="60"/>
  <c r="K7" i="60" s="1"/>
  <c r="O4" i="60"/>
  <c r="K4" i="60" s="1"/>
  <c r="O2" i="60"/>
  <c r="K2" i="60"/>
  <c r="K3" i="60"/>
  <c r="K5" i="60"/>
  <c r="K6" i="60"/>
  <c r="K8" i="60"/>
  <c r="K9" i="60"/>
  <c r="K10" i="60"/>
  <c r="K11" i="60"/>
  <c r="K12" i="60"/>
  <c r="K13" i="60"/>
  <c r="K14" i="60"/>
  <c r="K15" i="60"/>
  <c r="K16" i="60"/>
  <c r="K17" i="60"/>
  <c r="K18" i="60"/>
  <c r="K19" i="60"/>
  <c r="K20" i="60"/>
  <c r="K21" i="60"/>
  <c r="K22" i="60"/>
  <c r="K24" i="60"/>
  <c r="K26" i="60"/>
  <c r="K27" i="60"/>
  <c r="K28" i="60"/>
  <c r="K29" i="60"/>
  <c r="C34" i="60"/>
  <c r="D34" i="60"/>
  <c r="E34" i="60"/>
  <c r="R13" i="61" l="1"/>
  <c r="R15" i="61" s="1"/>
  <c r="J38" i="14"/>
  <c r="X8" i="61"/>
  <c r="AF21" i="61"/>
  <c r="I33" i="61"/>
  <c r="G34" i="61"/>
  <c r="AC20" i="61"/>
  <c r="AC21" i="61" s="1"/>
  <c r="AE14" i="61" s="1"/>
  <c r="E34" i="61"/>
  <c r="K2" i="61"/>
  <c r="K25" i="61"/>
  <c r="AC13" i="61"/>
  <c r="E3" i="60"/>
  <c r="G3" i="60" s="1"/>
  <c r="E4" i="60"/>
  <c r="G4" i="60" s="1"/>
  <c r="E5" i="60"/>
  <c r="G5" i="60" s="1"/>
  <c r="E6" i="60"/>
  <c r="G6" i="60" s="1"/>
  <c r="E7" i="60"/>
  <c r="G7" i="60" s="1"/>
  <c r="E8" i="60"/>
  <c r="G8" i="60" s="1"/>
  <c r="E9" i="60"/>
  <c r="G9" i="60" s="1"/>
  <c r="E10" i="60"/>
  <c r="G10" i="60" s="1"/>
  <c r="E11" i="60"/>
  <c r="G11" i="60" s="1"/>
  <c r="E12" i="60"/>
  <c r="G12" i="60" s="1"/>
  <c r="E13" i="60"/>
  <c r="G13" i="60" s="1"/>
  <c r="E14" i="60"/>
  <c r="G14" i="60" s="1"/>
  <c r="E15" i="60"/>
  <c r="G15" i="60" s="1"/>
  <c r="E16" i="60"/>
  <c r="G16" i="60" s="1"/>
  <c r="E17" i="60"/>
  <c r="G17" i="60" s="1"/>
  <c r="E18" i="60"/>
  <c r="G18" i="60" s="1"/>
  <c r="E19" i="60"/>
  <c r="G19" i="60" s="1"/>
  <c r="E20" i="60"/>
  <c r="G20" i="60" s="1"/>
  <c r="E21" i="60"/>
  <c r="G21" i="60" s="1"/>
  <c r="E22" i="60"/>
  <c r="G22" i="60" s="1"/>
  <c r="E23" i="60"/>
  <c r="G23" i="60" s="1"/>
  <c r="E24" i="60"/>
  <c r="G24" i="60" s="1"/>
  <c r="E25" i="60"/>
  <c r="G25" i="60" s="1"/>
  <c r="E26" i="60"/>
  <c r="G26" i="60" s="1"/>
  <c r="E27" i="60"/>
  <c r="G27" i="60" s="1"/>
  <c r="E28" i="60"/>
  <c r="G28" i="60" s="1"/>
  <c r="E29" i="60"/>
  <c r="G29" i="60" s="1"/>
  <c r="E30" i="60"/>
  <c r="G30" i="60" s="1"/>
  <c r="E31" i="60"/>
  <c r="G31" i="60" s="1"/>
  <c r="E32" i="60"/>
  <c r="G32" i="60" s="1"/>
  <c r="E2" i="60"/>
  <c r="G2" i="60" s="1"/>
  <c r="I2" i="60" s="1"/>
  <c r="N34" i="60"/>
  <c r="AE8" i="60" s="1"/>
  <c r="M34" i="60"/>
  <c r="AE9" i="60" s="1"/>
  <c r="L34" i="60"/>
  <c r="H34" i="60"/>
  <c r="AB20" i="60" s="1"/>
  <c r="K33" i="60"/>
  <c r="G33" i="60"/>
  <c r="K32" i="60"/>
  <c r="K31" i="60"/>
  <c r="K30" i="60"/>
  <c r="AF29" i="60"/>
  <c r="AC29" i="60"/>
  <c r="P34" i="60"/>
  <c r="W23" i="60"/>
  <c r="V19" i="60" s="1"/>
  <c r="AK21" i="60"/>
  <c r="AB19" i="60"/>
  <c r="U19" i="60"/>
  <c r="AB7" i="60" s="1"/>
  <c r="AB18" i="60"/>
  <c r="AB17" i="60"/>
  <c r="AB16" i="60"/>
  <c r="W15" i="60"/>
  <c r="V15" i="60"/>
  <c r="U15" i="60"/>
  <c r="T15" i="60"/>
  <c r="Y15" i="60"/>
  <c r="X15" i="60"/>
  <c r="S15" i="60"/>
  <c r="AI10" i="60"/>
  <c r="R19" i="59"/>
  <c r="W13" i="59"/>
  <c r="W15" i="59" s="1"/>
  <c r="V13" i="59"/>
  <c r="V15" i="59" s="1"/>
  <c r="T13" i="59"/>
  <c r="T15" i="59" s="1"/>
  <c r="S13" i="59"/>
  <c r="S15" i="59" s="1"/>
  <c r="Q13" i="59"/>
  <c r="N29" i="59"/>
  <c r="I29" i="59" s="1"/>
  <c r="M26" i="59"/>
  <c r="N24" i="59"/>
  <c r="M24" i="59"/>
  <c r="I24" i="59" s="1"/>
  <c r="M22" i="59"/>
  <c r="M21" i="59"/>
  <c r="M19" i="59"/>
  <c r="I19" i="59" s="1"/>
  <c r="M12" i="59"/>
  <c r="I12" i="59" s="1"/>
  <c r="D11" i="59"/>
  <c r="I11" i="59" s="1"/>
  <c r="N122" i="58"/>
  <c r="N123" i="58"/>
  <c r="N124" i="58"/>
  <c r="N125" i="58"/>
  <c r="N126" i="58"/>
  <c r="N127" i="58"/>
  <c r="N128" i="58"/>
  <c r="N100" i="58"/>
  <c r="N101" i="58"/>
  <c r="N102" i="58"/>
  <c r="N103" i="58"/>
  <c r="N104" i="58"/>
  <c r="N105" i="58"/>
  <c r="N106" i="58"/>
  <c r="N107" i="58"/>
  <c r="N108" i="58"/>
  <c r="N109" i="58"/>
  <c r="N110" i="58"/>
  <c r="N111" i="58"/>
  <c r="N112" i="58"/>
  <c r="N113" i="58"/>
  <c r="N114" i="58"/>
  <c r="N115" i="58"/>
  <c r="N116" i="58"/>
  <c r="N117" i="58"/>
  <c r="N118" i="58"/>
  <c r="N119" i="58"/>
  <c r="N120" i="58"/>
  <c r="N121" i="58"/>
  <c r="K32" i="58"/>
  <c r="J42" i="58"/>
  <c r="K42" i="58" s="1"/>
  <c r="K25" i="58"/>
  <c r="K26" i="58"/>
  <c r="K24" i="58"/>
  <c r="K20" i="58"/>
  <c r="K21" i="58"/>
  <c r="K22" i="58"/>
  <c r="K23" i="58"/>
  <c r="K19" i="58"/>
  <c r="K5" i="58"/>
  <c r="K6" i="58"/>
  <c r="K7" i="58"/>
  <c r="K8" i="58"/>
  <c r="K9" i="58"/>
  <c r="K10" i="58"/>
  <c r="K11" i="58"/>
  <c r="K12" i="58"/>
  <c r="K13" i="58"/>
  <c r="K14" i="58"/>
  <c r="K15" i="58"/>
  <c r="K16" i="58"/>
  <c r="K17" i="58"/>
  <c r="K18" i="58"/>
  <c r="K4" i="58"/>
  <c r="L42" i="58"/>
  <c r="L41" i="58"/>
  <c r="J41" i="58"/>
  <c r="N41" i="58" s="1"/>
  <c r="L40" i="58"/>
  <c r="J40" i="58"/>
  <c r="L39" i="58"/>
  <c r="J39" i="58"/>
  <c r="K39" i="58" s="1"/>
  <c r="J38" i="58"/>
  <c r="N38" i="58" s="1"/>
  <c r="J37" i="58"/>
  <c r="N37" i="58" s="1"/>
  <c r="L36" i="58"/>
  <c r="J36" i="58"/>
  <c r="J35" i="58"/>
  <c r="K35" i="58" s="1"/>
  <c r="L34" i="58"/>
  <c r="J34" i="58"/>
  <c r="K34" i="58" s="1"/>
  <c r="L33" i="58"/>
  <c r="J33" i="58"/>
  <c r="K33" i="58" s="1"/>
  <c r="L32" i="58"/>
  <c r="J32" i="58"/>
  <c r="N28" i="58"/>
  <c r="N29" i="58"/>
  <c r="N30" i="58"/>
  <c r="N31" i="58"/>
  <c r="N43" i="58"/>
  <c r="N44" i="58"/>
  <c r="N45" i="58"/>
  <c r="N46" i="58"/>
  <c r="N47" i="58"/>
  <c r="N48" i="58"/>
  <c r="N49" i="58"/>
  <c r="N50" i="58"/>
  <c r="N51" i="58"/>
  <c r="N52" i="58"/>
  <c r="N27" i="58"/>
  <c r="N53" i="58"/>
  <c r="N54" i="58"/>
  <c r="N55" i="58"/>
  <c r="N56" i="58"/>
  <c r="N57" i="58"/>
  <c r="N58" i="58"/>
  <c r="N59" i="58"/>
  <c r="N60" i="58"/>
  <c r="N61" i="58"/>
  <c r="N62" i="58"/>
  <c r="N63" i="58"/>
  <c r="N64" i="58"/>
  <c r="N65" i="58"/>
  <c r="N66" i="58"/>
  <c r="N67" i="58"/>
  <c r="N68" i="58"/>
  <c r="N69" i="58"/>
  <c r="N70" i="58"/>
  <c r="N71" i="58"/>
  <c r="N72" i="58"/>
  <c r="N73" i="58"/>
  <c r="N74" i="58"/>
  <c r="N75" i="58"/>
  <c r="N76" i="58"/>
  <c r="N77" i="58"/>
  <c r="N78" i="58"/>
  <c r="N79" i="58"/>
  <c r="N80" i="58"/>
  <c r="N81" i="58"/>
  <c r="N82" i="58"/>
  <c r="N83" i="58"/>
  <c r="N84" i="58"/>
  <c r="N85" i="58"/>
  <c r="N86" i="58"/>
  <c r="N87" i="58"/>
  <c r="N88" i="58"/>
  <c r="N89" i="58"/>
  <c r="N90" i="58"/>
  <c r="N91" i="58"/>
  <c r="N92" i="58"/>
  <c r="N93" i="58"/>
  <c r="N94" i="58"/>
  <c r="N95" i="58"/>
  <c r="N96" i="58"/>
  <c r="N97" i="58"/>
  <c r="N98" i="58"/>
  <c r="N99" i="58"/>
  <c r="N5" i="58"/>
  <c r="N6" i="58"/>
  <c r="N7" i="58"/>
  <c r="N8" i="58"/>
  <c r="N9" i="58"/>
  <c r="N10" i="58"/>
  <c r="N11" i="58"/>
  <c r="N12" i="58"/>
  <c r="N13" i="58"/>
  <c r="N14" i="58"/>
  <c r="N15" i="58"/>
  <c r="N16" i="58"/>
  <c r="N17" i="58"/>
  <c r="N18" i="58"/>
  <c r="N19" i="58"/>
  <c r="N20" i="58"/>
  <c r="N21" i="58"/>
  <c r="N22" i="58"/>
  <c r="N23" i="58"/>
  <c r="N24" i="58"/>
  <c r="N25" i="58"/>
  <c r="N26" i="58"/>
  <c r="N4" i="58"/>
  <c r="M6" i="59"/>
  <c r="M5" i="59"/>
  <c r="I5" i="59" s="1"/>
  <c r="M3" i="59"/>
  <c r="Z4" i="59"/>
  <c r="P13" i="59"/>
  <c r="L34" i="59"/>
  <c r="AC8" i="59" s="1"/>
  <c r="K34" i="59"/>
  <c r="AC9" i="59" s="1"/>
  <c r="J34" i="59"/>
  <c r="AC10" i="59" s="1"/>
  <c r="F34" i="59"/>
  <c r="T4" i="59" s="1"/>
  <c r="Z20" i="59" s="1"/>
  <c r="D34" i="59"/>
  <c r="P8" i="59" s="1"/>
  <c r="C34" i="59"/>
  <c r="AB26" i="59" s="1"/>
  <c r="AD26" i="59" s="1"/>
  <c r="I33" i="59"/>
  <c r="E33" i="59"/>
  <c r="I32" i="59"/>
  <c r="E32" i="59"/>
  <c r="AC31" i="59"/>
  <c r="I31" i="59"/>
  <c r="E31" i="59"/>
  <c r="AC30" i="59"/>
  <c r="I30" i="59"/>
  <c r="E30" i="59"/>
  <c r="AD29" i="59"/>
  <c r="AA29" i="59"/>
  <c r="E29" i="59"/>
  <c r="AC28" i="59"/>
  <c r="I28" i="59"/>
  <c r="E28" i="59"/>
  <c r="I27" i="59"/>
  <c r="E27" i="59"/>
  <c r="I26" i="59"/>
  <c r="E26" i="59"/>
  <c r="I25" i="59"/>
  <c r="E25" i="59"/>
  <c r="E24" i="59"/>
  <c r="U23" i="59"/>
  <c r="I23" i="59"/>
  <c r="E23" i="59"/>
  <c r="I22" i="59"/>
  <c r="E22" i="59"/>
  <c r="AI21" i="59"/>
  <c r="AC21" i="59"/>
  <c r="I21" i="59"/>
  <c r="E21" i="59"/>
  <c r="I20" i="59"/>
  <c r="E20" i="59"/>
  <c r="Z19" i="59"/>
  <c r="T19" i="59"/>
  <c r="S19" i="59"/>
  <c r="E19" i="59"/>
  <c r="Z18" i="59"/>
  <c r="I18" i="59"/>
  <c r="E18" i="59"/>
  <c r="Z17" i="59"/>
  <c r="I17" i="59"/>
  <c r="E17" i="59"/>
  <c r="AC16" i="59"/>
  <c r="Z16" i="59"/>
  <c r="I16" i="59"/>
  <c r="E16" i="59"/>
  <c r="U15" i="59"/>
  <c r="R15" i="59"/>
  <c r="I15" i="59"/>
  <c r="E15" i="59"/>
  <c r="I14" i="59"/>
  <c r="E14" i="59"/>
  <c r="Q15" i="59"/>
  <c r="I13" i="59"/>
  <c r="E13" i="59"/>
  <c r="E12" i="59"/>
  <c r="E11" i="59"/>
  <c r="AG10" i="59"/>
  <c r="I10" i="59"/>
  <c r="E10" i="59"/>
  <c r="I9" i="59"/>
  <c r="E9" i="59"/>
  <c r="I8" i="59"/>
  <c r="E8" i="59"/>
  <c r="I7" i="59"/>
  <c r="E7" i="59"/>
  <c r="I6" i="59"/>
  <c r="E6" i="59"/>
  <c r="AC5" i="59"/>
  <c r="E5" i="59"/>
  <c r="I4" i="59"/>
  <c r="E4" i="59"/>
  <c r="I3" i="59"/>
  <c r="E3" i="59"/>
  <c r="I2" i="59"/>
  <c r="E2" i="59"/>
  <c r="G2" i="59" s="1"/>
  <c r="G3" i="59" s="1"/>
  <c r="AI18" i="57"/>
  <c r="Z4" i="57"/>
  <c r="Z13" i="57" s="1"/>
  <c r="AC30" i="57"/>
  <c r="AC31" i="57"/>
  <c r="AC28" i="57"/>
  <c r="C34" i="42"/>
  <c r="I4" i="42" s="1"/>
  <c r="AB31" i="56"/>
  <c r="AB31" i="57"/>
  <c r="AB30" i="57"/>
  <c r="AB26" i="57"/>
  <c r="E3" i="58"/>
  <c r="M31" i="57"/>
  <c r="M32" i="57"/>
  <c r="I32" i="57"/>
  <c r="N30" i="57"/>
  <c r="M24" i="57"/>
  <c r="N14" i="57"/>
  <c r="N34" i="57" s="1"/>
  <c r="M6" i="57"/>
  <c r="S13" i="57"/>
  <c r="S15" i="57" s="1"/>
  <c r="R19" i="57"/>
  <c r="Q13" i="57"/>
  <c r="Q15" i="57" s="1"/>
  <c r="Q19" i="57"/>
  <c r="W13" i="57"/>
  <c r="W15" i="57" s="1"/>
  <c r="V13" i="57"/>
  <c r="V15" i="57" s="1"/>
  <c r="T13" i="57"/>
  <c r="P13" i="57"/>
  <c r="L34" i="57"/>
  <c r="AC8" i="57" s="1"/>
  <c r="K34" i="57"/>
  <c r="AC9" i="57" s="1"/>
  <c r="F34" i="57"/>
  <c r="T4" i="57" s="1"/>
  <c r="Z20" i="57" s="1"/>
  <c r="D34" i="57"/>
  <c r="P8" i="57" s="1"/>
  <c r="C34" i="57"/>
  <c r="P4" i="57" s="1"/>
  <c r="U5" i="57" s="1"/>
  <c r="I33" i="57"/>
  <c r="E33" i="57"/>
  <c r="E32" i="57"/>
  <c r="I31" i="57"/>
  <c r="E31" i="57"/>
  <c r="I30" i="57"/>
  <c r="E30" i="57"/>
  <c r="AD29" i="57"/>
  <c r="AA29" i="57"/>
  <c r="E29" i="57"/>
  <c r="I28" i="57"/>
  <c r="E28" i="57"/>
  <c r="I27" i="57"/>
  <c r="E27" i="57"/>
  <c r="I26" i="57"/>
  <c r="E26" i="57"/>
  <c r="I25" i="57"/>
  <c r="E25" i="57"/>
  <c r="I24" i="57"/>
  <c r="E24" i="57"/>
  <c r="U23" i="57"/>
  <c r="T19" i="57" s="1"/>
  <c r="U19" i="57" s="1"/>
  <c r="R8" i="57" s="1"/>
  <c r="I23" i="57"/>
  <c r="E23" i="57"/>
  <c r="I22" i="57"/>
  <c r="E22" i="57"/>
  <c r="AC21" i="57"/>
  <c r="I21" i="57"/>
  <c r="E21" i="57"/>
  <c r="I20" i="57"/>
  <c r="E20" i="57"/>
  <c r="Z19" i="57"/>
  <c r="S19" i="57"/>
  <c r="I19" i="57"/>
  <c r="E19" i="57"/>
  <c r="AI21" i="57"/>
  <c r="Z18" i="57"/>
  <c r="I18" i="57"/>
  <c r="E18" i="57"/>
  <c r="Z17" i="57"/>
  <c r="I17" i="57"/>
  <c r="E17" i="57"/>
  <c r="AC16" i="57"/>
  <c r="Z16" i="57"/>
  <c r="I16" i="57"/>
  <c r="E16" i="57"/>
  <c r="U15" i="57"/>
  <c r="T15" i="57"/>
  <c r="R15" i="57"/>
  <c r="I15" i="57"/>
  <c r="E15" i="57"/>
  <c r="I14" i="57"/>
  <c r="E14" i="57"/>
  <c r="I13" i="57"/>
  <c r="E13" i="57"/>
  <c r="I12" i="57"/>
  <c r="E12" i="57"/>
  <c r="J34" i="57"/>
  <c r="AC10" i="57" s="1"/>
  <c r="I11" i="57"/>
  <c r="E11" i="57"/>
  <c r="AG10" i="57"/>
  <c r="I10" i="57"/>
  <c r="E10" i="57"/>
  <c r="I9" i="57"/>
  <c r="E9" i="57"/>
  <c r="I8" i="57"/>
  <c r="E8" i="57"/>
  <c r="Z7" i="57"/>
  <c r="I7" i="57"/>
  <c r="E7" i="57"/>
  <c r="E6" i="57"/>
  <c r="AC5" i="57"/>
  <c r="I5" i="57"/>
  <c r="E5" i="57"/>
  <c r="I4" i="57"/>
  <c r="E4" i="57"/>
  <c r="I3" i="57"/>
  <c r="E3" i="57"/>
  <c r="I2" i="57"/>
  <c r="E2" i="57"/>
  <c r="G2" i="57" s="1"/>
  <c r="G3" i="57" s="1"/>
  <c r="J31" i="14"/>
  <c r="K31" i="14" s="1"/>
  <c r="J32" i="14"/>
  <c r="K32" i="14" s="1"/>
  <c r="J33" i="14"/>
  <c r="K33" i="14" s="1"/>
  <c r="J34" i="14"/>
  <c r="K34" i="14" s="1"/>
  <c r="W13" i="56"/>
  <c r="V13" i="56"/>
  <c r="S13" i="56"/>
  <c r="S15" i="56" s="1"/>
  <c r="T13" i="56"/>
  <c r="R19" i="56"/>
  <c r="Q13" i="56"/>
  <c r="Q15" i="56" s="1"/>
  <c r="P13" i="56"/>
  <c r="P15" i="56" s="1"/>
  <c r="D31" i="14"/>
  <c r="E31" i="14" s="1"/>
  <c r="D32" i="14"/>
  <c r="E32" i="14" s="1"/>
  <c r="D33" i="14"/>
  <c r="E33" i="14" s="1"/>
  <c r="D34" i="14"/>
  <c r="E34" i="14" s="1"/>
  <c r="N29" i="56"/>
  <c r="N34" i="56" s="1"/>
  <c r="M26" i="56"/>
  <c r="E26" i="56"/>
  <c r="M14" i="56"/>
  <c r="I14" i="56" s="1"/>
  <c r="J11" i="56"/>
  <c r="J34" i="56" s="1"/>
  <c r="AC10" i="56" s="1"/>
  <c r="M4" i="56"/>
  <c r="M3" i="56"/>
  <c r="I3" i="56" s="1"/>
  <c r="L34" i="56"/>
  <c r="AC8" i="56" s="1"/>
  <c r="K34" i="56"/>
  <c r="AC9" i="56" s="1"/>
  <c r="F34" i="56"/>
  <c r="T4" i="56" s="1"/>
  <c r="Z20" i="56" s="1"/>
  <c r="C34" i="56"/>
  <c r="P4" i="56" s="1"/>
  <c r="I33" i="56"/>
  <c r="E33" i="56"/>
  <c r="I32" i="56"/>
  <c r="E32" i="56"/>
  <c r="AC31" i="56"/>
  <c r="I31" i="56"/>
  <c r="E31" i="56"/>
  <c r="AC30" i="56"/>
  <c r="I30" i="56"/>
  <c r="E30" i="56"/>
  <c r="AD29" i="56"/>
  <c r="AA29" i="56"/>
  <c r="E29" i="56"/>
  <c r="AC28" i="56"/>
  <c r="I28" i="56"/>
  <c r="E28" i="56"/>
  <c r="I27" i="56"/>
  <c r="E27" i="56"/>
  <c r="I26" i="56"/>
  <c r="I25" i="56"/>
  <c r="E25" i="56"/>
  <c r="I24" i="56"/>
  <c r="E24" i="56"/>
  <c r="U23" i="56"/>
  <c r="T19" i="56" s="1"/>
  <c r="U19" i="56" s="1"/>
  <c r="R8" i="56" s="1"/>
  <c r="I23" i="56"/>
  <c r="E23" i="56"/>
  <c r="I22" i="56"/>
  <c r="E22" i="56"/>
  <c r="AI21" i="56"/>
  <c r="I21" i="56"/>
  <c r="E21" i="56"/>
  <c r="I20" i="56"/>
  <c r="E20" i="56"/>
  <c r="Z19" i="56"/>
  <c r="S19" i="56"/>
  <c r="I19" i="56"/>
  <c r="E19" i="56"/>
  <c r="AI18" i="56"/>
  <c r="Z18" i="56"/>
  <c r="I18" i="56"/>
  <c r="E18" i="56"/>
  <c r="Z17" i="56"/>
  <c r="I17" i="56"/>
  <c r="E17" i="56"/>
  <c r="AC16" i="56"/>
  <c r="AC21" i="56" s="1"/>
  <c r="Z16" i="56"/>
  <c r="I16" i="56"/>
  <c r="E16" i="56"/>
  <c r="U15" i="56"/>
  <c r="R15" i="56"/>
  <c r="I15" i="56"/>
  <c r="E15" i="56"/>
  <c r="E14" i="56"/>
  <c r="W15" i="56"/>
  <c r="V15" i="56"/>
  <c r="T15" i="56"/>
  <c r="I13" i="56"/>
  <c r="E13" i="56"/>
  <c r="I12" i="56"/>
  <c r="E12" i="56"/>
  <c r="E11" i="56"/>
  <c r="AG10" i="56"/>
  <c r="I10" i="56"/>
  <c r="E10" i="56"/>
  <c r="I9" i="56"/>
  <c r="E9" i="56"/>
  <c r="I8" i="56"/>
  <c r="E8" i="56"/>
  <c r="Z7" i="56"/>
  <c r="Z13" i="56" s="1"/>
  <c r="I7" i="56"/>
  <c r="E7" i="56"/>
  <c r="I6" i="56"/>
  <c r="E6" i="56"/>
  <c r="AC5" i="56"/>
  <c r="I5" i="56"/>
  <c r="E5" i="56"/>
  <c r="I4" i="56"/>
  <c r="E4" i="56"/>
  <c r="E3" i="56"/>
  <c r="I2" i="56"/>
  <c r="E2" i="56"/>
  <c r="AI18" i="55"/>
  <c r="AB30" i="55"/>
  <c r="AC30" i="55"/>
  <c r="AB31" i="55"/>
  <c r="N25" i="55"/>
  <c r="R13" i="55"/>
  <c r="Q13" i="55"/>
  <c r="V13" i="55"/>
  <c r="W13" i="55"/>
  <c r="R19" i="55"/>
  <c r="S13" i="55"/>
  <c r="T13" i="55"/>
  <c r="K38" i="14" l="1"/>
  <c r="L38" i="14"/>
  <c r="M38" i="14" s="1"/>
  <c r="AF4" i="61"/>
  <c r="K34" i="61"/>
  <c r="AF11" i="61" s="1"/>
  <c r="R4" i="61"/>
  <c r="S9" i="61" s="1"/>
  <c r="I34" i="61"/>
  <c r="AE26" i="61"/>
  <c r="U16" i="60"/>
  <c r="AE4" i="60" s="1"/>
  <c r="I3" i="60"/>
  <c r="I4" i="60" s="1"/>
  <c r="I5" i="60" s="1"/>
  <c r="I6" i="60" s="1"/>
  <c r="I7" i="60" s="1"/>
  <c r="I8" i="60" s="1"/>
  <c r="I9" i="60" s="1"/>
  <c r="I10" i="60" s="1"/>
  <c r="I11" i="60" s="1"/>
  <c r="I12" i="60" s="1"/>
  <c r="I13" i="60" s="1"/>
  <c r="I14" i="60" s="1"/>
  <c r="I15" i="60" s="1"/>
  <c r="I16" i="60" s="1"/>
  <c r="I17" i="60" s="1"/>
  <c r="I18" i="60" s="1"/>
  <c r="I19" i="60" s="1"/>
  <c r="I20" i="60" s="1"/>
  <c r="I21" i="60" s="1"/>
  <c r="I22" i="60" s="1"/>
  <c r="I23" i="60" s="1"/>
  <c r="I24" i="60" s="1"/>
  <c r="I25" i="60" s="1"/>
  <c r="I26" i="60" s="1"/>
  <c r="I27" i="60" s="1"/>
  <c r="I28" i="60" s="1"/>
  <c r="I29" i="60" s="1"/>
  <c r="I30" i="60" s="1"/>
  <c r="I31" i="60" s="1"/>
  <c r="I32" i="60" s="1"/>
  <c r="I33" i="60" s="1"/>
  <c r="O34" i="60"/>
  <c r="W19" i="60"/>
  <c r="T8" i="60" s="1"/>
  <c r="AB13" i="60"/>
  <c r="K34" i="60"/>
  <c r="AE11" i="60" s="1"/>
  <c r="R13" i="60"/>
  <c r="R15" i="60" s="1"/>
  <c r="F34" i="60"/>
  <c r="R8" i="60" s="1"/>
  <c r="AB21" i="60"/>
  <c r="AE21" i="60"/>
  <c r="U19" i="59"/>
  <c r="AC4" i="59"/>
  <c r="N42" i="58"/>
  <c r="N33" i="58"/>
  <c r="N32" i="58"/>
  <c r="N40" i="58"/>
  <c r="K40" i="58"/>
  <c r="K41" i="58"/>
  <c r="N35" i="58"/>
  <c r="N36" i="58"/>
  <c r="K38" i="58"/>
  <c r="K37" i="58"/>
  <c r="K36" i="58"/>
  <c r="N34" i="58"/>
  <c r="N39" i="58"/>
  <c r="G4" i="59"/>
  <c r="G5" i="59" s="1"/>
  <c r="G6" i="59" s="1"/>
  <c r="G7" i="59" s="1"/>
  <c r="G8" i="59" s="1"/>
  <c r="G9" i="59" s="1"/>
  <c r="G10" i="59" s="1"/>
  <c r="G11" i="59" s="1"/>
  <c r="G12" i="59" s="1"/>
  <c r="G13" i="59" s="1"/>
  <c r="G14" i="59" s="1"/>
  <c r="G15" i="59" s="1"/>
  <c r="G16" i="59" s="1"/>
  <c r="G17" i="59" s="1"/>
  <c r="G18" i="59" s="1"/>
  <c r="G19" i="59" s="1"/>
  <c r="G20" i="59" s="1"/>
  <c r="G21" i="59" s="1"/>
  <c r="G22" i="59" s="1"/>
  <c r="G23" i="59" s="1"/>
  <c r="G24" i="59" s="1"/>
  <c r="G25" i="59" s="1"/>
  <c r="G26" i="59" s="1"/>
  <c r="G27" i="59" s="1"/>
  <c r="G28" i="59" s="1"/>
  <c r="G29" i="59" s="1"/>
  <c r="G30" i="59" s="1"/>
  <c r="G31" i="59" s="1"/>
  <c r="G32" i="59" s="1"/>
  <c r="G33" i="59" s="1"/>
  <c r="P4" i="59"/>
  <c r="AD7" i="59" s="1"/>
  <c r="P15" i="59"/>
  <c r="G34" i="59"/>
  <c r="I34" i="59"/>
  <c r="Z21" i="59"/>
  <c r="AB14" i="59" s="1"/>
  <c r="M34" i="59"/>
  <c r="AC12" i="59" s="1"/>
  <c r="N34" i="59"/>
  <c r="AB30" i="59"/>
  <c r="AB31" i="59"/>
  <c r="E34" i="59"/>
  <c r="AA26" i="59"/>
  <c r="Z7" i="59"/>
  <c r="M34" i="57"/>
  <c r="AC12" i="57" s="1"/>
  <c r="AD12" i="57" s="1"/>
  <c r="I6" i="57"/>
  <c r="AD10" i="57"/>
  <c r="AD30" i="57"/>
  <c r="Z21" i="57"/>
  <c r="AB14" i="57" s="1"/>
  <c r="AA18" i="57"/>
  <c r="T5" i="57"/>
  <c r="AD8" i="57"/>
  <c r="E34" i="57"/>
  <c r="G4" i="57"/>
  <c r="G5" i="57" s="1"/>
  <c r="G6" i="57" s="1"/>
  <c r="G7" i="57" s="1"/>
  <c r="G8" i="57" s="1"/>
  <c r="G9" i="57" s="1"/>
  <c r="G10" i="57" s="1"/>
  <c r="G11" i="57" s="1"/>
  <c r="G12" i="57" s="1"/>
  <c r="G13" i="57" s="1"/>
  <c r="G14" i="57" s="1"/>
  <c r="G15" i="57" s="1"/>
  <c r="G16" i="57" s="1"/>
  <c r="G17" i="57" s="1"/>
  <c r="G18" i="57" s="1"/>
  <c r="G19" i="57" s="1"/>
  <c r="G20" i="57" s="1"/>
  <c r="G21" i="57" s="1"/>
  <c r="G22" i="57" s="1"/>
  <c r="G23" i="57" s="1"/>
  <c r="G24" i="57" s="1"/>
  <c r="G25" i="57" s="1"/>
  <c r="G26" i="57" s="1"/>
  <c r="G27" i="57" s="1"/>
  <c r="G28" i="57" s="1"/>
  <c r="G29" i="57" s="1"/>
  <c r="G30" i="57" s="1"/>
  <c r="G31" i="57" s="1"/>
  <c r="G32" i="57" s="1"/>
  <c r="G33" i="57" s="1"/>
  <c r="AA19" i="57"/>
  <c r="AD9" i="57"/>
  <c r="AD5" i="57"/>
  <c r="AA17" i="57"/>
  <c r="AA20" i="57"/>
  <c r="G34" i="57"/>
  <c r="S16" i="57"/>
  <c r="AC4" i="57" s="1"/>
  <c r="AD4" i="57" s="1"/>
  <c r="P15" i="57"/>
  <c r="AA5" i="57"/>
  <c r="AA7" i="57"/>
  <c r="AA12" i="57"/>
  <c r="AD7" i="57"/>
  <c r="AA4" i="57"/>
  <c r="AA16" i="57"/>
  <c r="I29" i="57"/>
  <c r="I34" i="57" s="1"/>
  <c r="AC11" i="57" s="1"/>
  <c r="AD16" i="57"/>
  <c r="AA11" i="57"/>
  <c r="AD6" i="57"/>
  <c r="R5" i="57"/>
  <c r="S5" i="57"/>
  <c r="AA8" i="57"/>
  <c r="AA9" i="57"/>
  <c r="AA6" i="57"/>
  <c r="AA10" i="57"/>
  <c r="AD17" i="57"/>
  <c r="I29" i="56"/>
  <c r="I34" i="56" s="1"/>
  <c r="AC11" i="56" s="1"/>
  <c r="AD11" i="56" s="1"/>
  <c r="I11" i="56"/>
  <c r="M34" i="56"/>
  <c r="AC12" i="56" s="1"/>
  <c r="AD12" i="56" s="1"/>
  <c r="AB26" i="56"/>
  <c r="AB30" i="56" s="1"/>
  <c r="AA30" i="56" s="1"/>
  <c r="Z21" i="56"/>
  <c r="AB14" i="56" s="1"/>
  <c r="AD7" i="56"/>
  <c r="AA4" i="56"/>
  <c r="AA6" i="56"/>
  <c r="AA9" i="56"/>
  <c r="AA10" i="56"/>
  <c r="AD17" i="56"/>
  <c r="AD5" i="56"/>
  <c r="AA11" i="56"/>
  <c r="U5" i="56"/>
  <c r="AA16" i="56"/>
  <c r="T5" i="56"/>
  <c r="AD8" i="56"/>
  <c r="AD9" i="56"/>
  <c r="AA19" i="56"/>
  <c r="AA20" i="56"/>
  <c r="AD10" i="56"/>
  <c r="E34" i="56"/>
  <c r="G2" i="56"/>
  <c r="G3" i="56" s="1"/>
  <c r="G4" i="56" s="1"/>
  <c r="G5" i="56" s="1"/>
  <c r="G6" i="56" s="1"/>
  <c r="G7" i="56" s="1"/>
  <c r="G8" i="56" s="1"/>
  <c r="G9" i="56" s="1"/>
  <c r="G10" i="56" s="1"/>
  <c r="G11" i="56" s="1"/>
  <c r="G12" i="56" s="1"/>
  <c r="G13" i="56" s="1"/>
  <c r="G14" i="56" s="1"/>
  <c r="G15" i="56" s="1"/>
  <c r="G16" i="56" s="1"/>
  <c r="G17" i="56" s="1"/>
  <c r="G18" i="56" s="1"/>
  <c r="G19" i="56" s="1"/>
  <c r="G20" i="56" s="1"/>
  <c r="G21" i="56" s="1"/>
  <c r="G22" i="56" s="1"/>
  <c r="G23" i="56" s="1"/>
  <c r="G24" i="56" s="1"/>
  <c r="G25" i="56" s="1"/>
  <c r="G26" i="56" s="1"/>
  <c r="G27" i="56" s="1"/>
  <c r="G28" i="56" s="1"/>
  <c r="G29" i="56" s="1"/>
  <c r="G30" i="56" s="1"/>
  <c r="G31" i="56" s="1"/>
  <c r="G32" i="56" s="1"/>
  <c r="G33" i="56" s="1"/>
  <c r="S16" i="56"/>
  <c r="Q8" i="56" s="1"/>
  <c r="AC4" i="56" s="1"/>
  <c r="D34" i="56"/>
  <c r="AD16" i="56"/>
  <c r="R5" i="56"/>
  <c r="AA18" i="56"/>
  <c r="AD6" i="56"/>
  <c r="S5" i="56"/>
  <c r="AA8" i="56"/>
  <c r="AA17" i="56"/>
  <c r="AA7" i="56"/>
  <c r="AA12" i="56"/>
  <c r="AA5" i="56"/>
  <c r="AB26" i="55"/>
  <c r="N32" i="55"/>
  <c r="N34" i="55" s="1"/>
  <c r="E32" i="55"/>
  <c r="M29" i="55"/>
  <c r="M27" i="55"/>
  <c r="M34" i="55" s="1"/>
  <c r="AC12" i="55" s="1"/>
  <c r="M25" i="55"/>
  <c r="D2" i="55"/>
  <c r="I2" i="55" s="1"/>
  <c r="F34" i="55"/>
  <c r="T4" i="55" s="1"/>
  <c r="M11" i="55"/>
  <c r="I11" i="55" s="1"/>
  <c r="AC31" i="55"/>
  <c r="AC28" i="55"/>
  <c r="L34" i="55"/>
  <c r="AC8" i="55" s="1"/>
  <c r="K34" i="55"/>
  <c r="AC9" i="55" s="1"/>
  <c r="J34" i="55"/>
  <c r="AC10" i="55" s="1"/>
  <c r="D34" i="55"/>
  <c r="P8" i="55" s="1"/>
  <c r="C34" i="55"/>
  <c r="I33" i="55"/>
  <c r="E33" i="55"/>
  <c r="I32" i="55"/>
  <c r="I31" i="55"/>
  <c r="E31" i="55"/>
  <c r="I30" i="55"/>
  <c r="E30" i="55"/>
  <c r="AD29" i="55"/>
  <c r="AA29" i="55"/>
  <c r="I29" i="55"/>
  <c r="E29" i="55"/>
  <c r="I28" i="55"/>
  <c r="E28" i="55"/>
  <c r="I27" i="55"/>
  <c r="E27" i="55"/>
  <c r="I26" i="55"/>
  <c r="E26" i="55"/>
  <c r="I25" i="55"/>
  <c r="E25" i="55"/>
  <c r="I24" i="55"/>
  <c r="E24" i="55"/>
  <c r="U23" i="55"/>
  <c r="T19" i="55" s="1"/>
  <c r="I23" i="55"/>
  <c r="E23" i="55"/>
  <c r="I22" i="55"/>
  <c r="E22" i="55"/>
  <c r="I21" i="55"/>
  <c r="E21" i="55"/>
  <c r="I20" i="55"/>
  <c r="E20" i="55"/>
  <c r="Z19" i="55"/>
  <c r="S19" i="55"/>
  <c r="Z7" i="55" s="1"/>
  <c r="I19" i="55"/>
  <c r="E19" i="55"/>
  <c r="AI21" i="55"/>
  <c r="Z18" i="55"/>
  <c r="I18" i="55"/>
  <c r="E18" i="55"/>
  <c r="Z17" i="55"/>
  <c r="I17" i="55"/>
  <c r="E17" i="55"/>
  <c r="AC16" i="55"/>
  <c r="AC21" i="55" s="1"/>
  <c r="Z16" i="55"/>
  <c r="I16" i="55"/>
  <c r="E16" i="55"/>
  <c r="U15" i="55"/>
  <c r="E15" i="55"/>
  <c r="I14" i="55"/>
  <c r="E14" i="55"/>
  <c r="W15" i="55"/>
  <c r="V15" i="55"/>
  <c r="T15" i="55"/>
  <c r="S15" i="55"/>
  <c r="R15" i="55"/>
  <c r="Q15" i="55"/>
  <c r="P13" i="55"/>
  <c r="P15" i="55" s="1"/>
  <c r="I13" i="55"/>
  <c r="E13" i="55"/>
  <c r="I12" i="55"/>
  <c r="E12" i="55"/>
  <c r="E11" i="55"/>
  <c r="AG10" i="55"/>
  <c r="I10" i="55"/>
  <c r="E10" i="55"/>
  <c r="I9" i="55"/>
  <c r="E9" i="55"/>
  <c r="I8" i="55"/>
  <c r="E8" i="55"/>
  <c r="I7" i="55"/>
  <c r="E7" i="55"/>
  <c r="I6" i="55"/>
  <c r="E6" i="55"/>
  <c r="AC5" i="55"/>
  <c r="I5" i="55"/>
  <c r="E5" i="55"/>
  <c r="I4" i="55"/>
  <c r="E4" i="55"/>
  <c r="I3" i="55"/>
  <c r="E3" i="55"/>
  <c r="AC30" i="54"/>
  <c r="AC31" i="54"/>
  <c r="AC31" i="53"/>
  <c r="R9" i="54"/>
  <c r="U8" i="54"/>
  <c r="V23" i="54"/>
  <c r="AC26" i="54"/>
  <c r="C35" i="13"/>
  <c r="D32" i="54"/>
  <c r="J32" i="54" s="1"/>
  <c r="T16" i="54"/>
  <c r="U13" i="54"/>
  <c r="U15" i="54" s="1"/>
  <c r="S13" i="54"/>
  <c r="W13" i="54"/>
  <c r="X13" i="54"/>
  <c r="T13" i="54"/>
  <c r="T15" i="54" s="1"/>
  <c r="S19" i="54"/>
  <c r="Q13" i="54"/>
  <c r="R13" i="54"/>
  <c r="N30" i="54"/>
  <c r="N26" i="54"/>
  <c r="O26" i="54"/>
  <c r="N24" i="54"/>
  <c r="AE29" i="54"/>
  <c r="AB29" i="54"/>
  <c r="N15" i="54"/>
  <c r="J15" i="54" s="1"/>
  <c r="M34" i="54"/>
  <c r="AD8" i="54" s="1"/>
  <c r="L34" i="54"/>
  <c r="AD9" i="54" s="1"/>
  <c r="K34" i="54"/>
  <c r="AD10" i="54" s="1"/>
  <c r="G34" i="54"/>
  <c r="F34" i="54"/>
  <c r="U4" i="54" s="1"/>
  <c r="AA20" i="54" s="1"/>
  <c r="C34" i="54"/>
  <c r="AE31" i="54" s="1"/>
  <c r="J33" i="54"/>
  <c r="E33" i="54"/>
  <c r="J31" i="54"/>
  <c r="E31" i="54"/>
  <c r="J30" i="54"/>
  <c r="E30" i="54"/>
  <c r="J29" i="54"/>
  <c r="E29" i="54"/>
  <c r="J28" i="54"/>
  <c r="E28" i="54"/>
  <c r="J27" i="54"/>
  <c r="E27" i="54"/>
  <c r="J26" i="54"/>
  <c r="E26" i="54"/>
  <c r="O34" i="54"/>
  <c r="E25" i="54"/>
  <c r="J24" i="54"/>
  <c r="E24" i="54"/>
  <c r="U19" i="54"/>
  <c r="J23" i="54"/>
  <c r="E23" i="54"/>
  <c r="J22" i="54"/>
  <c r="E22" i="54"/>
  <c r="AJ21" i="54"/>
  <c r="J21" i="54"/>
  <c r="E21" i="54"/>
  <c r="J20" i="54"/>
  <c r="E20" i="54"/>
  <c r="AA19" i="54"/>
  <c r="T19" i="54"/>
  <c r="AA7" i="54" s="1"/>
  <c r="J19" i="54"/>
  <c r="E19" i="54"/>
  <c r="AJ18" i="54"/>
  <c r="AA18" i="54"/>
  <c r="J18" i="54"/>
  <c r="E18" i="54"/>
  <c r="AA17" i="54"/>
  <c r="J17" i="54"/>
  <c r="E17" i="54"/>
  <c r="AD16" i="54"/>
  <c r="AA16" i="54"/>
  <c r="J16" i="54"/>
  <c r="E16" i="54"/>
  <c r="X15" i="54"/>
  <c r="V15" i="54"/>
  <c r="S15" i="54"/>
  <c r="R15" i="54"/>
  <c r="E15" i="54"/>
  <c r="J14" i="54"/>
  <c r="E14" i="54"/>
  <c r="W15" i="54"/>
  <c r="Q15" i="54"/>
  <c r="J13" i="54"/>
  <c r="E13" i="54"/>
  <c r="J12" i="54"/>
  <c r="E12" i="54"/>
  <c r="J11" i="54"/>
  <c r="E11" i="54"/>
  <c r="AH10" i="54"/>
  <c r="J10" i="54"/>
  <c r="E10" i="54"/>
  <c r="J9" i="54"/>
  <c r="E9" i="54"/>
  <c r="J8" i="54"/>
  <c r="E8" i="54"/>
  <c r="J7" i="54"/>
  <c r="E7" i="54"/>
  <c r="J6" i="54"/>
  <c r="E6" i="54"/>
  <c r="AD5" i="54"/>
  <c r="J5" i="54"/>
  <c r="E5" i="54"/>
  <c r="J4" i="54"/>
  <c r="E4" i="54"/>
  <c r="J3" i="54"/>
  <c r="E3" i="54"/>
  <c r="J2" i="54"/>
  <c r="E2" i="54"/>
  <c r="H2" i="54" s="1"/>
  <c r="W13" i="53"/>
  <c r="AD31" i="53"/>
  <c r="AD28" i="53"/>
  <c r="AD27" i="53"/>
  <c r="AD26" i="53"/>
  <c r="AC30" i="53"/>
  <c r="AJ13" i="53"/>
  <c r="AJ21" i="53" s="1"/>
  <c r="U13" i="53"/>
  <c r="U15" i="53" s="1"/>
  <c r="T13" i="53"/>
  <c r="T15" i="53" s="1"/>
  <c r="R13" i="53"/>
  <c r="R15" i="53" s="1"/>
  <c r="S19" i="53"/>
  <c r="S13" i="53"/>
  <c r="J30" i="14"/>
  <c r="K30" i="14" s="1"/>
  <c r="D30" i="14"/>
  <c r="E30" i="14" s="1"/>
  <c r="J29" i="14"/>
  <c r="K29" i="14" s="1"/>
  <c r="D29" i="14"/>
  <c r="E29" i="14" s="1"/>
  <c r="J28" i="14"/>
  <c r="K28" i="14" s="1"/>
  <c r="AJ18" i="53"/>
  <c r="O31" i="53"/>
  <c r="J31" i="53" s="1"/>
  <c r="N26" i="53"/>
  <c r="J26" i="53" s="1"/>
  <c r="O25" i="53"/>
  <c r="J25" i="53" s="1"/>
  <c r="N21" i="53"/>
  <c r="N20" i="53"/>
  <c r="N19" i="53"/>
  <c r="J6" i="53"/>
  <c r="Q13" i="53"/>
  <c r="Q15" i="53" s="1"/>
  <c r="W15" i="53"/>
  <c r="X13" i="53"/>
  <c r="M34" i="53"/>
  <c r="AD8" i="53" s="1"/>
  <c r="L34" i="53"/>
  <c r="AD9" i="53" s="1"/>
  <c r="G34" i="53"/>
  <c r="F34" i="53"/>
  <c r="U4" i="53" s="1"/>
  <c r="AA20" i="53" s="1"/>
  <c r="D34" i="53"/>
  <c r="Q8" i="53" s="1"/>
  <c r="C34" i="53"/>
  <c r="J33" i="53"/>
  <c r="E33" i="53"/>
  <c r="J32" i="53"/>
  <c r="E31" i="53"/>
  <c r="J30" i="53"/>
  <c r="E30" i="53"/>
  <c r="AE29" i="53"/>
  <c r="AB29" i="53"/>
  <c r="J29" i="53"/>
  <c r="E29" i="53"/>
  <c r="J28" i="53"/>
  <c r="E28" i="53"/>
  <c r="J27" i="53"/>
  <c r="E27" i="53"/>
  <c r="E26" i="53"/>
  <c r="E25" i="53"/>
  <c r="J24" i="53"/>
  <c r="E24" i="53"/>
  <c r="V23" i="53"/>
  <c r="U19" i="53" s="1"/>
  <c r="J23" i="53"/>
  <c r="E23" i="53"/>
  <c r="J22" i="53"/>
  <c r="E22" i="53"/>
  <c r="J21" i="53"/>
  <c r="E21" i="53"/>
  <c r="O34" i="53"/>
  <c r="J20" i="53"/>
  <c r="E20" i="53"/>
  <c r="AA19" i="53"/>
  <c r="T19" i="53"/>
  <c r="E19" i="53"/>
  <c r="AA18" i="53"/>
  <c r="J18" i="53"/>
  <c r="E18" i="53"/>
  <c r="AA17" i="53"/>
  <c r="J17" i="53"/>
  <c r="E17" i="53"/>
  <c r="AD16" i="53"/>
  <c r="AD21" i="53" s="1"/>
  <c r="AA16" i="53"/>
  <c r="J16" i="53"/>
  <c r="E16" i="53"/>
  <c r="V15" i="53"/>
  <c r="S15" i="53"/>
  <c r="J15" i="53"/>
  <c r="E15" i="53"/>
  <c r="J14" i="53"/>
  <c r="E14" i="53"/>
  <c r="X15" i="53"/>
  <c r="J13" i="53"/>
  <c r="E13" i="53"/>
  <c r="J12" i="53"/>
  <c r="E12" i="53"/>
  <c r="J11" i="53"/>
  <c r="E11" i="53"/>
  <c r="AH10" i="53"/>
  <c r="J10" i="53"/>
  <c r="E10" i="53"/>
  <c r="J9" i="53"/>
  <c r="E9" i="53"/>
  <c r="K34" i="53"/>
  <c r="AD10" i="53" s="1"/>
  <c r="J8" i="53"/>
  <c r="E8" i="53"/>
  <c r="AA7" i="53"/>
  <c r="AA13" i="53" s="1"/>
  <c r="J7" i="53"/>
  <c r="E7" i="53"/>
  <c r="E6" i="53"/>
  <c r="AD5" i="53"/>
  <c r="J5" i="53"/>
  <c r="E5" i="53"/>
  <c r="J4" i="53"/>
  <c r="E4" i="53"/>
  <c r="J3" i="53"/>
  <c r="E3" i="53"/>
  <c r="J2" i="53"/>
  <c r="E2" i="53"/>
  <c r="H2" i="53" s="1"/>
  <c r="AE27" i="52"/>
  <c r="S19" i="52"/>
  <c r="X13" i="52"/>
  <c r="X15" i="52" s="1"/>
  <c r="W13" i="52"/>
  <c r="W15" i="52" s="1"/>
  <c r="U13" i="52"/>
  <c r="T13" i="52"/>
  <c r="S13" i="52"/>
  <c r="S15" i="52" s="1"/>
  <c r="R13" i="52"/>
  <c r="AJ18" i="52"/>
  <c r="AJ21" i="52" s="1"/>
  <c r="O30" i="52"/>
  <c r="E32" i="52"/>
  <c r="N20" i="52"/>
  <c r="O20" i="52"/>
  <c r="J20" i="52" s="1"/>
  <c r="N10" i="52"/>
  <c r="J10" i="52" s="1"/>
  <c r="K8" i="52"/>
  <c r="K34" i="52" s="1"/>
  <c r="AD10" i="52" s="1"/>
  <c r="N7" i="52"/>
  <c r="J7" i="52" s="1"/>
  <c r="N5" i="52"/>
  <c r="N3" i="52"/>
  <c r="M34" i="52"/>
  <c r="AD8" i="52" s="1"/>
  <c r="L34" i="52"/>
  <c r="AD9" i="52" s="1"/>
  <c r="G34" i="52"/>
  <c r="F34" i="52"/>
  <c r="U4" i="52" s="1"/>
  <c r="D34" i="52"/>
  <c r="Q8" i="52" s="1"/>
  <c r="C34" i="52"/>
  <c r="J33" i="52"/>
  <c r="E33" i="52"/>
  <c r="J32" i="52"/>
  <c r="AD31" i="52"/>
  <c r="J31" i="52"/>
  <c r="E31" i="52"/>
  <c r="AD30" i="52"/>
  <c r="J30" i="52"/>
  <c r="E30" i="52"/>
  <c r="AE29" i="52"/>
  <c r="AB29" i="52"/>
  <c r="J29" i="52"/>
  <c r="E29" i="52"/>
  <c r="J28" i="52"/>
  <c r="E28" i="52"/>
  <c r="J27" i="52"/>
  <c r="E27" i="52"/>
  <c r="J26" i="52"/>
  <c r="E26" i="52"/>
  <c r="J25" i="52"/>
  <c r="E25" i="52"/>
  <c r="J24" i="52"/>
  <c r="E24" i="52"/>
  <c r="V23" i="52"/>
  <c r="U19" i="52" s="1"/>
  <c r="V19" i="52" s="1"/>
  <c r="S8" i="52" s="1"/>
  <c r="E23" i="52"/>
  <c r="J22" i="52"/>
  <c r="E22" i="52"/>
  <c r="J21" i="52"/>
  <c r="E21" i="52"/>
  <c r="E20" i="52"/>
  <c r="AA19" i="52"/>
  <c r="T19" i="52"/>
  <c r="J19" i="52"/>
  <c r="E19" i="52"/>
  <c r="AA18" i="52"/>
  <c r="J18" i="52"/>
  <c r="E18" i="52"/>
  <c r="AD17" i="52"/>
  <c r="AA17" i="52"/>
  <c r="J17" i="52"/>
  <c r="E17" i="52"/>
  <c r="AD16" i="52"/>
  <c r="AA16" i="52"/>
  <c r="J16" i="52"/>
  <c r="E16" i="52"/>
  <c r="V15" i="52"/>
  <c r="U15" i="52"/>
  <c r="J15" i="52"/>
  <c r="E15" i="52"/>
  <c r="J14" i="52"/>
  <c r="E14" i="52"/>
  <c r="T15" i="52"/>
  <c r="R15" i="52"/>
  <c r="J13" i="52"/>
  <c r="E13" i="52"/>
  <c r="J12" i="52"/>
  <c r="E12" i="52"/>
  <c r="J11" i="52"/>
  <c r="E11" i="52"/>
  <c r="AH10" i="52"/>
  <c r="Q13" i="52" s="1"/>
  <c r="Q15" i="52" s="1"/>
  <c r="E10" i="52"/>
  <c r="J9" i="52"/>
  <c r="E9" i="52"/>
  <c r="J8" i="52"/>
  <c r="E8" i="52"/>
  <c r="AA7" i="52"/>
  <c r="E7" i="52"/>
  <c r="J6" i="52"/>
  <c r="E6" i="52"/>
  <c r="AD5" i="52"/>
  <c r="E5" i="52"/>
  <c r="J4" i="52"/>
  <c r="E4" i="52"/>
  <c r="J3" i="52"/>
  <c r="E3" i="52"/>
  <c r="J2" i="52"/>
  <c r="E2" i="52"/>
  <c r="C33" i="13"/>
  <c r="AJ18" i="51"/>
  <c r="T16" i="51"/>
  <c r="R13" i="51"/>
  <c r="T13" i="51"/>
  <c r="X13" i="51"/>
  <c r="X15" i="51" s="1"/>
  <c r="U13" i="51"/>
  <c r="U15" i="51" s="1"/>
  <c r="S19" i="51"/>
  <c r="W13" i="51"/>
  <c r="O31" i="51"/>
  <c r="O34" i="51" s="1"/>
  <c r="N25" i="51"/>
  <c r="W15" i="51"/>
  <c r="K23" i="51"/>
  <c r="J23" i="51" s="1"/>
  <c r="N20" i="51"/>
  <c r="J20" i="51"/>
  <c r="N19" i="51"/>
  <c r="J19" i="51" s="1"/>
  <c r="N6" i="51"/>
  <c r="J6" i="51" s="1"/>
  <c r="S19" i="50"/>
  <c r="R13" i="50"/>
  <c r="R15" i="50" s="1"/>
  <c r="M34" i="51"/>
  <c r="AD8" i="51" s="1"/>
  <c r="L34" i="51"/>
  <c r="AD9" i="51" s="1"/>
  <c r="G34" i="51"/>
  <c r="F34" i="51"/>
  <c r="U4" i="51" s="1"/>
  <c r="AA20" i="51" s="1"/>
  <c r="D34" i="51"/>
  <c r="C34" i="51"/>
  <c r="AC26" i="51" s="1"/>
  <c r="AE26" i="51" s="1"/>
  <c r="J33" i="51"/>
  <c r="E33" i="51"/>
  <c r="J32" i="51"/>
  <c r="AD31" i="51"/>
  <c r="J31" i="51"/>
  <c r="E31" i="51"/>
  <c r="AD30" i="51"/>
  <c r="J30" i="51"/>
  <c r="E30" i="51"/>
  <c r="AE29" i="51"/>
  <c r="AB29" i="51"/>
  <c r="J29" i="51"/>
  <c r="E29" i="51"/>
  <c r="J28" i="51"/>
  <c r="E28" i="51"/>
  <c r="J27" i="51"/>
  <c r="E27" i="51"/>
  <c r="J26" i="51"/>
  <c r="E26" i="51"/>
  <c r="J25" i="51"/>
  <c r="E25" i="51"/>
  <c r="J24" i="51"/>
  <c r="E24" i="51"/>
  <c r="V23" i="51"/>
  <c r="U19" i="51" s="1"/>
  <c r="E23" i="51"/>
  <c r="J22" i="51"/>
  <c r="E22" i="51"/>
  <c r="J21" i="51"/>
  <c r="E21" i="51"/>
  <c r="E20" i="51"/>
  <c r="AA19" i="51"/>
  <c r="T19" i="51"/>
  <c r="AA7" i="51" s="1"/>
  <c r="AA13" i="51" s="1"/>
  <c r="E19" i="51"/>
  <c r="AJ21" i="51"/>
  <c r="AA18" i="51"/>
  <c r="J18" i="51"/>
  <c r="E18" i="51"/>
  <c r="AD17" i="51"/>
  <c r="AA17" i="51"/>
  <c r="J17" i="51"/>
  <c r="E17" i="51"/>
  <c r="AD16" i="51"/>
  <c r="AA16" i="51"/>
  <c r="E16" i="51"/>
  <c r="V15" i="51"/>
  <c r="S15" i="51"/>
  <c r="J15" i="51"/>
  <c r="E15" i="51"/>
  <c r="J14" i="51"/>
  <c r="E14" i="51"/>
  <c r="T15" i="51"/>
  <c r="R15" i="51"/>
  <c r="J13" i="51"/>
  <c r="E13" i="51"/>
  <c r="J12" i="51"/>
  <c r="E12" i="51"/>
  <c r="J11" i="51"/>
  <c r="E11" i="51"/>
  <c r="AH10" i="51"/>
  <c r="Q13" i="51" s="1"/>
  <c r="Q15" i="51" s="1"/>
  <c r="J10" i="51"/>
  <c r="E10" i="51"/>
  <c r="J9" i="51"/>
  <c r="E9" i="51"/>
  <c r="J8" i="51"/>
  <c r="E8" i="51"/>
  <c r="J7" i="51"/>
  <c r="E7" i="51"/>
  <c r="E6" i="51"/>
  <c r="AD5" i="51"/>
  <c r="J5" i="51"/>
  <c r="E5" i="51"/>
  <c r="J4" i="51"/>
  <c r="E4" i="51"/>
  <c r="E3" i="51"/>
  <c r="J2" i="51"/>
  <c r="E2" i="51"/>
  <c r="H2" i="51" s="1"/>
  <c r="Z31" i="48"/>
  <c r="AC31" i="50"/>
  <c r="AC30" i="50"/>
  <c r="J9" i="35"/>
  <c r="AB31" i="50"/>
  <c r="AI13" i="50"/>
  <c r="AI18" i="50"/>
  <c r="T13" i="50"/>
  <c r="T13" i="48"/>
  <c r="U13" i="50"/>
  <c r="T15" i="50"/>
  <c r="U15" i="50"/>
  <c r="W13" i="50"/>
  <c r="W15" i="50" s="1"/>
  <c r="O32" i="50"/>
  <c r="J32" i="50" s="1"/>
  <c r="N31" i="50"/>
  <c r="Z7" i="50"/>
  <c r="C34" i="50"/>
  <c r="Q4" i="50" s="1"/>
  <c r="AA4" i="50" s="1"/>
  <c r="C30" i="13"/>
  <c r="C31" i="13"/>
  <c r="AI21" i="50"/>
  <c r="AC4" i="48"/>
  <c r="N22" i="50"/>
  <c r="Z12" i="50"/>
  <c r="O16" i="50"/>
  <c r="O34" i="50" s="1"/>
  <c r="N10" i="50"/>
  <c r="K10" i="50"/>
  <c r="K34" i="50" s="1"/>
  <c r="AC10" i="50" s="1"/>
  <c r="D28" i="14"/>
  <c r="E28" i="14" s="1"/>
  <c r="N3" i="50"/>
  <c r="M34" i="50"/>
  <c r="AC8" i="50" s="1"/>
  <c r="L34" i="50"/>
  <c r="AC9" i="50" s="1"/>
  <c r="G34" i="50"/>
  <c r="F34" i="50"/>
  <c r="U4" i="50" s="1"/>
  <c r="D34" i="50"/>
  <c r="Q8" i="50" s="1"/>
  <c r="J33" i="50"/>
  <c r="E33" i="50"/>
  <c r="E32" i="50"/>
  <c r="J31" i="50"/>
  <c r="E31" i="50"/>
  <c r="J30" i="50"/>
  <c r="E30" i="50"/>
  <c r="AD29" i="50"/>
  <c r="AA29" i="50"/>
  <c r="J29" i="50"/>
  <c r="E29" i="50"/>
  <c r="J28" i="50"/>
  <c r="E28" i="50"/>
  <c r="J27" i="50"/>
  <c r="E27" i="50"/>
  <c r="J26" i="50"/>
  <c r="E26" i="50"/>
  <c r="J25" i="50"/>
  <c r="E25" i="50"/>
  <c r="J24" i="50"/>
  <c r="E24" i="50"/>
  <c r="V23" i="50"/>
  <c r="U19" i="50" s="1"/>
  <c r="J23" i="50"/>
  <c r="E23" i="50"/>
  <c r="J22" i="50"/>
  <c r="E22" i="50"/>
  <c r="J21" i="50"/>
  <c r="E21" i="50"/>
  <c r="J20" i="50"/>
  <c r="E20" i="50"/>
  <c r="Z19" i="50"/>
  <c r="T19" i="50"/>
  <c r="J19" i="50"/>
  <c r="E19" i="50"/>
  <c r="Z18" i="50"/>
  <c r="J18" i="50"/>
  <c r="E18" i="50"/>
  <c r="AC17" i="50"/>
  <c r="Z17" i="50"/>
  <c r="J17" i="50"/>
  <c r="E17" i="50"/>
  <c r="AC16" i="50"/>
  <c r="AC21" i="50" s="1"/>
  <c r="Z16" i="50"/>
  <c r="E16" i="50"/>
  <c r="V15" i="50"/>
  <c r="S15" i="50"/>
  <c r="J15" i="50"/>
  <c r="E15" i="50"/>
  <c r="J14" i="50"/>
  <c r="E14" i="50"/>
  <c r="J13" i="50"/>
  <c r="E13" i="50"/>
  <c r="J12" i="50"/>
  <c r="E12" i="50"/>
  <c r="J11" i="50"/>
  <c r="E11" i="50"/>
  <c r="AG10" i="50"/>
  <c r="E10" i="50"/>
  <c r="J9" i="50"/>
  <c r="E9" i="50"/>
  <c r="J8" i="50"/>
  <c r="E8" i="50"/>
  <c r="E7" i="50"/>
  <c r="J6" i="50"/>
  <c r="E6" i="50"/>
  <c r="AC5" i="50"/>
  <c r="J5" i="50"/>
  <c r="E5" i="50"/>
  <c r="J4" i="50"/>
  <c r="E4" i="50"/>
  <c r="J3" i="50"/>
  <c r="E3" i="50"/>
  <c r="J2" i="50"/>
  <c r="E2" i="50"/>
  <c r="H2" i="50" s="1"/>
  <c r="AB14" i="48"/>
  <c r="S19" i="48"/>
  <c r="D33" i="41"/>
  <c r="E33" i="41"/>
  <c r="E29" i="41"/>
  <c r="AC31" i="48"/>
  <c r="AC30" i="48"/>
  <c r="F27" i="14"/>
  <c r="G27" i="14" s="1"/>
  <c r="D27" i="14"/>
  <c r="E27" i="14" s="1"/>
  <c r="AD20" i="61" l="1"/>
  <c r="Z5" i="61"/>
  <c r="X5" i="61"/>
  <c r="V5" i="61"/>
  <c r="T5" i="61"/>
  <c r="AF13" i="61"/>
  <c r="AE2" i="61" s="1"/>
  <c r="AG11" i="61"/>
  <c r="AD26" i="61"/>
  <c r="AE31" i="61"/>
  <c r="AG26" i="61"/>
  <c r="AE30" i="61"/>
  <c r="AD5" i="61"/>
  <c r="AD9" i="61"/>
  <c r="AD10" i="61"/>
  <c r="AD12" i="61"/>
  <c r="AD6" i="61"/>
  <c r="AG6" i="61"/>
  <c r="AG7" i="61"/>
  <c r="AD11" i="61"/>
  <c r="AD8" i="61"/>
  <c r="AD17" i="61"/>
  <c r="AG17" i="61"/>
  <c r="AG9" i="61"/>
  <c r="AD7" i="61"/>
  <c r="AG12" i="61"/>
  <c r="AG16" i="61"/>
  <c r="AD4" i="61"/>
  <c r="AD18" i="61"/>
  <c r="AG10" i="61"/>
  <c r="AG8" i="61"/>
  <c r="AD16" i="61"/>
  <c r="AG4" i="61"/>
  <c r="AG5" i="61"/>
  <c r="AD19" i="61"/>
  <c r="R4" i="60"/>
  <c r="AF12" i="60" s="1"/>
  <c r="AD27" i="60"/>
  <c r="AF27" i="60" s="1"/>
  <c r="AD14" i="60"/>
  <c r="I34" i="60"/>
  <c r="AE13" i="60"/>
  <c r="AD2" i="60" s="1"/>
  <c r="T8" i="59"/>
  <c r="AB27" i="59" s="1"/>
  <c r="AB28" i="59" s="1"/>
  <c r="AA28" i="59" s="1"/>
  <c r="O3" i="58"/>
  <c r="AA11" i="59"/>
  <c r="AA4" i="59"/>
  <c r="AA8" i="59"/>
  <c r="AD4" i="59"/>
  <c r="AD17" i="59"/>
  <c r="AD6" i="59"/>
  <c r="AA17" i="59"/>
  <c r="U5" i="59"/>
  <c r="AA19" i="59"/>
  <c r="T5" i="59"/>
  <c r="AD12" i="59"/>
  <c r="AD5" i="59"/>
  <c r="S5" i="59"/>
  <c r="AA18" i="59"/>
  <c r="AD10" i="59"/>
  <c r="AD16" i="59"/>
  <c r="AA6" i="59"/>
  <c r="AA16" i="59"/>
  <c r="R5" i="59"/>
  <c r="AA5" i="59"/>
  <c r="AA20" i="59"/>
  <c r="AD8" i="59"/>
  <c r="AA10" i="59"/>
  <c r="AA9" i="59"/>
  <c r="AA12" i="59"/>
  <c r="AD9" i="59"/>
  <c r="AC11" i="59"/>
  <c r="AD11" i="59" s="1"/>
  <c r="Z13" i="59"/>
  <c r="AA7" i="59"/>
  <c r="AD31" i="59"/>
  <c r="AA31" i="59"/>
  <c r="AD30" i="59"/>
  <c r="AA30" i="59"/>
  <c r="AA26" i="57"/>
  <c r="AA30" i="57"/>
  <c r="AD21" i="57"/>
  <c r="AD26" i="57"/>
  <c r="AA21" i="57"/>
  <c r="T8" i="57"/>
  <c r="AD11" i="57"/>
  <c r="AD13" i="57" s="1"/>
  <c r="AC13" i="57"/>
  <c r="AB2" i="57" s="1"/>
  <c r="AD31" i="57"/>
  <c r="AA31" i="57"/>
  <c r="AA13" i="57"/>
  <c r="AD30" i="56"/>
  <c r="AD21" i="56"/>
  <c r="AA26" i="56"/>
  <c r="AD31" i="56"/>
  <c r="AD26" i="56"/>
  <c r="AA13" i="56"/>
  <c r="AA21" i="56"/>
  <c r="G34" i="56"/>
  <c r="P8" i="56"/>
  <c r="T8" i="56" s="1"/>
  <c r="AD4" i="56"/>
  <c r="AD13" i="56" s="1"/>
  <c r="AC13" i="56"/>
  <c r="AB2" i="56" s="1"/>
  <c r="G34" i="55"/>
  <c r="U19" i="55"/>
  <c r="R8" i="55" s="1"/>
  <c r="S16" i="55"/>
  <c r="E2" i="55"/>
  <c r="G2" i="55" s="1"/>
  <c r="G3" i="55"/>
  <c r="G4" i="55" s="1"/>
  <c r="G5" i="55" s="1"/>
  <c r="G6" i="55" s="1"/>
  <c r="G7" i="55" s="1"/>
  <c r="G8" i="55" s="1"/>
  <c r="G9" i="55" s="1"/>
  <c r="G10" i="55" s="1"/>
  <c r="G11" i="55" s="1"/>
  <c r="G12" i="55" s="1"/>
  <c r="G13" i="55" s="1"/>
  <c r="G14" i="55" s="1"/>
  <c r="G15" i="55" s="1"/>
  <c r="G16" i="55" s="1"/>
  <c r="G17" i="55" s="1"/>
  <c r="G18" i="55" s="1"/>
  <c r="G19" i="55" s="1"/>
  <c r="G20" i="55" s="1"/>
  <c r="G21" i="55" s="1"/>
  <c r="G22" i="55" s="1"/>
  <c r="G23" i="55" s="1"/>
  <c r="G24" i="55" s="1"/>
  <c r="G25" i="55" s="1"/>
  <c r="G26" i="55" s="1"/>
  <c r="G27" i="55" s="1"/>
  <c r="G28" i="55" s="1"/>
  <c r="G29" i="55" s="1"/>
  <c r="G30" i="55" s="1"/>
  <c r="G31" i="55" s="1"/>
  <c r="G32" i="55" s="1"/>
  <c r="G33" i="55" s="1"/>
  <c r="Z13" i="55"/>
  <c r="AD26" i="55"/>
  <c r="AA26" i="55"/>
  <c r="Z20" i="55"/>
  <c r="Z21" i="55" s="1"/>
  <c r="AB14" i="55" s="1"/>
  <c r="I15" i="55"/>
  <c r="I34" i="55" s="1"/>
  <c r="AC11" i="55" s="1"/>
  <c r="P4" i="55"/>
  <c r="T5" i="55" s="1"/>
  <c r="E32" i="54"/>
  <c r="D34" i="54"/>
  <c r="Q8" i="54" s="1"/>
  <c r="R8" i="54"/>
  <c r="AD4" i="54" s="1"/>
  <c r="AE30" i="54"/>
  <c r="H3" i="54"/>
  <c r="H4" i="54" s="1"/>
  <c r="H5" i="54" s="1"/>
  <c r="H6" i="54" s="1"/>
  <c r="H7" i="54" s="1"/>
  <c r="H8" i="54" s="1"/>
  <c r="H9" i="54" s="1"/>
  <c r="H10" i="54" s="1"/>
  <c r="H11" i="54" s="1"/>
  <c r="H12" i="54" s="1"/>
  <c r="H13" i="54" s="1"/>
  <c r="H14" i="54" s="1"/>
  <c r="H15" i="54" s="1"/>
  <c r="H16" i="54" s="1"/>
  <c r="H17" i="54" s="1"/>
  <c r="H18" i="54" s="1"/>
  <c r="H19" i="54" s="1"/>
  <c r="H20" i="54" s="1"/>
  <c r="H21" i="54" s="1"/>
  <c r="H22" i="54" s="1"/>
  <c r="H23" i="54" s="1"/>
  <c r="H24" i="54" s="1"/>
  <c r="H25" i="54" s="1"/>
  <c r="H26" i="54" s="1"/>
  <c r="H27" i="54" s="1"/>
  <c r="H28" i="54" s="1"/>
  <c r="H29" i="54" s="1"/>
  <c r="H30" i="54" s="1"/>
  <c r="H31" i="54" s="1"/>
  <c r="H32" i="54" s="1"/>
  <c r="H33" i="54" s="1"/>
  <c r="V19" i="54"/>
  <c r="S8" i="54" s="1"/>
  <c r="AA21" i="54"/>
  <c r="E34" i="54"/>
  <c r="AA13" i="54"/>
  <c r="AE26" i="54"/>
  <c r="AB26" i="54"/>
  <c r="AD21" i="54"/>
  <c r="Q4" i="54"/>
  <c r="AB17" i="54" s="1"/>
  <c r="H34" i="54"/>
  <c r="N34" i="54"/>
  <c r="AD12" i="54" s="1"/>
  <c r="J25" i="54"/>
  <c r="J34" i="54" s="1"/>
  <c r="AD11" i="54" s="1"/>
  <c r="AD30" i="53"/>
  <c r="T16" i="53"/>
  <c r="R8" i="53" s="1"/>
  <c r="N34" i="53"/>
  <c r="AD12" i="53" s="1"/>
  <c r="J19" i="53"/>
  <c r="H34" i="53"/>
  <c r="H3" i="53"/>
  <c r="H4" i="53" s="1"/>
  <c r="H5" i="53" s="1"/>
  <c r="H6" i="53" s="1"/>
  <c r="H7" i="53" s="1"/>
  <c r="H8" i="53" s="1"/>
  <c r="H9" i="53" s="1"/>
  <c r="H10" i="53" s="1"/>
  <c r="H11" i="53" s="1"/>
  <c r="H12" i="53" s="1"/>
  <c r="H13" i="53" s="1"/>
  <c r="H14" i="53" s="1"/>
  <c r="H15" i="53" s="1"/>
  <c r="H16" i="53" s="1"/>
  <c r="H17" i="53" s="1"/>
  <c r="H18" i="53" s="1"/>
  <c r="H19" i="53" s="1"/>
  <c r="H20" i="53" s="1"/>
  <c r="H21" i="53" s="1"/>
  <c r="H22" i="53" s="1"/>
  <c r="H23" i="53" s="1"/>
  <c r="H24" i="53" s="1"/>
  <c r="H25" i="53" s="1"/>
  <c r="H26" i="53" s="1"/>
  <c r="H27" i="53" s="1"/>
  <c r="H28" i="53" s="1"/>
  <c r="H29" i="53" s="1"/>
  <c r="H30" i="53" s="1"/>
  <c r="H31" i="53" s="1"/>
  <c r="H32" i="53" s="1"/>
  <c r="H33" i="53" s="1"/>
  <c r="AC26" i="53"/>
  <c r="Q4" i="53"/>
  <c r="AB17" i="53" s="1"/>
  <c r="J34" i="53"/>
  <c r="AD11" i="53" s="1"/>
  <c r="V19" i="53"/>
  <c r="S8" i="53" s="1"/>
  <c r="E34" i="53"/>
  <c r="AA21" i="53"/>
  <c r="AC14" i="53" s="1"/>
  <c r="T16" i="52"/>
  <c r="R8" i="52" s="1"/>
  <c r="AD4" i="52" s="1"/>
  <c r="AA20" i="52"/>
  <c r="AA21" i="52" s="1"/>
  <c r="AC14" i="52" s="1"/>
  <c r="O34" i="52"/>
  <c r="N34" i="52"/>
  <c r="AD12" i="52" s="1"/>
  <c r="J5" i="52"/>
  <c r="H34" i="52"/>
  <c r="AC26" i="52"/>
  <c r="AC31" i="52" s="1"/>
  <c r="AE31" i="52" s="1"/>
  <c r="Q4" i="52"/>
  <c r="AE10" i="52" s="1"/>
  <c r="E34" i="52"/>
  <c r="H2" i="52"/>
  <c r="H3" i="52" s="1"/>
  <c r="H4" i="52" s="1"/>
  <c r="H5" i="52" s="1"/>
  <c r="H6" i="52" s="1"/>
  <c r="H7" i="52" s="1"/>
  <c r="H8" i="52" s="1"/>
  <c r="H9" i="52" s="1"/>
  <c r="H10" i="52" s="1"/>
  <c r="H11" i="52" s="1"/>
  <c r="H12" i="52" s="1"/>
  <c r="H13" i="52" s="1"/>
  <c r="H14" i="52" s="1"/>
  <c r="H15" i="52" s="1"/>
  <c r="H16" i="52" s="1"/>
  <c r="H17" i="52" s="1"/>
  <c r="H18" i="52" s="1"/>
  <c r="H19" i="52" s="1"/>
  <c r="H20" i="52" s="1"/>
  <c r="H21" i="52" s="1"/>
  <c r="H22" i="52" s="1"/>
  <c r="H23" i="52" s="1"/>
  <c r="H24" i="52" s="1"/>
  <c r="H25" i="52" s="1"/>
  <c r="H26" i="52" s="1"/>
  <c r="H27" i="52" s="1"/>
  <c r="H28" i="52" s="1"/>
  <c r="H29" i="52" s="1"/>
  <c r="H30" i="52" s="1"/>
  <c r="H31" i="52" s="1"/>
  <c r="H32" i="52" s="1"/>
  <c r="H33" i="52" s="1"/>
  <c r="AD21" i="52"/>
  <c r="AA13" i="52"/>
  <c r="J23" i="52"/>
  <c r="R8" i="51"/>
  <c r="AD4" i="51" s="1"/>
  <c r="K34" i="51"/>
  <c r="AD10" i="51" s="1"/>
  <c r="N34" i="51"/>
  <c r="AD12" i="51" s="1"/>
  <c r="V19" i="51"/>
  <c r="S8" i="51" s="1"/>
  <c r="AD21" i="51"/>
  <c r="Q4" i="51"/>
  <c r="AB9" i="51" s="1"/>
  <c r="H34" i="51"/>
  <c r="H3" i="51"/>
  <c r="H4" i="51" s="1"/>
  <c r="H5" i="51" s="1"/>
  <c r="H6" i="51" s="1"/>
  <c r="H7" i="51" s="1"/>
  <c r="H8" i="51" s="1"/>
  <c r="H9" i="51" s="1"/>
  <c r="H10" i="51" s="1"/>
  <c r="H11" i="51" s="1"/>
  <c r="H12" i="51" s="1"/>
  <c r="H13" i="51" s="1"/>
  <c r="H14" i="51" s="1"/>
  <c r="H15" i="51" s="1"/>
  <c r="H16" i="51" s="1"/>
  <c r="H17" i="51" s="1"/>
  <c r="H18" i="51" s="1"/>
  <c r="H19" i="51" s="1"/>
  <c r="H20" i="51" s="1"/>
  <c r="H21" i="51" s="1"/>
  <c r="H22" i="51" s="1"/>
  <c r="H23" i="51" s="1"/>
  <c r="H24" i="51" s="1"/>
  <c r="H25" i="51" s="1"/>
  <c r="H26" i="51" s="1"/>
  <c r="H27" i="51" s="1"/>
  <c r="H28" i="51" s="1"/>
  <c r="H29" i="51" s="1"/>
  <c r="H30" i="51" s="1"/>
  <c r="H31" i="51" s="1"/>
  <c r="H32" i="51" s="1"/>
  <c r="H33" i="51" s="1"/>
  <c r="AA21" i="51"/>
  <c r="Q8" i="51"/>
  <c r="J3" i="51"/>
  <c r="AC31" i="51"/>
  <c r="E34" i="51"/>
  <c r="J16" i="51"/>
  <c r="AB26" i="51"/>
  <c r="AC30" i="51"/>
  <c r="T16" i="50"/>
  <c r="AB26" i="50"/>
  <c r="V19" i="50"/>
  <c r="S8" i="50" s="1"/>
  <c r="N34" i="50"/>
  <c r="J16" i="50"/>
  <c r="J10" i="50"/>
  <c r="J7" i="50"/>
  <c r="H3" i="50"/>
  <c r="H4" i="50" s="1"/>
  <c r="H5" i="50" s="1"/>
  <c r="H6" i="50" s="1"/>
  <c r="H7" i="50" s="1"/>
  <c r="H8" i="50" s="1"/>
  <c r="H9" i="50" s="1"/>
  <c r="H10" i="50" s="1"/>
  <c r="H11" i="50" s="1"/>
  <c r="H12" i="50" s="1"/>
  <c r="H13" i="50" s="1"/>
  <c r="H14" i="50" s="1"/>
  <c r="H15" i="50" s="1"/>
  <c r="H16" i="50" s="1"/>
  <c r="H17" i="50" s="1"/>
  <c r="H18" i="50" s="1"/>
  <c r="H19" i="50" s="1"/>
  <c r="H20" i="50" s="1"/>
  <c r="H21" i="50" s="1"/>
  <c r="H22" i="50" s="1"/>
  <c r="H23" i="50" s="1"/>
  <c r="H24" i="50" s="1"/>
  <c r="H25" i="50" s="1"/>
  <c r="H26" i="50" s="1"/>
  <c r="H27" i="50" s="1"/>
  <c r="H28" i="50" s="1"/>
  <c r="H29" i="50" s="1"/>
  <c r="H30" i="50" s="1"/>
  <c r="H31" i="50" s="1"/>
  <c r="H32" i="50" s="1"/>
  <c r="H33" i="50" s="1"/>
  <c r="AA17" i="50"/>
  <c r="AA16" i="50"/>
  <c r="Z13" i="50"/>
  <c r="AA7" i="50"/>
  <c r="AA18" i="50"/>
  <c r="AA12" i="50"/>
  <c r="AA5" i="50"/>
  <c r="AD17" i="50"/>
  <c r="AA10" i="50"/>
  <c r="V5" i="50"/>
  <c r="S5" i="50"/>
  <c r="AD6" i="50"/>
  <c r="AA19" i="50"/>
  <c r="AA8" i="50"/>
  <c r="T5" i="50"/>
  <c r="AD7" i="50"/>
  <c r="AD9" i="50"/>
  <c r="AA11" i="50"/>
  <c r="AA6" i="50"/>
  <c r="AA9" i="50"/>
  <c r="U5" i="50"/>
  <c r="AD10" i="50"/>
  <c r="AD5" i="50"/>
  <c r="AD8" i="50"/>
  <c r="AD16" i="50"/>
  <c r="Z20" i="50"/>
  <c r="AA20" i="50" s="1"/>
  <c r="Q13" i="50"/>
  <c r="E34" i="50"/>
  <c r="H34" i="50"/>
  <c r="V23" i="48"/>
  <c r="R13" i="48"/>
  <c r="S13" i="48"/>
  <c r="U13" i="48"/>
  <c r="W13" i="48"/>
  <c r="T19" i="48"/>
  <c r="Z7" i="48" s="1"/>
  <c r="O28" i="48"/>
  <c r="N25" i="48"/>
  <c r="N24" i="48"/>
  <c r="E31" i="48"/>
  <c r="E32" i="48"/>
  <c r="E30" i="48"/>
  <c r="AG21" i="61" l="1"/>
  <c r="AE27" i="61"/>
  <c r="AG27" i="61" s="1"/>
  <c r="AE28" i="61"/>
  <c r="AB27" i="57"/>
  <c r="AD13" i="61"/>
  <c r="AD21" i="61"/>
  <c r="AG31" i="61"/>
  <c r="AD31" i="61"/>
  <c r="AG13" i="61"/>
  <c r="AG30" i="61"/>
  <c r="AD30" i="61"/>
  <c r="AF4" i="60"/>
  <c r="AF11" i="60"/>
  <c r="AF17" i="60"/>
  <c r="T5" i="60"/>
  <c r="AC6" i="60"/>
  <c r="W5" i="60"/>
  <c r="AC9" i="60"/>
  <c r="AC10" i="60"/>
  <c r="U5" i="60"/>
  <c r="AC4" i="60"/>
  <c r="AF5" i="60"/>
  <c r="AF7" i="60"/>
  <c r="AF6" i="60"/>
  <c r="AF9" i="60"/>
  <c r="AF10" i="60"/>
  <c r="AC12" i="60"/>
  <c r="AC18" i="60"/>
  <c r="AC5" i="60"/>
  <c r="AC17" i="60"/>
  <c r="AF8" i="60"/>
  <c r="AC7" i="60"/>
  <c r="AC11" i="60"/>
  <c r="AC16" i="60"/>
  <c r="V5" i="60"/>
  <c r="AC19" i="60"/>
  <c r="AF16" i="60"/>
  <c r="AC8" i="60"/>
  <c r="AC20" i="60"/>
  <c r="AC26" i="60"/>
  <c r="AC27" i="60"/>
  <c r="AD28" i="59"/>
  <c r="AA27" i="59"/>
  <c r="AD27" i="59"/>
  <c r="Q9" i="59"/>
  <c r="C40" i="13" s="1"/>
  <c r="AD21" i="59"/>
  <c r="AA21" i="59"/>
  <c r="AA13" i="59"/>
  <c r="AD13" i="59"/>
  <c r="AC13" i="59"/>
  <c r="AB2" i="59" s="1"/>
  <c r="AA27" i="57"/>
  <c r="AC14" i="57"/>
  <c r="Q9" i="57"/>
  <c r="C39" i="13" s="1"/>
  <c r="AC2" i="57"/>
  <c r="AA31" i="56"/>
  <c r="AC14" i="56"/>
  <c r="AC2" i="56"/>
  <c r="Q9" i="56"/>
  <c r="C38" i="13" s="1"/>
  <c r="AB27" i="56"/>
  <c r="Q8" i="55"/>
  <c r="AC4" i="55" s="1"/>
  <c r="AA19" i="55"/>
  <c r="AD8" i="55"/>
  <c r="AD11" i="55"/>
  <c r="E34" i="55"/>
  <c r="AA16" i="55"/>
  <c r="AD5" i="55"/>
  <c r="AA4" i="55"/>
  <c r="AD10" i="55"/>
  <c r="AA5" i="55"/>
  <c r="AD7" i="55"/>
  <c r="AA12" i="55"/>
  <c r="U5" i="55"/>
  <c r="AA6" i="55"/>
  <c r="AD17" i="55"/>
  <c r="AA10" i="55"/>
  <c r="AA8" i="55"/>
  <c r="AA17" i="55"/>
  <c r="S5" i="55"/>
  <c r="R5" i="55"/>
  <c r="AD9" i="55"/>
  <c r="AD6" i="55"/>
  <c r="AA11" i="55"/>
  <c r="AA9" i="55"/>
  <c r="AA18" i="55"/>
  <c r="AD31" i="55"/>
  <c r="AA31" i="55"/>
  <c r="AD16" i="55"/>
  <c r="AD30" i="55"/>
  <c r="AA30" i="55"/>
  <c r="AD12" i="55"/>
  <c r="AA7" i="55"/>
  <c r="AA20" i="55"/>
  <c r="AC14" i="54"/>
  <c r="AC27" i="54"/>
  <c r="AE4" i="54"/>
  <c r="AE16" i="54"/>
  <c r="AE9" i="54"/>
  <c r="AE11" i="54"/>
  <c r="AE12" i="54"/>
  <c r="AE8" i="54"/>
  <c r="AB31" i="54"/>
  <c r="AB30" i="54"/>
  <c r="AE6" i="54"/>
  <c r="AB6" i="54"/>
  <c r="AB11" i="54"/>
  <c r="AB9" i="54"/>
  <c r="AB19" i="54"/>
  <c r="AB16" i="54"/>
  <c r="AE5" i="54"/>
  <c r="AB4" i="54"/>
  <c r="AE7" i="54"/>
  <c r="AE17" i="54"/>
  <c r="AB10" i="54"/>
  <c r="U5" i="54"/>
  <c r="AB5" i="54"/>
  <c r="AB12" i="54"/>
  <c r="V5" i="54"/>
  <c r="AB8" i="54"/>
  <c r="T5" i="54"/>
  <c r="AB20" i="54"/>
  <c r="S5" i="54"/>
  <c r="AB18" i="54"/>
  <c r="AE10" i="54"/>
  <c r="AB7" i="54"/>
  <c r="AD4" i="53"/>
  <c r="AD13" i="53" s="1"/>
  <c r="AC2" i="53" s="1"/>
  <c r="V5" i="53"/>
  <c r="AB9" i="53"/>
  <c r="AB6" i="53"/>
  <c r="AE11" i="53"/>
  <c r="AB18" i="53"/>
  <c r="AB7" i="53"/>
  <c r="AB16" i="53"/>
  <c r="AB5" i="53"/>
  <c r="AE8" i="53"/>
  <c r="AB4" i="53"/>
  <c r="AB8" i="53"/>
  <c r="AB20" i="53"/>
  <c r="AE26" i="53"/>
  <c r="AB26" i="53"/>
  <c r="AE17" i="53"/>
  <c r="AB12" i="53"/>
  <c r="U5" i="53"/>
  <c r="T5" i="53"/>
  <c r="AE7" i="53"/>
  <c r="AE5" i="53"/>
  <c r="AB11" i="53"/>
  <c r="AE9" i="53"/>
  <c r="S5" i="53"/>
  <c r="AB19" i="53"/>
  <c r="AE6" i="53"/>
  <c r="AE10" i="53"/>
  <c r="AB10" i="53"/>
  <c r="AE16" i="53"/>
  <c r="AE12" i="53"/>
  <c r="AE31" i="53"/>
  <c r="AB31" i="53"/>
  <c r="U8" i="53"/>
  <c r="U8" i="52"/>
  <c r="AC27" i="52" s="1"/>
  <c r="J34" i="52"/>
  <c r="AD11" i="52" s="1"/>
  <c r="AE11" i="52" s="1"/>
  <c r="AB6" i="52"/>
  <c r="AE26" i="52"/>
  <c r="AB31" i="52"/>
  <c r="AC30" i="52"/>
  <c r="AB30" i="52" s="1"/>
  <c r="AE9" i="52"/>
  <c r="AB26" i="52"/>
  <c r="AE16" i="52"/>
  <c r="AE8" i="52"/>
  <c r="AB11" i="52"/>
  <c r="AB7" i="52"/>
  <c r="AB19" i="52"/>
  <c r="AE5" i="52"/>
  <c r="AB4" i="52"/>
  <c r="AE6" i="52"/>
  <c r="S5" i="52"/>
  <c r="AB17" i="52"/>
  <c r="U5" i="52"/>
  <c r="AB12" i="52"/>
  <c r="T5" i="52"/>
  <c r="AB5" i="52"/>
  <c r="AB16" i="52"/>
  <c r="AE17" i="52"/>
  <c r="AB10" i="52"/>
  <c r="AE7" i="52"/>
  <c r="V5" i="52"/>
  <c r="AB9" i="52"/>
  <c r="AB20" i="52"/>
  <c r="AB8" i="52"/>
  <c r="AB18" i="52"/>
  <c r="AE12" i="52"/>
  <c r="AE4" i="52"/>
  <c r="AC12" i="50"/>
  <c r="AD12" i="50" s="1"/>
  <c r="AC14" i="51"/>
  <c r="U8" i="51"/>
  <c r="AC27" i="51" s="1"/>
  <c r="AB27" i="51" s="1"/>
  <c r="AB8" i="51"/>
  <c r="AB12" i="51"/>
  <c r="T5" i="51"/>
  <c r="AB7" i="51"/>
  <c r="AE9" i="51"/>
  <c r="AB6" i="51"/>
  <c r="AE17" i="51"/>
  <c r="AE16" i="51"/>
  <c r="AE6" i="51"/>
  <c r="AB17" i="51"/>
  <c r="AE8" i="51"/>
  <c r="AE5" i="51"/>
  <c r="AB19" i="51"/>
  <c r="S5" i="51"/>
  <c r="AB16" i="51"/>
  <c r="AB4" i="51"/>
  <c r="AE12" i="51"/>
  <c r="AB11" i="51"/>
  <c r="AB10" i="51"/>
  <c r="AE7" i="51"/>
  <c r="AB5" i="51"/>
  <c r="AE10" i="51"/>
  <c r="AB20" i="51"/>
  <c r="AB18" i="51"/>
  <c r="V5" i="51"/>
  <c r="U5" i="51"/>
  <c r="J34" i="51"/>
  <c r="AE30" i="51"/>
  <c r="AB30" i="51"/>
  <c r="AE4" i="51"/>
  <c r="AE31" i="51"/>
  <c r="AB31" i="51"/>
  <c r="R8" i="50"/>
  <c r="AC4" i="50" s="1"/>
  <c r="AA13" i="50"/>
  <c r="J34" i="50"/>
  <c r="AC11" i="50" s="1"/>
  <c r="AD11" i="50" s="1"/>
  <c r="AA21" i="50"/>
  <c r="Q15" i="50"/>
  <c r="AD21" i="50"/>
  <c r="AB30" i="50"/>
  <c r="AD26" i="50"/>
  <c r="AA26" i="50"/>
  <c r="Z21" i="50"/>
  <c r="AB14" i="50" s="1"/>
  <c r="AC16" i="48"/>
  <c r="AC17" i="48"/>
  <c r="O16" i="48"/>
  <c r="O34" i="48" s="1"/>
  <c r="N16" i="48"/>
  <c r="J16" i="48" s="1"/>
  <c r="AA31" i="47"/>
  <c r="AA30" i="47"/>
  <c r="AB31" i="47"/>
  <c r="AC31" i="47" s="1"/>
  <c r="AB30" i="47"/>
  <c r="Y31" i="47"/>
  <c r="Z31" i="47" s="1"/>
  <c r="Y30" i="47"/>
  <c r="AB31" i="44"/>
  <c r="AB30" i="44"/>
  <c r="Y31" i="44"/>
  <c r="Z31" i="44" s="1"/>
  <c r="Y30" i="44"/>
  <c r="AA31" i="44"/>
  <c r="AA30" i="44"/>
  <c r="AC29" i="44"/>
  <c r="Z29" i="44"/>
  <c r="AC30" i="47"/>
  <c r="AC29" i="47"/>
  <c r="Z29" i="47"/>
  <c r="AA29" i="48"/>
  <c r="N7" i="48"/>
  <c r="J7" i="48" s="1"/>
  <c r="N34" i="48"/>
  <c r="AC12" i="48" s="1"/>
  <c r="M34" i="48"/>
  <c r="AC8" i="48" s="1"/>
  <c r="L34" i="48"/>
  <c r="AC9" i="48" s="1"/>
  <c r="G34" i="48"/>
  <c r="F34" i="48"/>
  <c r="U4" i="48" s="1"/>
  <c r="Z20" i="48" s="1"/>
  <c r="D34" i="48"/>
  <c r="Q8" i="48" s="1"/>
  <c r="C34" i="48"/>
  <c r="J33" i="48"/>
  <c r="E33" i="48"/>
  <c r="J32" i="48"/>
  <c r="J31" i="48"/>
  <c r="J30" i="48"/>
  <c r="J29" i="48"/>
  <c r="E29" i="48"/>
  <c r="AC28" i="48"/>
  <c r="J28" i="48"/>
  <c r="E28" i="48"/>
  <c r="J27" i="48"/>
  <c r="E27" i="48"/>
  <c r="J26" i="48"/>
  <c r="E26" i="48"/>
  <c r="J25" i="48"/>
  <c r="E25" i="48"/>
  <c r="J24" i="48"/>
  <c r="E24" i="48"/>
  <c r="U19" i="48"/>
  <c r="J23" i="48"/>
  <c r="E23" i="48"/>
  <c r="J22" i="48"/>
  <c r="E22" i="48"/>
  <c r="AI21" i="48"/>
  <c r="J21" i="48"/>
  <c r="E21" i="48"/>
  <c r="K34" i="48"/>
  <c r="AC10" i="48" s="1"/>
  <c r="E20" i="48"/>
  <c r="Z19" i="48"/>
  <c r="J19" i="48"/>
  <c r="E19" i="48"/>
  <c r="Z18" i="48"/>
  <c r="J18" i="48"/>
  <c r="E18" i="48"/>
  <c r="Z17" i="48"/>
  <c r="J17" i="48"/>
  <c r="E17" i="48"/>
  <c r="Z16" i="48"/>
  <c r="E16" i="48"/>
  <c r="W15" i="48"/>
  <c r="V15" i="48"/>
  <c r="J15" i="48"/>
  <c r="E15" i="48"/>
  <c r="J14" i="48"/>
  <c r="E14" i="48"/>
  <c r="Z13" i="48"/>
  <c r="U15" i="48"/>
  <c r="T15" i="48"/>
  <c r="S15" i="48"/>
  <c r="R15" i="48"/>
  <c r="J13" i="48"/>
  <c r="E13" i="48"/>
  <c r="J12" i="48"/>
  <c r="E12" i="48"/>
  <c r="J11" i="48"/>
  <c r="E11" i="48"/>
  <c r="AG10" i="48"/>
  <c r="Q13" i="48" s="1"/>
  <c r="J10" i="48"/>
  <c r="E10" i="48"/>
  <c r="J9" i="48"/>
  <c r="E9" i="48"/>
  <c r="J8" i="48"/>
  <c r="E8" i="48"/>
  <c r="E7" i="48"/>
  <c r="J6" i="48"/>
  <c r="E6" i="48"/>
  <c r="AC5" i="48"/>
  <c r="J5" i="48"/>
  <c r="E5" i="48"/>
  <c r="J4" i="48"/>
  <c r="E4" i="48"/>
  <c r="J3" i="48"/>
  <c r="E3" i="48"/>
  <c r="J2" i="48"/>
  <c r="E2" i="48"/>
  <c r="H2" i="48" s="1"/>
  <c r="J26" i="14"/>
  <c r="K26" i="14" s="1"/>
  <c r="J25" i="14"/>
  <c r="K25" i="14" s="1"/>
  <c r="J24" i="14"/>
  <c r="K24" i="14" s="1"/>
  <c r="F25" i="14"/>
  <c r="G25" i="14" s="1"/>
  <c r="F26" i="14"/>
  <c r="G26" i="14" s="1"/>
  <c r="J22" i="14"/>
  <c r="K22" i="14" s="1"/>
  <c r="J23" i="14"/>
  <c r="K23" i="14" s="1"/>
  <c r="T16" i="47"/>
  <c r="D26" i="14"/>
  <c r="Y21" i="47"/>
  <c r="Y20" i="47"/>
  <c r="U4" i="47"/>
  <c r="AA26" i="47"/>
  <c r="AB28" i="47"/>
  <c r="J32" i="47"/>
  <c r="J33" i="47"/>
  <c r="S13" i="47"/>
  <c r="T13" i="47"/>
  <c r="T15" i="47" s="1"/>
  <c r="W13" i="47"/>
  <c r="U13" i="47"/>
  <c r="R13" i="47"/>
  <c r="R15" i="47" s="1"/>
  <c r="N21" i="47"/>
  <c r="J21" i="47" s="1"/>
  <c r="K20" i="47"/>
  <c r="O9" i="47"/>
  <c r="O34" i="47" s="1"/>
  <c r="N6" i="47"/>
  <c r="J2" i="47"/>
  <c r="M34" i="47"/>
  <c r="AB8" i="47" s="1"/>
  <c r="L34" i="47"/>
  <c r="AB9" i="47" s="1"/>
  <c r="G34" i="47"/>
  <c r="F34" i="47"/>
  <c r="D34" i="47"/>
  <c r="Q8" i="47" s="1"/>
  <c r="C34" i="47"/>
  <c r="Q4" i="47" s="1"/>
  <c r="E33" i="47"/>
  <c r="J31" i="47"/>
  <c r="E31" i="47"/>
  <c r="J30" i="47"/>
  <c r="E30" i="47"/>
  <c r="J29" i="47"/>
  <c r="E29" i="47"/>
  <c r="J28" i="47"/>
  <c r="E28" i="47"/>
  <c r="J27" i="47"/>
  <c r="E27" i="47"/>
  <c r="J26" i="47"/>
  <c r="E26" i="47"/>
  <c r="J25" i="47"/>
  <c r="E25" i="47"/>
  <c r="J24" i="47"/>
  <c r="E24" i="47"/>
  <c r="V23" i="47"/>
  <c r="U19" i="47" s="1"/>
  <c r="V19" i="47" s="1"/>
  <c r="S8" i="47" s="1"/>
  <c r="J23" i="47"/>
  <c r="E23" i="47"/>
  <c r="J22" i="47"/>
  <c r="E22" i="47"/>
  <c r="AH21" i="47"/>
  <c r="E21" i="47"/>
  <c r="J20" i="47"/>
  <c r="E20" i="47"/>
  <c r="Y19" i="47"/>
  <c r="J19" i="47"/>
  <c r="E19" i="47"/>
  <c r="Y18" i="47"/>
  <c r="J18" i="47"/>
  <c r="E18" i="47"/>
  <c r="AB17" i="47"/>
  <c r="Y17" i="47"/>
  <c r="J17" i="47"/>
  <c r="E17" i="47"/>
  <c r="AB16" i="47"/>
  <c r="AB21" i="47" s="1"/>
  <c r="Y16" i="47"/>
  <c r="J16" i="47"/>
  <c r="E16" i="47"/>
  <c r="V15" i="47"/>
  <c r="S15" i="47"/>
  <c r="Q15" i="47"/>
  <c r="J15" i="47"/>
  <c r="E15" i="47"/>
  <c r="J14" i="47"/>
  <c r="E14" i="47"/>
  <c r="Y13" i="47"/>
  <c r="U15" i="47"/>
  <c r="Q13" i="47"/>
  <c r="J13" i="47"/>
  <c r="E13" i="47"/>
  <c r="J12" i="47"/>
  <c r="E12" i="47"/>
  <c r="J11" i="47"/>
  <c r="E11" i="47"/>
  <c r="AF10" i="47"/>
  <c r="J10" i="47"/>
  <c r="E10" i="47"/>
  <c r="E9" i="47"/>
  <c r="J8" i="47"/>
  <c r="E8" i="47"/>
  <c r="AB7" i="47"/>
  <c r="J7" i="47"/>
  <c r="E7" i="47"/>
  <c r="E6" i="47"/>
  <c r="AB5" i="47"/>
  <c r="J5" i="47"/>
  <c r="E5" i="47"/>
  <c r="J4" i="47"/>
  <c r="E4" i="47"/>
  <c r="J3" i="47"/>
  <c r="E3" i="47"/>
  <c r="K34" i="47"/>
  <c r="AB10" i="47" s="1"/>
  <c r="E2" i="47"/>
  <c r="H2" i="47" s="1"/>
  <c r="AB27" i="44"/>
  <c r="Y27" i="44"/>
  <c r="AB7" i="44"/>
  <c r="O30" i="44"/>
  <c r="J30" i="44" s="1"/>
  <c r="K29" i="44"/>
  <c r="J29" i="44" s="1"/>
  <c r="O28" i="44"/>
  <c r="J3" i="44"/>
  <c r="J4" i="44"/>
  <c r="J5" i="44"/>
  <c r="J6" i="44"/>
  <c r="J7" i="44"/>
  <c r="J8" i="44"/>
  <c r="J9" i="44"/>
  <c r="J10" i="44"/>
  <c r="J11" i="44"/>
  <c r="J12" i="44"/>
  <c r="J13" i="44"/>
  <c r="J14" i="44"/>
  <c r="J15" i="44"/>
  <c r="J16" i="44"/>
  <c r="J17" i="44"/>
  <c r="J18" i="44"/>
  <c r="J20" i="44"/>
  <c r="J21" i="44"/>
  <c r="J22" i="44"/>
  <c r="J23" i="44"/>
  <c r="J24" i="44"/>
  <c r="J25" i="44"/>
  <c r="J26" i="44"/>
  <c r="J27" i="44"/>
  <c r="J28" i="44"/>
  <c r="J31" i="44"/>
  <c r="J32" i="44"/>
  <c r="K19" i="44"/>
  <c r="J19" i="44" s="1"/>
  <c r="K3" i="44"/>
  <c r="K2" i="44"/>
  <c r="J2" i="44" s="1"/>
  <c r="J33" i="44"/>
  <c r="L34" i="44"/>
  <c r="AB9" i="44" s="1"/>
  <c r="M34" i="44"/>
  <c r="AB8" i="44" s="1"/>
  <c r="N34" i="44"/>
  <c r="AB12" i="44" s="1"/>
  <c r="AB28" i="44"/>
  <c r="Y28" i="44"/>
  <c r="Y21" i="44"/>
  <c r="Y18" i="44"/>
  <c r="Y17" i="44"/>
  <c r="Y16" i="44"/>
  <c r="Y19" i="44"/>
  <c r="AB17" i="44"/>
  <c r="AB16" i="44"/>
  <c r="AB21" i="44" s="1"/>
  <c r="AB5" i="44"/>
  <c r="Y13" i="44"/>
  <c r="G24" i="14"/>
  <c r="D25" i="14"/>
  <c r="E33" i="44"/>
  <c r="V23" i="44"/>
  <c r="AF14" i="61" l="1"/>
  <c r="AD27" i="61"/>
  <c r="AF2" i="61"/>
  <c r="AF22" i="61" s="1"/>
  <c r="AG28" i="61"/>
  <c r="AD28" i="61"/>
  <c r="AB28" i="57"/>
  <c r="AD27" i="57"/>
  <c r="M25" i="14"/>
  <c r="E25" i="14"/>
  <c r="M26" i="14"/>
  <c r="E26" i="14"/>
  <c r="AD28" i="60"/>
  <c r="AF28" i="60" s="1"/>
  <c r="C41" i="13"/>
  <c r="AF21" i="60"/>
  <c r="AC21" i="60"/>
  <c r="AF13" i="60"/>
  <c r="AC13" i="60"/>
  <c r="AF31" i="60"/>
  <c r="AC31" i="60"/>
  <c r="AF30" i="60"/>
  <c r="AC30" i="60"/>
  <c r="AC14" i="59"/>
  <c r="AC2" i="59"/>
  <c r="AC22" i="57"/>
  <c r="AC22" i="56"/>
  <c r="AD27" i="56"/>
  <c r="AA27" i="56"/>
  <c r="AB28" i="56"/>
  <c r="T8" i="55"/>
  <c r="AB27" i="55" s="1"/>
  <c r="AD4" i="55"/>
  <c r="AD13" i="55" s="1"/>
  <c r="AC13" i="55"/>
  <c r="AB2" i="55" s="1"/>
  <c r="AA21" i="55"/>
  <c r="AD21" i="55"/>
  <c r="AA13" i="55"/>
  <c r="AB27" i="54"/>
  <c r="AC28" i="54"/>
  <c r="AE28" i="54" s="1"/>
  <c r="AE27" i="54"/>
  <c r="C36" i="13"/>
  <c r="AD13" i="54"/>
  <c r="AC2" i="54" s="1"/>
  <c r="AE21" i="54"/>
  <c r="AE13" i="54"/>
  <c r="AB13" i="54"/>
  <c r="AB21" i="54"/>
  <c r="AE4" i="53"/>
  <c r="AE13" i="53" s="1"/>
  <c r="AB13" i="53"/>
  <c r="AB21" i="53"/>
  <c r="AE21" i="53"/>
  <c r="AE30" i="53"/>
  <c r="AB30" i="53"/>
  <c r="R9" i="53"/>
  <c r="AC27" i="53"/>
  <c r="AB27" i="52"/>
  <c r="R9" i="52"/>
  <c r="AC28" i="52" s="1"/>
  <c r="AB28" i="52" s="1"/>
  <c r="AD13" i="52"/>
  <c r="AC2" i="52" s="1"/>
  <c r="AE30" i="52"/>
  <c r="AB13" i="52"/>
  <c r="AE21" i="52"/>
  <c r="AB21" i="52"/>
  <c r="AE13" i="52"/>
  <c r="R9" i="51"/>
  <c r="AC28" i="51" s="1"/>
  <c r="AE28" i="51" s="1"/>
  <c r="AE27" i="51"/>
  <c r="AE21" i="51"/>
  <c r="AB21" i="51"/>
  <c r="AB13" i="51"/>
  <c r="AD11" i="51"/>
  <c r="AD13" i="51" s="1"/>
  <c r="AC2" i="51" s="1"/>
  <c r="U8" i="50"/>
  <c r="AB27" i="50" s="1"/>
  <c r="AC14" i="50"/>
  <c r="AD31" i="50"/>
  <c r="AA31" i="50"/>
  <c r="AA30" i="50"/>
  <c r="AD30" i="50"/>
  <c r="AC13" i="50"/>
  <c r="AB2" i="50" s="1"/>
  <c r="AD4" i="50"/>
  <c r="AD13" i="50" s="1"/>
  <c r="AC2" i="50" s="1"/>
  <c r="Q4" i="48"/>
  <c r="AA12" i="48" s="1"/>
  <c r="AB26" i="48"/>
  <c r="AC21" i="48"/>
  <c r="T16" i="48"/>
  <c r="V19" i="48"/>
  <c r="S8" i="48" s="1"/>
  <c r="Z30" i="47"/>
  <c r="AC30" i="44"/>
  <c r="Z30" i="44"/>
  <c r="AC31" i="44"/>
  <c r="AD29" i="48"/>
  <c r="H34" i="48"/>
  <c r="AD6" i="48"/>
  <c r="H3" i="48"/>
  <c r="H4" i="48" s="1"/>
  <c r="H5" i="48" s="1"/>
  <c r="H6" i="48" s="1"/>
  <c r="H7" i="48" s="1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H20" i="48" s="1"/>
  <c r="H21" i="48" s="1"/>
  <c r="H22" i="48" s="1"/>
  <c r="H23" i="48" s="1"/>
  <c r="H24" i="48" s="1"/>
  <c r="H25" i="48" s="1"/>
  <c r="H26" i="48" s="1"/>
  <c r="H27" i="48" s="1"/>
  <c r="H28" i="48" s="1"/>
  <c r="H29" i="48" s="1"/>
  <c r="H30" i="48" s="1"/>
  <c r="H31" i="48" s="1"/>
  <c r="H32" i="48" s="1"/>
  <c r="H33" i="48" s="1"/>
  <c r="E34" i="48"/>
  <c r="Q15" i="48"/>
  <c r="J20" i="48"/>
  <c r="J34" i="48" s="1"/>
  <c r="AC11" i="48" s="1"/>
  <c r="Z21" i="48"/>
  <c r="Z20" i="47"/>
  <c r="AB4" i="47"/>
  <c r="AC4" i="47" s="1"/>
  <c r="H34" i="47"/>
  <c r="H3" i="47"/>
  <c r="H4" i="47" s="1"/>
  <c r="H5" i="47" s="1"/>
  <c r="H6" i="47" s="1"/>
  <c r="H7" i="47" s="1"/>
  <c r="H8" i="47" s="1"/>
  <c r="H9" i="47" s="1"/>
  <c r="H10" i="47" s="1"/>
  <c r="H11" i="47" s="1"/>
  <c r="H12" i="47" s="1"/>
  <c r="H13" i="47" s="1"/>
  <c r="H14" i="47" s="1"/>
  <c r="H15" i="47" s="1"/>
  <c r="H16" i="47" s="1"/>
  <c r="H17" i="47" s="1"/>
  <c r="H18" i="47" s="1"/>
  <c r="H19" i="47" s="1"/>
  <c r="H20" i="47" s="1"/>
  <c r="H21" i="47" s="1"/>
  <c r="H22" i="47" s="1"/>
  <c r="H23" i="47" s="1"/>
  <c r="H24" i="47" s="1"/>
  <c r="H25" i="47" s="1"/>
  <c r="H26" i="47" s="1"/>
  <c r="H27" i="47" s="1"/>
  <c r="H28" i="47" s="1"/>
  <c r="H29" i="47" s="1"/>
  <c r="H30" i="47" s="1"/>
  <c r="H31" i="47" s="1"/>
  <c r="H32" i="47" s="1"/>
  <c r="H33" i="47" s="1"/>
  <c r="N34" i="47"/>
  <c r="AB12" i="47" s="1"/>
  <c r="AC12" i="47" s="1"/>
  <c r="J9" i="47"/>
  <c r="J6" i="47"/>
  <c r="E34" i="47"/>
  <c r="Z19" i="47"/>
  <c r="AC10" i="47"/>
  <c r="AC17" i="47"/>
  <c r="AC8" i="47"/>
  <c r="Z18" i="47"/>
  <c r="J34" i="47"/>
  <c r="AB11" i="47" s="1"/>
  <c r="AC11" i="47" s="1"/>
  <c r="W15" i="47"/>
  <c r="R8" i="47" s="1"/>
  <c r="U8" i="47" s="1"/>
  <c r="O34" i="44"/>
  <c r="K34" i="44"/>
  <c r="AB10" i="44" s="1"/>
  <c r="J34" i="44"/>
  <c r="AB11" i="44" s="1"/>
  <c r="R15" i="44"/>
  <c r="S15" i="44"/>
  <c r="V15" i="44"/>
  <c r="W13" i="44"/>
  <c r="W15" i="44" s="1"/>
  <c r="T13" i="44"/>
  <c r="G34" i="44"/>
  <c r="F34" i="44"/>
  <c r="U4" i="44" s="1"/>
  <c r="D34" i="44"/>
  <c r="C34" i="44"/>
  <c r="E32" i="44"/>
  <c r="E31" i="44"/>
  <c r="E30" i="44"/>
  <c r="E29" i="44"/>
  <c r="E28" i="44"/>
  <c r="E27" i="44"/>
  <c r="E26" i="44"/>
  <c r="E25" i="44"/>
  <c r="E24" i="44"/>
  <c r="E23" i="44"/>
  <c r="E22" i="44"/>
  <c r="AH21" i="44"/>
  <c r="E21" i="44"/>
  <c r="E20" i="44"/>
  <c r="U19" i="44"/>
  <c r="V19" i="44" s="1"/>
  <c r="S8" i="44" s="1"/>
  <c r="E19" i="44"/>
  <c r="E18" i="44"/>
  <c r="E17" i="44"/>
  <c r="E16" i="44"/>
  <c r="E15" i="44"/>
  <c r="E14" i="44"/>
  <c r="U13" i="44"/>
  <c r="U15" i="44" s="1"/>
  <c r="E13" i="44"/>
  <c r="E12" i="44"/>
  <c r="E11" i="44"/>
  <c r="AF10" i="44"/>
  <c r="Q13" i="44" s="1"/>
  <c r="E10" i="44"/>
  <c r="E9" i="44"/>
  <c r="E8" i="44"/>
  <c r="E7" i="44"/>
  <c r="E6" i="44"/>
  <c r="E5" i="44"/>
  <c r="E4" i="44"/>
  <c r="E3" i="44"/>
  <c r="E2" i="44"/>
  <c r="H2" i="44" s="1"/>
  <c r="L13" i="43"/>
  <c r="F23" i="14"/>
  <c r="G23" i="14" s="1"/>
  <c r="D24" i="14"/>
  <c r="D23" i="14"/>
  <c r="M13" i="43"/>
  <c r="F34" i="43"/>
  <c r="L4" i="43"/>
  <c r="M13" i="42"/>
  <c r="L13" i="42"/>
  <c r="N15" i="43"/>
  <c r="I13" i="43"/>
  <c r="G34" i="43"/>
  <c r="C34" i="43"/>
  <c r="I4" i="43" s="1"/>
  <c r="E31" i="43"/>
  <c r="E30" i="43"/>
  <c r="E29" i="43"/>
  <c r="E28" i="43"/>
  <c r="E27" i="43"/>
  <c r="E26" i="43"/>
  <c r="E25" i="43"/>
  <c r="E24" i="43"/>
  <c r="N23" i="43"/>
  <c r="M19" i="43" s="1"/>
  <c r="N19" i="43" s="1"/>
  <c r="K8" i="43" s="1"/>
  <c r="E23" i="43"/>
  <c r="E22" i="43"/>
  <c r="R21" i="43"/>
  <c r="E21" i="43"/>
  <c r="E20" i="43"/>
  <c r="E19" i="43"/>
  <c r="E18" i="43"/>
  <c r="E17" i="43"/>
  <c r="E16" i="43"/>
  <c r="E15" i="43"/>
  <c r="E14" i="43"/>
  <c r="E13" i="43"/>
  <c r="E12" i="43"/>
  <c r="E11" i="43"/>
  <c r="P10" i="43"/>
  <c r="E10" i="43"/>
  <c r="E9" i="43"/>
  <c r="E8" i="43"/>
  <c r="E7" i="43"/>
  <c r="E6" i="43"/>
  <c r="E5" i="43"/>
  <c r="E4" i="43"/>
  <c r="E3" i="43"/>
  <c r="E2" i="43"/>
  <c r="N15" i="42"/>
  <c r="L16" i="42"/>
  <c r="J8" i="42" s="1"/>
  <c r="E32" i="42"/>
  <c r="D34" i="42"/>
  <c r="I8" i="42" s="1"/>
  <c r="I1" i="13"/>
  <c r="E31" i="42"/>
  <c r="J8" i="34"/>
  <c r="D22" i="14"/>
  <c r="H22" i="14"/>
  <c r="I22" i="14" s="1"/>
  <c r="H19" i="42"/>
  <c r="M28" i="14"/>
  <c r="M29" i="14"/>
  <c r="M30" i="14"/>
  <c r="M31" i="14"/>
  <c r="M32" i="14"/>
  <c r="M33" i="14"/>
  <c r="M34" i="14"/>
  <c r="D34" i="41"/>
  <c r="H34" i="41" s="1"/>
  <c r="D33" i="40"/>
  <c r="H34" i="37"/>
  <c r="J9" i="37" s="1"/>
  <c r="J9" i="40"/>
  <c r="E34" i="37"/>
  <c r="D34" i="37"/>
  <c r="K8" i="41"/>
  <c r="I4" i="41"/>
  <c r="C34" i="41"/>
  <c r="H30" i="41"/>
  <c r="E31" i="41"/>
  <c r="E32" i="41"/>
  <c r="H33" i="41"/>
  <c r="F34" i="42"/>
  <c r="L4" i="42" s="1"/>
  <c r="G34" i="42"/>
  <c r="J4" i="42" s="1"/>
  <c r="H34" i="40"/>
  <c r="E34" i="40"/>
  <c r="J9" i="36"/>
  <c r="J9" i="34"/>
  <c r="J9" i="33"/>
  <c r="J9" i="32"/>
  <c r="J9" i="31"/>
  <c r="J9" i="30"/>
  <c r="J9" i="28"/>
  <c r="J9" i="26"/>
  <c r="J9" i="39"/>
  <c r="L16" i="41"/>
  <c r="J8" i="41" s="1"/>
  <c r="N23" i="41"/>
  <c r="M19" i="41" s="1"/>
  <c r="N19" i="41" s="1"/>
  <c r="M13" i="41"/>
  <c r="N15" i="41"/>
  <c r="L13" i="41"/>
  <c r="D3" i="13"/>
  <c r="E30" i="42"/>
  <c r="E29" i="42"/>
  <c r="E28" i="42"/>
  <c r="E27" i="42"/>
  <c r="E26" i="42"/>
  <c r="E25" i="42"/>
  <c r="E24" i="42"/>
  <c r="N23" i="42"/>
  <c r="M19" i="42" s="1"/>
  <c r="N19" i="42" s="1"/>
  <c r="K8" i="42" s="1"/>
  <c r="E23" i="42"/>
  <c r="E22" i="42"/>
  <c r="R21" i="42"/>
  <c r="E21" i="42"/>
  <c r="E20" i="42"/>
  <c r="E19" i="42"/>
  <c r="E18" i="42"/>
  <c r="E17" i="42"/>
  <c r="E16" i="42"/>
  <c r="E15" i="42"/>
  <c r="E14" i="42"/>
  <c r="I13" i="42"/>
  <c r="E13" i="42"/>
  <c r="E12" i="42"/>
  <c r="E11" i="42"/>
  <c r="P10" i="42"/>
  <c r="E10" i="42"/>
  <c r="E9" i="42"/>
  <c r="E8" i="42"/>
  <c r="E7" i="42"/>
  <c r="E6" i="42"/>
  <c r="E5" i="42"/>
  <c r="E4" i="42"/>
  <c r="E3" i="42"/>
  <c r="E2" i="42"/>
  <c r="H2" i="42" s="1"/>
  <c r="I13" i="41"/>
  <c r="G34" i="41"/>
  <c r="J4" i="41" s="1"/>
  <c r="F34" i="41"/>
  <c r="L4" i="41" s="1"/>
  <c r="E28" i="41"/>
  <c r="E27" i="41"/>
  <c r="E26" i="41"/>
  <c r="E25" i="41"/>
  <c r="E24" i="41"/>
  <c r="E23" i="41"/>
  <c r="E22" i="41"/>
  <c r="R21" i="41"/>
  <c r="E21" i="41"/>
  <c r="E20" i="41"/>
  <c r="E19" i="41"/>
  <c r="E18" i="41"/>
  <c r="E17" i="41"/>
  <c r="E16" i="41"/>
  <c r="E15" i="41"/>
  <c r="E14" i="41"/>
  <c r="E13" i="41"/>
  <c r="E12" i="41"/>
  <c r="E11" i="41"/>
  <c r="P10" i="41"/>
  <c r="E10" i="41"/>
  <c r="E9" i="41"/>
  <c r="E8" i="41"/>
  <c r="E7" i="41"/>
  <c r="E6" i="41"/>
  <c r="E5" i="41"/>
  <c r="E4" i="41"/>
  <c r="E3" i="41"/>
  <c r="E2" i="41"/>
  <c r="I13" i="40"/>
  <c r="D33" i="38"/>
  <c r="D32" i="39"/>
  <c r="P7" i="38"/>
  <c r="AC28" i="60" l="1"/>
  <c r="AD28" i="57"/>
  <c r="AA28" i="57"/>
  <c r="M23" i="14"/>
  <c r="E23" i="14"/>
  <c r="M24" i="14"/>
  <c r="E24" i="14"/>
  <c r="M22" i="14"/>
  <c r="E22" i="14"/>
  <c r="AE14" i="60"/>
  <c r="AE2" i="60"/>
  <c r="AC22" i="59"/>
  <c r="AD28" i="56"/>
  <c r="AA28" i="56"/>
  <c r="Q9" i="55"/>
  <c r="C37" i="13" s="1"/>
  <c r="AD27" i="55"/>
  <c r="AB28" i="55"/>
  <c r="AA27" i="55"/>
  <c r="AC14" i="55"/>
  <c r="AC2" i="55"/>
  <c r="AB28" i="54"/>
  <c r="AD14" i="54"/>
  <c r="AD2" i="54"/>
  <c r="AC28" i="53"/>
  <c r="AE28" i="53" s="1"/>
  <c r="AD2" i="53"/>
  <c r="AD14" i="53"/>
  <c r="AE27" i="53"/>
  <c r="AB27" i="53"/>
  <c r="AB28" i="53"/>
  <c r="C34" i="13"/>
  <c r="AE28" i="52"/>
  <c r="AD14" i="52"/>
  <c r="AD2" i="52"/>
  <c r="AB28" i="51"/>
  <c r="AD14" i="51"/>
  <c r="AA27" i="50"/>
  <c r="AD27" i="50"/>
  <c r="AE11" i="51"/>
  <c r="AE13" i="51" s="1"/>
  <c r="AD2" i="51" s="1"/>
  <c r="R9" i="50"/>
  <c r="C32" i="13" s="1"/>
  <c r="AC22" i="50"/>
  <c r="AB30" i="48"/>
  <c r="AB31" i="48"/>
  <c r="R8" i="48"/>
  <c r="J27" i="14"/>
  <c r="K27" i="14" s="1"/>
  <c r="V5" i="48"/>
  <c r="AA19" i="48"/>
  <c r="T5" i="48"/>
  <c r="AA17" i="48"/>
  <c r="AA18" i="48"/>
  <c r="AA9" i="48"/>
  <c r="S5" i="48"/>
  <c r="AA11" i="48"/>
  <c r="AD7" i="48"/>
  <c r="AD5" i="48"/>
  <c r="AD16" i="48"/>
  <c r="AA20" i="48"/>
  <c r="AA8" i="48"/>
  <c r="AD17" i="48"/>
  <c r="AA7" i="48"/>
  <c r="AA13" i="48" s="1"/>
  <c r="AD10" i="48"/>
  <c r="AD12" i="48"/>
  <c r="AD9" i="48"/>
  <c r="AD8" i="48"/>
  <c r="AA10" i="48"/>
  <c r="AA16" i="48"/>
  <c r="AA5" i="48"/>
  <c r="U5" i="48"/>
  <c r="AA4" i="48"/>
  <c r="AD11" i="48"/>
  <c r="AA6" i="48"/>
  <c r="AD26" i="48"/>
  <c r="AA26" i="48"/>
  <c r="AD4" i="48"/>
  <c r="AC13" i="48"/>
  <c r="AB2" i="48" s="1"/>
  <c r="R9" i="47"/>
  <c r="AA28" i="47" s="1"/>
  <c r="AA27" i="47"/>
  <c r="AC27" i="47" s="1"/>
  <c r="AC26" i="47"/>
  <c r="Z26" i="47"/>
  <c r="Z5" i="47"/>
  <c r="Z4" i="47"/>
  <c r="Z9" i="47"/>
  <c r="AC6" i="47"/>
  <c r="V5" i="47"/>
  <c r="Z16" i="47"/>
  <c r="T5" i="47"/>
  <c r="Z17" i="47"/>
  <c r="AC5" i="47"/>
  <c r="Z7" i="47"/>
  <c r="Z6" i="47"/>
  <c r="Z8" i="47"/>
  <c r="Z11" i="47"/>
  <c r="AC7" i="47"/>
  <c r="S5" i="47"/>
  <c r="Z10" i="47"/>
  <c r="AC16" i="47"/>
  <c r="AC21" i="47" s="1"/>
  <c r="U5" i="47"/>
  <c r="AC9" i="47"/>
  <c r="AB13" i="47"/>
  <c r="AC10" i="44"/>
  <c r="AA26" i="44"/>
  <c r="Q15" i="44"/>
  <c r="AB4" i="44"/>
  <c r="AC4" i="44" s="1"/>
  <c r="T15" i="44"/>
  <c r="T16" i="44" s="1"/>
  <c r="R8" i="44" s="1"/>
  <c r="S5" i="44"/>
  <c r="T5" i="44"/>
  <c r="V5" i="44"/>
  <c r="U5" i="44"/>
  <c r="H34" i="44"/>
  <c r="H3" i="44"/>
  <c r="H4" i="44" s="1"/>
  <c r="H5" i="44" s="1"/>
  <c r="H6" i="44" s="1"/>
  <c r="H7" i="44" s="1"/>
  <c r="H8" i="44" s="1"/>
  <c r="H9" i="44" s="1"/>
  <c r="H10" i="44" s="1"/>
  <c r="H11" i="44" s="1"/>
  <c r="H12" i="44" s="1"/>
  <c r="H13" i="44" s="1"/>
  <c r="H14" i="44" s="1"/>
  <c r="H15" i="44" s="1"/>
  <c r="H16" i="44" s="1"/>
  <c r="H17" i="44" s="1"/>
  <c r="H18" i="44" s="1"/>
  <c r="H19" i="44" s="1"/>
  <c r="H20" i="44" s="1"/>
  <c r="H21" i="44" s="1"/>
  <c r="H22" i="44" s="1"/>
  <c r="H23" i="44" s="1"/>
  <c r="H24" i="44" s="1"/>
  <c r="H25" i="44" s="1"/>
  <c r="H26" i="44" s="1"/>
  <c r="H27" i="44" s="1"/>
  <c r="H28" i="44" s="1"/>
  <c r="H29" i="44" s="1"/>
  <c r="H30" i="44" s="1"/>
  <c r="H31" i="44" s="1"/>
  <c r="H32" i="44" s="1"/>
  <c r="H33" i="44" s="1"/>
  <c r="E34" i="44"/>
  <c r="Q8" i="44"/>
  <c r="L5" i="43"/>
  <c r="L16" i="43"/>
  <c r="J8" i="43" s="1"/>
  <c r="J4" i="43"/>
  <c r="J5" i="43" s="1"/>
  <c r="K5" i="43"/>
  <c r="H2" i="43"/>
  <c r="H3" i="43" s="1"/>
  <c r="H4" i="43" s="1"/>
  <c r="H5" i="43" s="1"/>
  <c r="H6" i="43" s="1"/>
  <c r="H7" i="43" s="1"/>
  <c r="H8" i="43" s="1"/>
  <c r="H9" i="43" s="1"/>
  <c r="H10" i="43" s="1"/>
  <c r="H11" i="43" s="1"/>
  <c r="H12" i="43" s="1"/>
  <c r="H13" i="43" s="1"/>
  <c r="H14" i="43" s="1"/>
  <c r="H15" i="43" s="1"/>
  <c r="H16" i="43" s="1"/>
  <c r="H17" i="43" s="1"/>
  <c r="H18" i="43" s="1"/>
  <c r="H19" i="43" s="1"/>
  <c r="H20" i="43" s="1"/>
  <c r="H21" i="43" s="1"/>
  <c r="H22" i="43" s="1"/>
  <c r="H23" i="43" s="1"/>
  <c r="H24" i="43" s="1"/>
  <c r="H25" i="43" s="1"/>
  <c r="H26" i="43" s="1"/>
  <c r="H27" i="43" s="1"/>
  <c r="H28" i="43" s="1"/>
  <c r="H29" i="43" s="1"/>
  <c r="H30" i="43" s="1"/>
  <c r="H31" i="43" s="1"/>
  <c r="M5" i="43"/>
  <c r="J9" i="41"/>
  <c r="C26" i="13" s="1"/>
  <c r="E34" i="42"/>
  <c r="H34" i="42"/>
  <c r="E34" i="41"/>
  <c r="I8" i="41"/>
  <c r="M8" i="41" s="1"/>
  <c r="L5" i="42"/>
  <c r="H3" i="42"/>
  <c r="H4" i="42" s="1"/>
  <c r="H5" i="42" s="1"/>
  <c r="H6" i="42" s="1"/>
  <c r="H7" i="42" s="1"/>
  <c r="H8" i="42" s="1"/>
  <c r="H9" i="42" s="1"/>
  <c r="H10" i="42" s="1"/>
  <c r="H11" i="42" s="1"/>
  <c r="H12" i="42" s="1"/>
  <c r="H13" i="42" s="1"/>
  <c r="H14" i="42" s="1"/>
  <c r="H15" i="42" s="1"/>
  <c r="H16" i="42" s="1"/>
  <c r="H17" i="42" s="1"/>
  <c r="H18" i="42" s="1"/>
  <c r="H20" i="42" s="1"/>
  <c r="H21" i="42" s="1"/>
  <c r="H22" i="42" s="1"/>
  <c r="H23" i="42" s="1"/>
  <c r="H24" i="42" s="1"/>
  <c r="H25" i="42" s="1"/>
  <c r="H26" i="42" s="1"/>
  <c r="H27" i="42" s="1"/>
  <c r="H28" i="42" s="1"/>
  <c r="H29" i="42" s="1"/>
  <c r="K5" i="42"/>
  <c r="M8" i="42"/>
  <c r="J9" i="42" s="1"/>
  <c r="J5" i="42"/>
  <c r="M5" i="42"/>
  <c r="H2" i="41"/>
  <c r="H3" i="41" s="1"/>
  <c r="H4" i="41" s="1"/>
  <c r="H5" i="41" s="1"/>
  <c r="H6" i="41" s="1"/>
  <c r="H7" i="41" s="1"/>
  <c r="H8" i="41" s="1"/>
  <c r="H9" i="41" s="1"/>
  <c r="H10" i="41" s="1"/>
  <c r="H11" i="41" s="1"/>
  <c r="H12" i="41" s="1"/>
  <c r="H13" i="41" s="1"/>
  <c r="H14" i="41" s="1"/>
  <c r="H15" i="41" s="1"/>
  <c r="H16" i="41" s="1"/>
  <c r="H17" i="41" s="1"/>
  <c r="H18" i="41" s="1"/>
  <c r="H19" i="41" s="1"/>
  <c r="H20" i="41" s="1"/>
  <c r="H21" i="41" s="1"/>
  <c r="H22" i="41" s="1"/>
  <c r="H23" i="41" s="1"/>
  <c r="H24" i="41" s="1"/>
  <c r="H25" i="41" s="1"/>
  <c r="H26" i="41" s="1"/>
  <c r="H27" i="41" s="1"/>
  <c r="H28" i="41" s="1"/>
  <c r="H29" i="41" s="1"/>
  <c r="H31" i="41" s="1"/>
  <c r="H32" i="41" s="1"/>
  <c r="N13" i="40"/>
  <c r="L16" i="40"/>
  <c r="G34" i="40"/>
  <c r="J4" i="40" s="1"/>
  <c r="F34" i="40"/>
  <c r="L4" i="40" s="1"/>
  <c r="D34" i="40"/>
  <c r="I8" i="40" s="1"/>
  <c r="C34" i="40"/>
  <c r="E33" i="40"/>
  <c r="E32" i="40"/>
  <c r="E31" i="40"/>
  <c r="E30" i="40"/>
  <c r="E29" i="40"/>
  <c r="E28" i="40"/>
  <c r="E27" i="40"/>
  <c r="E26" i="40"/>
  <c r="E25" i="40"/>
  <c r="E24" i="40"/>
  <c r="N23" i="40"/>
  <c r="M19" i="40" s="1"/>
  <c r="N19" i="40" s="1"/>
  <c r="K8" i="40" s="1"/>
  <c r="E23" i="40"/>
  <c r="E22" i="40"/>
  <c r="R21" i="40"/>
  <c r="E21" i="40"/>
  <c r="E20" i="40"/>
  <c r="E19" i="40"/>
  <c r="E18" i="40"/>
  <c r="E17" i="40"/>
  <c r="E16" i="40"/>
  <c r="E15" i="40"/>
  <c r="E14" i="40"/>
  <c r="E13" i="40"/>
  <c r="E12" i="40"/>
  <c r="E11" i="40"/>
  <c r="P10" i="40"/>
  <c r="E10" i="40"/>
  <c r="E9" i="40"/>
  <c r="E8" i="40"/>
  <c r="E7" i="40"/>
  <c r="E6" i="40"/>
  <c r="E5" i="40"/>
  <c r="E4" i="40"/>
  <c r="E3" i="40"/>
  <c r="E2" i="40"/>
  <c r="H2" i="40" s="1"/>
  <c r="E6" i="13"/>
  <c r="E7" i="13" s="1"/>
  <c r="E8" i="13" s="1"/>
  <c r="E9" i="13" s="1"/>
  <c r="E10" i="13" s="1"/>
  <c r="E11" i="13" s="1"/>
  <c r="G34" i="39"/>
  <c r="F34" i="39"/>
  <c r="L4" i="39" s="1"/>
  <c r="D34" i="39"/>
  <c r="I8" i="39" s="1"/>
  <c r="M8" i="39" s="1"/>
  <c r="C34" i="39"/>
  <c r="I4" i="39" s="1"/>
  <c r="M5" i="39" s="1"/>
  <c r="E33" i="39"/>
  <c r="E32" i="39"/>
  <c r="E31" i="39"/>
  <c r="E30" i="39"/>
  <c r="E29" i="39"/>
  <c r="E28" i="39"/>
  <c r="E27" i="39"/>
  <c r="E26" i="39"/>
  <c r="E25" i="39"/>
  <c r="E24" i="39"/>
  <c r="N23" i="39"/>
  <c r="M19" i="39" s="1"/>
  <c r="N19" i="39" s="1"/>
  <c r="K8" i="39" s="1"/>
  <c r="E23" i="39"/>
  <c r="E22" i="39"/>
  <c r="R21" i="39"/>
  <c r="E21" i="39"/>
  <c r="E20" i="39"/>
  <c r="E19" i="39"/>
  <c r="E18" i="39"/>
  <c r="E17" i="39"/>
  <c r="E16" i="39"/>
  <c r="E15" i="39"/>
  <c r="E14" i="39"/>
  <c r="E13" i="39"/>
  <c r="E12" i="39"/>
  <c r="E11" i="39"/>
  <c r="E10" i="39"/>
  <c r="E9" i="39"/>
  <c r="E8" i="39"/>
  <c r="P7" i="39"/>
  <c r="P10" i="39" s="1"/>
  <c r="L16" i="39" s="1"/>
  <c r="J8" i="39" s="1"/>
  <c r="E7" i="39"/>
  <c r="E6" i="39"/>
  <c r="E5" i="39"/>
  <c r="J4" i="39"/>
  <c r="E4" i="39"/>
  <c r="E3" i="39"/>
  <c r="E2" i="39"/>
  <c r="G34" i="38"/>
  <c r="J4" i="38" s="1"/>
  <c r="F34" i="38"/>
  <c r="L4" i="38" s="1"/>
  <c r="D34" i="38"/>
  <c r="I8" i="38" s="1"/>
  <c r="C34" i="38"/>
  <c r="I4" i="38" s="1"/>
  <c r="E33" i="38"/>
  <c r="E32" i="38"/>
  <c r="E31" i="38"/>
  <c r="E30" i="38"/>
  <c r="E29" i="38"/>
  <c r="E28" i="38"/>
  <c r="E27" i="38"/>
  <c r="E26" i="38"/>
  <c r="E25" i="38"/>
  <c r="E24" i="38"/>
  <c r="N23" i="38"/>
  <c r="M19" i="38" s="1"/>
  <c r="N19" i="38" s="1"/>
  <c r="K8" i="38" s="1"/>
  <c r="E23" i="38"/>
  <c r="E22" i="38"/>
  <c r="R21" i="38"/>
  <c r="E21" i="38"/>
  <c r="E20" i="38"/>
  <c r="E19" i="38"/>
  <c r="E18" i="38"/>
  <c r="E17" i="38"/>
  <c r="E16" i="38"/>
  <c r="E15" i="38"/>
  <c r="E14" i="38"/>
  <c r="E13" i="38"/>
  <c r="E12" i="38"/>
  <c r="E11" i="38"/>
  <c r="E10" i="38"/>
  <c r="E9" i="38"/>
  <c r="E8" i="38"/>
  <c r="P10" i="38"/>
  <c r="E7" i="38"/>
  <c r="E6" i="38"/>
  <c r="E5" i="38"/>
  <c r="E4" i="38"/>
  <c r="E3" i="38"/>
  <c r="E2" i="38"/>
  <c r="R21" i="37"/>
  <c r="L16" i="37"/>
  <c r="P10" i="37"/>
  <c r="J8" i="37" s="1"/>
  <c r="I13" i="37"/>
  <c r="G34" i="37"/>
  <c r="F34" i="37"/>
  <c r="L4" i="37" s="1"/>
  <c r="C34" i="37"/>
  <c r="I4" i="37" s="1"/>
  <c r="E33" i="37"/>
  <c r="E32" i="37"/>
  <c r="E31" i="37"/>
  <c r="E30" i="37"/>
  <c r="E29" i="37"/>
  <c r="E28" i="37"/>
  <c r="E27" i="37"/>
  <c r="E26" i="37"/>
  <c r="E25" i="37"/>
  <c r="E24" i="37"/>
  <c r="N23" i="37"/>
  <c r="M19" i="37" s="1"/>
  <c r="N19" i="37" s="1"/>
  <c r="E23" i="37"/>
  <c r="E22" i="37"/>
  <c r="E21" i="37"/>
  <c r="E20" i="37"/>
  <c r="E19" i="37"/>
  <c r="E18" i="37"/>
  <c r="E17" i="37"/>
  <c r="E16" i="37"/>
  <c r="E15" i="37"/>
  <c r="E14" i="37"/>
  <c r="E13" i="37"/>
  <c r="E12" i="37"/>
  <c r="E11" i="37"/>
  <c r="E10" i="37"/>
  <c r="E9" i="37"/>
  <c r="E8" i="37"/>
  <c r="E7" i="37"/>
  <c r="E6" i="37"/>
  <c r="E5" i="37"/>
  <c r="J4" i="37"/>
  <c r="E4" i="37"/>
  <c r="E3" i="37"/>
  <c r="E2" i="37"/>
  <c r="P10" i="35"/>
  <c r="G34" i="36"/>
  <c r="F34" i="36"/>
  <c r="L4" i="36" s="1"/>
  <c r="D34" i="36"/>
  <c r="I8" i="36" s="1"/>
  <c r="C34" i="36"/>
  <c r="E33" i="36"/>
  <c r="E32" i="36"/>
  <c r="E31" i="36"/>
  <c r="E30" i="36"/>
  <c r="E29" i="36"/>
  <c r="E28" i="36"/>
  <c r="E27" i="36"/>
  <c r="E26" i="36"/>
  <c r="E25" i="36"/>
  <c r="E24" i="36"/>
  <c r="N23" i="36"/>
  <c r="M19" i="36" s="1"/>
  <c r="N19" i="36" s="1"/>
  <c r="K8" i="36" s="1"/>
  <c r="E23" i="36"/>
  <c r="E22" i="36"/>
  <c r="R21" i="36"/>
  <c r="E21" i="36"/>
  <c r="E20" i="36"/>
  <c r="E19" i="36"/>
  <c r="E18" i="36"/>
  <c r="E17" i="36"/>
  <c r="E16" i="36"/>
  <c r="E15" i="36"/>
  <c r="E14" i="36"/>
  <c r="E13" i="36"/>
  <c r="E12" i="36"/>
  <c r="E11" i="36"/>
  <c r="E10" i="36"/>
  <c r="E9" i="36"/>
  <c r="E8" i="36"/>
  <c r="P7" i="36"/>
  <c r="P10" i="36" s="1"/>
  <c r="L16" i="36" s="1"/>
  <c r="J8" i="36" s="1"/>
  <c r="E7" i="36"/>
  <c r="E6" i="36"/>
  <c r="E5" i="36"/>
  <c r="J4" i="36"/>
  <c r="E4" i="36"/>
  <c r="E3" i="36"/>
  <c r="E2" i="36"/>
  <c r="P7" i="35"/>
  <c r="E12" i="13" l="1"/>
  <c r="E13" i="13" s="1"/>
  <c r="E14" i="13" s="1"/>
  <c r="AE22" i="60"/>
  <c r="AD28" i="55"/>
  <c r="AA28" i="55"/>
  <c r="AC22" i="55"/>
  <c r="AD22" i="54"/>
  <c r="AD22" i="53"/>
  <c r="AD22" i="52"/>
  <c r="AD22" i="51"/>
  <c r="AB28" i="50"/>
  <c r="AA28" i="50" s="1"/>
  <c r="AD28" i="50"/>
  <c r="U8" i="48"/>
  <c r="R9" i="48" s="1"/>
  <c r="AA31" i="48"/>
  <c r="AD31" i="48"/>
  <c r="AA30" i="48"/>
  <c r="AD30" i="48"/>
  <c r="AB28" i="48"/>
  <c r="AA28" i="48" s="1"/>
  <c r="AD21" i="48"/>
  <c r="AA21" i="48"/>
  <c r="AD13" i="48"/>
  <c r="AC13" i="47"/>
  <c r="Z21" i="47"/>
  <c r="AB14" i="47" s="1"/>
  <c r="Z13" i="47"/>
  <c r="AC28" i="47"/>
  <c r="Z28" i="47"/>
  <c r="Z27" i="47"/>
  <c r="AC26" i="44"/>
  <c r="Z26" i="44"/>
  <c r="Z18" i="44"/>
  <c r="Z5" i="44"/>
  <c r="Z8" i="44"/>
  <c r="Z6" i="44"/>
  <c r="Z9" i="44"/>
  <c r="Z4" i="44"/>
  <c r="Z7" i="44"/>
  <c r="AC17" i="44"/>
  <c r="Z11" i="44"/>
  <c r="Z10" i="44"/>
  <c r="AC16" i="44"/>
  <c r="AC7" i="44"/>
  <c r="Z17" i="44"/>
  <c r="AC6" i="44"/>
  <c r="Z16" i="44"/>
  <c r="AC5" i="44"/>
  <c r="AC12" i="44"/>
  <c r="AC8" i="44"/>
  <c r="AC9" i="44"/>
  <c r="Z19" i="44"/>
  <c r="AC11" i="44"/>
  <c r="AC13" i="44" s="1"/>
  <c r="C27" i="13"/>
  <c r="H30" i="42"/>
  <c r="H31" i="42" s="1"/>
  <c r="H32" i="42" s="1"/>
  <c r="H33" i="42" s="1"/>
  <c r="M5" i="41"/>
  <c r="K5" i="41"/>
  <c r="J5" i="41"/>
  <c r="L5" i="41"/>
  <c r="H3" i="40"/>
  <c r="H4" i="40" s="1"/>
  <c r="H5" i="40" s="1"/>
  <c r="H6" i="40" s="1"/>
  <c r="H7" i="40" s="1"/>
  <c r="H8" i="40" s="1"/>
  <c r="H9" i="40" s="1"/>
  <c r="H10" i="40" s="1"/>
  <c r="H11" i="40" s="1"/>
  <c r="H12" i="40" s="1"/>
  <c r="H13" i="40" s="1"/>
  <c r="H14" i="40" s="1"/>
  <c r="H15" i="40" s="1"/>
  <c r="H16" i="40" s="1"/>
  <c r="H17" i="40" s="1"/>
  <c r="H18" i="40" s="1"/>
  <c r="H19" i="40" s="1"/>
  <c r="H20" i="40" s="1"/>
  <c r="H21" i="40" s="1"/>
  <c r="H22" i="40" s="1"/>
  <c r="H23" i="40" s="1"/>
  <c r="H24" i="40" s="1"/>
  <c r="H25" i="40" s="1"/>
  <c r="H26" i="40" s="1"/>
  <c r="H27" i="40" s="1"/>
  <c r="H28" i="40" s="1"/>
  <c r="H29" i="40" s="1"/>
  <c r="H30" i="40" s="1"/>
  <c r="H31" i="40" s="1"/>
  <c r="H32" i="40" s="1"/>
  <c r="H33" i="40" s="1"/>
  <c r="L16" i="38"/>
  <c r="J8" i="38" s="1"/>
  <c r="M8" i="38" s="1"/>
  <c r="C22" i="13" s="1"/>
  <c r="E34" i="39"/>
  <c r="H34" i="39"/>
  <c r="M5" i="38"/>
  <c r="K5" i="38"/>
  <c r="J5" i="38"/>
  <c r="L5" i="38"/>
  <c r="J8" i="40"/>
  <c r="M8" i="40" s="1"/>
  <c r="I4" i="40"/>
  <c r="H2" i="39"/>
  <c r="H3" i="39" s="1"/>
  <c r="H4" i="39" s="1"/>
  <c r="H5" i="39" s="1"/>
  <c r="H6" i="39" s="1"/>
  <c r="H7" i="39" s="1"/>
  <c r="H8" i="39" s="1"/>
  <c r="H9" i="39" s="1"/>
  <c r="H10" i="39" s="1"/>
  <c r="H11" i="39" s="1"/>
  <c r="H12" i="39" s="1"/>
  <c r="H13" i="39" s="1"/>
  <c r="H14" i="39" s="1"/>
  <c r="H15" i="39" s="1"/>
  <c r="H16" i="39" s="1"/>
  <c r="H17" i="39" s="1"/>
  <c r="H18" i="39" s="1"/>
  <c r="H19" i="39" s="1"/>
  <c r="H20" i="39" s="1"/>
  <c r="H21" i="39" s="1"/>
  <c r="H22" i="39" s="1"/>
  <c r="H23" i="39" s="1"/>
  <c r="H24" i="39" s="1"/>
  <c r="H25" i="39" s="1"/>
  <c r="H26" i="39" s="1"/>
  <c r="H27" i="39" s="1"/>
  <c r="H28" i="39" s="1"/>
  <c r="H29" i="39" s="1"/>
  <c r="H30" i="39" s="1"/>
  <c r="H31" i="39" s="1"/>
  <c r="H32" i="39" s="1"/>
  <c r="H33" i="39" s="1"/>
  <c r="J5" i="39"/>
  <c r="L5" i="39"/>
  <c r="E34" i="38"/>
  <c r="H2" i="38"/>
  <c r="H3" i="38" s="1"/>
  <c r="H4" i="38" s="1"/>
  <c r="H5" i="38" s="1"/>
  <c r="H6" i="38" s="1"/>
  <c r="H7" i="38" s="1"/>
  <c r="H8" i="38" s="1"/>
  <c r="H9" i="38" s="1"/>
  <c r="H10" i="38" s="1"/>
  <c r="H11" i="38" s="1"/>
  <c r="H12" i="38" s="1"/>
  <c r="H13" i="38" s="1"/>
  <c r="H14" i="38" s="1"/>
  <c r="H15" i="38" s="1"/>
  <c r="H16" i="38" s="1"/>
  <c r="H17" i="38" s="1"/>
  <c r="H18" i="38" s="1"/>
  <c r="H19" i="38" s="1"/>
  <c r="H20" i="38" s="1"/>
  <c r="H21" i="38" s="1"/>
  <c r="H22" i="38" s="1"/>
  <c r="H23" i="38" s="1"/>
  <c r="H24" i="38" s="1"/>
  <c r="H25" i="38" s="1"/>
  <c r="H26" i="38" s="1"/>
  <c r="H27" i="38" s="1"/>
  <c r="H28" i="38" s="1"/>
  <c r="H29" i="38" s="1"/>
  <c r="H30" i="38" s="1"/>
  <c r="H31" i="38" s="1"/>
  <c r="H32" i="38" s="1"/>
  <c r="H33" i="38" s="1"/>
  <c r="H34" i="38"/>
  <c r="C23" i="13"/>
  <c r="K5" i="39"/>
  <c r="K8" i="37"/>
  <c r="K5" i="37"/>
  <c r="M5" i="37"/>
  <c r="J5" i="37"/>
  <c r="L5" i="37"/>
  <c r="I8" i="37"/>
  <c r="H2" i="37"/>
  <c r="H3" i="37" s="1"/>
  <c r="H4" i="37" s="1"/>
  <c r="H5" i="37" s="1"/>
  <c r="H6" i="37" s="1"/>
  <c r="H7" i="37" s="1"/>
  <c r="H8" i="37" s="1"/>
  <c r="H9" i="37" s="1"/>
  <c r="H10" i="37" s="1"/>
  <c r="H11" i="37" s="1"/>
  <c r="H12" i="37" s="1"/>
  <c r="H13" i="37" s="1"/>
  <c r="H14" i="37" s="1"/>
  <c r="H15" i="37" s="1"/>
  <c r="H16" i="37" s="1"/>
  <c r="H17" i="37" s="1"/>
  <c r="H18" i="37" s="1"/>
  <c r="H19" i="37" s="1"/>
  <c r="H20" i="37" s="1"/>
  <c r="H21" i="37" s="1"/>
  <c r="H22" i="37" s="1"/>
  <c r="H23" i="37" s="1"/>
  <c r="H24" i="37" s="1"/>
  <c r="H25" i="37" s="1"/>
  <c r="H26" i="37" s="1"/>
  <c r="H27" i="37" s="1"/>
  <c r="H28" i="37" s="1"/>
  <c r="H29" i="37" s="1"/>
  <c r="H30" i="37" s="1"/>
  <c r="H31" i="37" s="1"/>
  <c r="H32" i="37" s="1"/>
  <c r="H33" i="37" s="1"/>
  <c r="H34" i="36"/>
  <c r="E34" i="36"/>
  <c r="M8" i="36"/>
  <c r="I4" i="36"/>
  <c r="H2" i="36"/>
  <c r="H3" i="36" s="1"/>
  <c r="H4" i="36" s="1"/>
  <c r="H5" i="36" s="1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H32" i="36" s="1"/>
  <c r="H33" i="36" s="1"/>
  <c r="G34" i="35"/>
  <c r="F34" i="35"/>
  <c r="L4" i="35" s="1"/>
  <c r="D34" i="35"/>
  <c r="I8" i="35" s="1"/>
  <c r="C34" i="35"/>
  <c r="I4" i="35" s="1"/>
  <c r="M5" i="35" s="1"/>
  <c r="E33" i="35"/>
  <c r="E32" i="35"/>
  <c r="E31" i="35"/>
  <c r="E30" i="35"/>
  <c r="E29" i="35"/>
  <c r="E28" i="35"/>
  <c r="E27" i="35"/>
  <c r="E26" i="35"/>
  <c r="E25" i="35"/>
  <c r="E24" i="35"/>
  <c r="N23" i="35"/>
  <c r="M19" i="35" s="1"/>
  <c r="N19" i="35" s="1"/>
  <c r="K8" i="35" s="1"/>
  <c r="E23" i="35"/>
  <c r="E22" i="35"/>
  <c r="R21" i="35"/>
  <c r="E21" i="35"/>
  <c r="E20" i="35"/>
  <c r="E19" i="35"/>
  <c r="E18" i="35"/>
  <c r="E17" i="35"/>
  <c r="E16" i="35"/>
  <c r="E15" i="35"/>
  <c r="E14" i="35"/>
  <c r="E13" i="35"/>
  <c r="E12" i="35"/>
  <c r="E11" i="35"/>
  <c r="L16" i="35"/>
  <c r="J8" i="35" s="1"/>
  <c r="E10" i="35"/>
  <c r="E9" i="35"/>
  <c r="E8" i="35"/>
  <c r="E7" i="35"/>
  <c r="E6" i="35"/>
  <c r="E5" i="35"/>
  <c r="J4" i="35"/>
  <c r="E4" i="35"/>
  <c r="E3" i="35"/>
  <c r="E2" i="35"/>
  <c r="C19" i="13"/>
  <c r="C34" i="34"/>
  <c r="D34" i="34"/>
  <c r="E33" i="34"/>
  <c r="H33" i="34" s="1"/>
  <c r="E32" i="34"/>
  <c r="C18" i="13"/>
  <c r="C17" i="13"/>
  <c r="AB27" i="48" l="1"/>
  <c r="AD28" i="48"/>
  <c r="AC2" i="48"/>
  <c r="AC14" i="48"/>
  <c r="AB2" i="47"/>
  <c r="AB22" i="47" s="1"/>
  <c r="AB2" i="44"/>
  <c r="Z13" i="44"/>
  <c r="Z21" i="44"/>
  <c r="R9" i="44"/>
  <c r="C29" i="13" s="1"/>
  <c r="AA27" i="44"/>
  <c r="AC21" i="44"/>
  <c r="AB13" i="44"/>
  <c r="C25" i="13"/>
  <c r="M5" i="40"/>
  <c r="K5" i="40"/>
  <c r="J5" i="40"/>
  <c r="L5" i="40"/>
  <c r="M8" i="37"/>
  <c r="C21" i="13"/>
  <c r="M5" i="36"/>
  <c r="K5" i="36"/>
  <c r="L5" i="36"/>
  <c r="J5" i="36"/>
  <c r="E34" i="35"/>
  <c r="H34" i="35"/>
  <c r="H2" i="35"/>
  <c r="H3" i="35" s="1"/>
  <c r="H4" i="35" s="1"/>
  <c r="H5" i="35" s="1"/>
  <c r="H6" i="35" s="1"/>
  <c r="H7" i="35" s="1"/>
  <c r="H8" i="35" s="1"/>
  <c r="H9" i="35" s="1"/>
  <c r="H10" i="35" s="1"/>
  <c r="H11" i="35" s="1"/>
  <c r="H12" i="35" s="1"/>
  <c r="H13" i="35" s="1"/>
  <c r="H14" i="35" s="1"/>
  <c r="H15" i="35" s="1"/>
  <c r="H16" i="35" s="1"/>
  <c r="H17" i="35" s="1"/>
  <c r="H18" i="35" s="1"/>
  <c r="H19" i="35" s="1"/>
  <c r="H20" i="35" s="1"/>
  <c r="H21" i="35" s="1"/>
  <c r="H22" i="35" s="1"/>
  <c r="H23" i="35" s="1"/>
  <c r="H24" i="35" s="1"/>
  <c r="H25" i="35" s="1"/>
  <c r="H26" i="35" s="1"/>
  <c r="H27" i="35" s="1"/>
  <c r="H28" i="35" s="1"/>
  <c r="H29" i="35" s="1"/>
  <c r="H30" i="35" s="1"/>
  <c r="H31" i="35" s="1"/>
  <c r="H32" i="35" s="1"/>
  <c r="H33" i="35" s="1"/>
  <c r="J5" i="35"/>
  <c r="K5" i="35"/>
  <c r="L5" i="35"/>
  <c r="M8" i="35"/>
  <c r="I4" i="34"/>
  <c r="I8" i="34"/>
  <c r="G34" i="34"/>
  <c r="J4" i="34" s="1"/>
  <c r="F34" i="34"/>
  <c r="L4" i="34" s="1"/>
  <c r="E31" i="34"/>
  <c r="E30" i="34"/>
  <c r="E29" i="34"/>
  <c r="E28" i="34"/>
  <c r="E27" i="34"/>
  <c r="E26" i="34"/>
  <c r="E25" i="34"/>
  <c r="E24" i="34"/>
  <c r="N23" i="34"/>
  <c r="M19" i="34" s="1"/>
  <c r="N19" i="34" s="1"/>
  <c r="K8" i="34" s="1"/>
  <c r="E23" i="34"/>
  <c r="E22" i="34"/>
  <c r="R21" i="34"/>
  <c r="E21" i="34"/>
  <c r="E20" i="34"/>
  <c r="E19" i="34"/>
  <c r="E18" i="34"/>
  <c r="E17" i="34"/>
  <c r="E16" i="34"/>
  <c r="E15" i="34"/>
  <c r="E14" i="34"/>
  <c r="E13" i="34"/>
  <c r="E12" i="34"/>
  <c r="E11" i="34"/>
  <c r="P10" i="34"/>
  <c r="I13" i="34" s="1"/>
  <c r="E10" i="34"/>
  <c r="E9" i="34"/>
  <c r="E8" i="34"/>
  <c r="E7" i="34"/>
  <c r="E6" i="34"/>
  <c r="E5" i="34"/>
  <c r="E4" i="34"/>
  <c r="E3" i="34"/>
  <c r="E2" i="34"/>
  <c r="H2" i="34" s="1"/>
  <c r="H3" i="34" s="1"/>
  <c r="E32" i="33"/>
  <c r="AD27" i="48" l="1"/>
  <c r="AA27" i="48"/>
  <c r="AC22" i="48"/>
  <c r="AA28" i="44"/>
  <c r="AB14" i="44"/>
  <c r="AB22" i="44" s="1"/>
  <c r="Z27" i="44"/>
  <c r="AC27" i="44"/>
  <c r="L16" i="34"/>
  <c r="M8" i="34" s="1"/>
  <c r="H34" i="34"/>
  <c r="H4" i="34"/>
  <c r="H5" i="34" s="1"/>
  <c r="H6" i="34" s="1"/>
  <c r="H7" i="34" s="1"/>
  <c r="H8" i="34" s="1"/>
  <c r="H9" i="34" s="1"/>
  <c r="H10" i="34" s="1"/>
  <c r="H11" i="34" s="1"/>
  <c r="H12" i="34" s="1"/>
  <c r="H13" i="34" s="1"/>
  <c r="H14" i="34" s="1"/>
  <c r="H15" i="34" s="1"/>
  <c r="H16" i="34" s="1"/>
  <c r="H17" i="34" s="1"/>
  <c r="H18" i="34" s="1"/>
  <c r="H19" i="34" s="1"/>
  <c r="H20" i="34" s="1"/>
  <c r="H21" i="34" s="1"/>
  <c r="H22" i="34" s="1"/>
  <c r="H23" i="34" s="1"/>
  <c r="H24" i="34" s="1"/>
  <c r="H25" i="34" s="1"/>
  <c r="H26" i="34" s="1"/>
  <c r="H27" i="34" s="1"/>
  <c r="H28" i="34" s="1"/>
  <c r="H29" i="34" s="1"/>
  <c r="H30" i="34" s="1"/>
  <c r="H31" i="34" s="1"/>
  <c r="H32" i="34" s="1"/>
  <c r="E34" i="34"/>
  <c r="J5" i="34"/>
  <c r="K5" i="34"/>
  <c r="M5" i="34"/>
  <c r="L5" i="34"/>
  <c r="G33" i="33"/>
  <c r="J4" i="33" s="1"/>
  <c r="F33" i="33"/>
  <c r="L4" i="33" s="1"/>
  <c r="D33" i="33"/>
  <c r="I8" i="33" s="1"/>
  <c r="C33" i="33"/>
  <c r="I4" i="33" s="1"/>
  <c r="E31" i="33"/>
  <c r="E30" i="33"/>
  <c r="E29" i="33"/>
  <c r="E28" i="33"/>
  <c r="E27" i="33"/>
  <c r="E26" i="33"/>
  <c r="E25" i="33"/>
  <c r="E24" i="33"/>
  <c r="N23" i="33"/>
  <c r="M19" i="33" s="1"/>
  <c r="N19" i="33" s="1"/>
  <c r="K8" i="33" s="1"/>
  <c r="E23" i="33"/>
  <c r="E22" i="33"/>
  <c r="R21" i="33"/>
  <c r="E21" i="33"/>
  <c r="E20" i="33"/>
  <c r="E19" i="33"/>
  <c r="E18" i="33"/>
  <c r="E17" i="33"/>
  <c r="E16" i="33"/>
  <c r="E15" i="33"/>
  <c r="E14" i="33"/>
  <c r="E13" i="33"/>
  <c r="E12" i="33"/>
  <c r="E11" i="33"/>
  <c r="P10" i="33"/>
  <c r="I13" i="33" s="1"/>
  <c r="L16" i="33" s="1"/>
  <c r="J8" i="33" s="1"/>
  <c r="E10" i="33"/>
  <c r="E9" i="33"/>
  <c r="E8" i="33"/>
  <c r="E7" i="33"/>
  <c r="E6" i="33"/>
  <c r="E5" i="33"/>
  <c r="E4" i="33"/>
  <c r="E3" i="33"/>
  <c r="E2" i="33"/>
  <c r="H2" i="33" s="1"/>
  <c r="H3" i="33" s="1"/>
  <c r="R21" i="32"/>
  <c r="E32" i="32"/>
  <c r="E31" i="31"/>
  <c r="G33" i="32"/>
  <c r="J4" i="32" s="1"/>
  <c r="F33" i="32"/>
  <c r="L4" i="32" s="1"/>
  <c r="D33" i="32"/>
  <c r="I8" i="32" s="1"/>
  <c r="C33" i="32"/>
  <c r="I4" i="32" s="1"/>
  <c r="E31" i="32"/>
  <c r="E30" i="32"/>
  <c r="E29" i="32"/>
  <c r="E28" i="32"/>
  <c r="E27" i="32"/>
  <c r="E26" i="32"/>
  <c r="E25" i="32"/>
  <c r="E24" i="32"/>
  <c r="N23" i="32"/>
  <c r="M19" i="32" s="1"/>
  <c r="N19" i="32" s="1"/>
  <c r="K8" i="32" s="1"/>
  <c r="E23" i="32"/>
  <c r="E22" i="32"/>
  <c r="E21" i="32"/>
  <c r="E20" i="32"/>
  <c r="E19" i="32"/>
  <c r="E18" i="32"/>
  <c r="E17" i="32"/>
  <c r="E16" i="32"/>
  <c r="E15" i="32"/>
  <c r="E14" i="32"/>
  <c r="E13" i="32"/>
  <c r="E12" i="32"/>
  <c r="E11" i="32"/>
  <c r="P10" i="32"/>
  <c r="I13" i="32" s="1"/>
  <c r="L16" i="32" s="1"/>
  <c r="J8" i="32" s="1"/>
  <c r="E10" i="32"/>
  <c r="E9" i="32"/>
  <c r="E8" i="32"/>
  <c r="E7" i="32"/>
  <c r="E6" i="32"/>
  <c r="E5" i="32"/>
  <c r="E4" i="32"/>
  <c r="E3" i="32"/>
  <c r="E2" i="32"/>
  <c r="H2" i="32" s="1"/>
  <c r="C34" i="30"/>
  <c r="I4" i="30"/>
  <c r="D34" i="30"/>
  <c r="I8" i="30"/>
  <c r="L16" i="30"/>
  <c r="J8" i="30"/>
  <c r="N23" i="30"/>
  <c r="M19" i="30"/>
  <c r="N19" i="30"/>
  <c r="K8" i="30"/>
  <c r="M8" i="30"/>
  <c r="C15" i="13"/>
  <c r="E15" i="13" s="1"/>
  <c r="C33" i="31"/>
  <c r="I4" i="31" s="1"/>
  <c r="D33" i="31"/>
  <c r="I8" i="31" s="1"/>
  <c r="P10" i="31"/>
  <c r="I13" i="31" s="1"/>
  <c r="L16" i="31" s="1"/>
  <c r="J8" i="31" s="1"/>
  <c r="N23" i="31"/>
  <c r="M19" i="31" s="1"/>
  <c r="N19" i="31" s="1"/>
  <c r="K8" i="31" s="1"/>
  <c r="G33" i="31"/>
  <c r="J4" i="31" s="1"/>
  <c r="E2" i="31"/>
  <c r="H2" i="31" s="1"/>
  <c r="H3" i="31" s="1"/>
  <c r="H4" i="31" s="1"/>
  <c r="E3" i="31"/>
  <c r="E4" i="31"/>
  <c r="E5" i="31"/>
  <c r="E6" i="31"/>
  <c r="E7" i="3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E22" i="31"/>
  <c r="E23" i="31"/>
  <c r="E24" i="31"/>
  <c r="E25" i="31"/>
  <c r="E26" i="31"/>
  <c r="E27" i="31"/>
  <c r="E28" i="31"/>
  <c r="E29" i="31"/>
  <c r="E30" i="31"/>
  <c r="E32" i="31"/>
  <c r="F33" i="31"/>
  <c r="L4" i="31" s="1"/>
  <c r="AA4" i="31"/>
  <c r="P10" i="30"/>
  <c r="AA4" i="30"/>
  <c r="G34" i="30"/>
  <c r="J4" i="30"/>
  <c r="F34" i="30"/>
  <c r="L4" i="30"/>
  <c r="E32" i="30"/>
  <c r="E31" i="30"/>
  <c r="E30" i="30"/>
  <c r="E29" i="30"/>
  <c r="E28" i="30"/>
  <c r="E27" i="30"/>
  <c r="E26" i="30"/>
  <c r="E25" i="30"/>
  <c r="E24" i="30"/>
  <c r="E23" i="30"/>
  <c r="E22" i="30"/>
  <c r="E21" i="30"/>
  <c r="E20" i="30"/>
  <c r="E19" i="30"/>
  <c r="E18" i="30"/>
  <c r="E17" i="30"/>
  <c r="E16" i="30"/>
  <c r="E15" i="30"/>
  <c r="E14" i="30"/>
  <c r="E13" i="30"/>
  <c r="E12" i="30"/>
  <c r="E11" i="30"/>
  <c r="E10" i="30"/>
  <c r="E9" i="30"/>
  <c r="E8" i="30"/>
  <c r="E7" i="30"/>
  <c r="E6" i="30"/>
  <c r="E5" i="30"/>
  <c r="E4" i="30"/>
  <c r="E3" i="30"/>
  <c r="E2" i="30"/>
  <c r="H2" i="30"/>
  <c r="H3" i="30"/>
  <c r="N23" i="28"/>
  <c r="M19" i="28"/>
  <c r="N19" i="28"/>
  <c r="K8" i="28"/>
  <c r="L16" i="28"/>
  <c r="J8" i="28"/>
  <c r="G33" i="28"/>
  <c r="J4" i="28"/>
  <c r="L8" i="28"/>
  <c r="F33" i="28"/>
  <c r="L4" i="28"/>
  <c r="D33" i="28"/>
  <c r="I8" i="28"/>
  <c r="C33" i="28"/>
  <c r="I4" i="28"/>
  <c r="E32" i="28"/>
  <c r="E31" i="28"/>
  <c r="E30" i="28"/>
  <c r="E29" i="28"/>
  <c r="E28" i="28"/>
  <c r="E27" i="28"/>
  <c r="E26" i="28"/>
  <c r="E25" i="28"/>
  <c r="E24" i="28"/>
  <c r="E23" i="28"/>
  <c r="E22" i="28"/>
  <c r="E21" i="28"/>
  <c r="E20" i="28"/>
  <c r="E19" i="28"/>
  <c r="E18" i="28"/>
  <c r="E17" i="28"/>
  <c r="E16" i="28"/>
  <c r="E15" i="28"/>
  <c r="E14" i="28"/>
  <c r="E13" i="28"/>
  <c r="E12" i="28"/>
  <c r="E11" i="28"/>
  <c r="E10" i="28"/>
  <c r="E9" i="28"/>
  <c r="E8" i="28"/>
  <c r="E7" i="28"/>
  <c r="E6" i="28"/>
  <c r="E5" i="28"/>
  <c r="E4" i="28"/>
  <c r="E3" i="28"/>
  <c r="E2" i="28"/>
  <c r="H2" i="28"/>
  <c r="C33" i="26"/>
  <c r="I4" i="26"/>
  <c r="G33" i="26"/>
  <c r="J4" i="26"/>
  <c r="F33" i="26"/>
  <c r="L4" i="26"/>
  <c r="D33" i="26"/>
  <c r="I8" i="26"/>
  <c r="E32" i="26"/>
  <c r="E31" i="26"/>
  <c r="E30" i="26"/>
  <c r="E29" i="26"/>
  <c r="E28" i="26"/>
  <c r="E27" i="26"/>
  <c r="E26" i="26"/>
  <c r="E25" i="26"/>
  <c r="E24" i="26"/>
  <c r="N23" i="26"/>
  <c r="M19" i="26"/>
  <c r="N19" i="26"/>
  <c r="K8" i="26"/>
  <c r="E23" i="26"/>
  <c r="E22" i="26"/>
  <c r="E21" i="26"/>
  <c r="E20" i="26"/>
  <c r="E19" i="26"/>
  <c r="E18" i="26"/>
  <c r="E17" i="26"/>
  <c r="L16" i="26"/>
  <c r="J8" i="26"/>
  <c r="E16" i="26"/>
  <c r="E15" i="26"/>
  <c r="E14" i="26"/>
  <c r="E13" i="26"/>
  <c r="E12" i="26"/>
  <c r="E11" i="26"/>
  <c r="E10" i="26"/>
  <c r="E9" i="26"/>
  <c r="E8" i="26"/>
  <c r="E7" i="26"/>
  <c r="E6" i="26"/>
  <c r="E5" i="26"/>
  <c r="E4" i="26"/>
  <c r="E3" i="26"/>
  <c r="E2" i="26"/>
  <c r="H2" i="26"/>
  <c r="B4" i="10"/>
  <c r="B9" i="10"/>
  <c r="B12" i="10"/>
  <c r="N23" i="23"/>
  <c r="D33" i="19"/>
  <c r="I8" i="19"/>
  <c r="L16" i="19"/>
  <c r="J8" i="19"/>
  <c r="N23" i="19"/>
  <c r="M19" i="19"/>
  <c r="N19" i="19"/>
  <c r="K8" i="19"/>
  <c r="G33" i="19"/>
  <c r="J4" i="19"/>
  <c r="L8" i="19"/>
  <c r="M8" i="19"/>
  <c r="M19" i="23"/>
  <c r="N19" i="23"/>
  <c r="K8" i="23"/>
  <c r="A271" i="21"/>
  <c r="A261" i="21"/>
  <c r="A251" i="21"/>
  <c r="A239" i="21"/>
  <c r="A229" i="21"/>
  <c r="A218" i="21"/>
  <c r="A209" i="21"/>
  <c r="A200" i="21"/>
  <c r="A187" i="21"/>
  <c r="A180" i="21"/>
  <c r="G10" i="21"/>
  <c r="G9" i="21"/>
  <c r="G8" i="21"/>
  <c r="G7" i="21"/>
  <c r="G6" i="21"/>
  <c r="G5" i="21"/>
  <c r="G4" i="21"/>
  <c r="G3" i="21"/>
  <c r="G2" i="21"/>
  <c r="A176" i="21"/>
  <c r="A172" i="21"/>
  <c r="A165" i="21"/>
  <c r="A154" i="21"/>
  <c r="A148" i="21"/>
  <c r="A138" i="21"/>
  <c r="A130" i="21"/>
  <c r="A121" i="21"/>
  <c r="A106" i="21"/>
  <c r="A96" i="21"/>
  <c r="A89" i="21"/>
  <c r="A81" i="21"/>
  <c r="A74" i="21"/>
  <c r="A61" i="21"/>
  <c r="A55" i="21"/>
  <c r="A48" i="21"/>
  <c r="A41" i="21"/>
  <c r="A34" i="21"/>
  <c r="A18" i="21"/>
  <c r="G33" i="23"/>
  <c r="J4" i="23"/>
  <c r="F33" i="23"/>
  <c r="L4" i="23"/>
  <c r="D33" i="23"/>
  <c r="I8" i="23"/>
  <c r="C33" i="23"/>
  <c r="I4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8" i="23"/>
  <c r="E17" i="23"/>
  <c r="L16" i="23"/>
  <c r="J8" i="23"/>
  <c r="E16" i="23"/>
  <c r="E15" i="23"/>
  <c r="E14" i="23"/>
  <c r="E13" i="23"/>
  <c r="E12" i="23"/>
  <c r="E11" i="23"/>
  <c r="E10" i="23"/>
  <c r="E9" i="23"/>
  <c r="E8" i="23"/>
  <c r="E7" i="23"/>
  <c r="E6" i="23"/>
  <c r="E5" i="23"/>
  <c r="E4" i="23"/>
  <c r="E3" i="23"/>
  <c r="E2" i="23"/>
  <c r="F8" i="22"/>
  <c r="A8" i="22"/>
  <c r="F7" i="22"/>
  <c r="F6" i="22"/>
  <c r="F5" i="22"/>
  <c r="F4" i="22"/>
  <c r="F3" i="22"/>
  <c r="F2" i="22"/>
  <c r="A9" i="21"/>
  <c r="F2" i="20"/>
  <c r="A36" i="20"/>
  <c r="A29" i="20"/>
  <c r="F8" i="20"/>
  <c r="F7" i="20"/>
  <c r="A18" i="20"/>
  <c r="A8" i="20"/>
  <c r="F6" i="20"/>
  <c r="F5" i="20"/>
  <c r="F4" i="20"/>
  <c r="F3" i="20"/>
  <c r="E34" i="30"/>
  <c r="H4" i="30"/>
  <c r="H5" i="30"/>
  <c r="H6" i="30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23" i="30"/>
  <c r="H24" i="30"/>
  <c r="H25" i="30"/>
  <c r="H26" i="30"/>
  <c r="H27" i="30"/>
  <c r="H28" i="30"/>
  <c r="H29" i="30"/>
  <c r="H30" i="30"/>
  <c r="H31" i="30"/>
  <c r="H32" i="30"/>
  <c r="M5" i="30"/>
  <c r="L5" i="30"/>
  <c r="K5" i="30"/>
  <c r="J5" i="30"/>
  <c r="H3" i="28"/>
  <c r="H4" i="28"/>
  <c r="H5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22" i="28"/>
  <c r="H23" i="28"/>
  <c r="H24" i="28"/>
  <c r="H25" i="28"/>
  <c r="H26" i="28"/>
  <c r="H27" i="28"/>
  <c r="H28" i="28"/>
  <c r="H29" i="28"/>
  <c r="H30" i="28"/>
  <c r="H31" i="28"/>
  <c r="H32" i="28"/>
  <c r="H33" i="28"/>
  <c r="L5" i="28"/>
  <c r="K5" i="28"/>
  <c r="M5" i="28"/>
  <c r="J5" i="28"/>
  <c r="M8" i="28"/>
  <c r="E33" i="28"/>
  <c r="H3" i="26"/>
  <c r="H4" i="26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E33" i="26"/>
  <c r="J5" i="26"/>
  <c r="L5" i="26"/>
  <c r="M5" i="26"/>
  <c r="K5" i="26"/>
  <c r="L8" i="26"/>
  <c r="M8" i="26"/>
  <c r="G2" i="22"/>
  <c r="H2" i="21"/>
  <c r="E33" i="23"/>
  <c r="L5" i="23"/>
  <c r="J5" i="23"/>
  <c r="M5" i="23"/>
  <c r="H2" i="23"/>
  <c r="H3" i="23"/>
  <c r="H4" i="23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K5" i="23"/>
  <c r="L8" i="23"/>
  <c r="M8" i="23"/>
  <c r="J9" i="23"/>
  <c r="G2" i="20"/>
  <c r="E32" i="19"/>
  <c r="F33" i="19"/>
  <c r="L4" i="19"/>
  <c r="C33" i="19"/>
  <c r="I4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E4" i="19"/>
  <c r="E3" i="19"/>
  <c r="E2" i="19"/>
  <c r="G33" i="18"/>
  <c r="J4" i="18"/>
  <c r="L8" i="18"/>
  <c r="L16" i="18"/>
  <c r="J8" i="18"/>
  <c r="N23" i="18"/>
  <c r="M19" i="18"/>
  <c r="N19" i="18"/>
  <c r="K8" i="18"/>
  <c r="E32" i="18"/>
  <c r="F33" i="18"/>
  <c r="L4" i="18"/>
  <c r="D33" i="18"/>
  <c r="I8" i="18"/>
  <c r="C33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E3" i="18"/>
  <c r="E2" i="18"/>
  <c r="H2" i="18"/>
  <c r="N19" i="17"/>
  <c r="K8" i="17"/>
  <c r="L16" i="17"/>
  <c r="J8" i="17"/>
  <c r="G33" i="17"/>
  <c r="J4" i="17"/>
  <c r="L8" i="17"/>
  <c r="F33" i="17"/>
  <c r="L4" i="17"/>
  <c r="D33" i="17"/>
  <c r="I8" i="17"/>
  <c r="C33" i="17"/>
  <c r="I4" i="17"/>
  <c r="E32" i="17"/>
  <c r="E31" i="17"/>
  <c r="E30" i="17"/>
  <c r="E29" i="17"/>
  <c r="E28" i="17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E2" i="17"/>
  <c r="Q19" i="16"/>
  <c r="N8" i="16"/>
  <c r="O16" i="16"/>
  <c r="M8" i="16"/>
  <c r="G33" i="16"/>
  <c r="M4" i="16"/>
  <c r="C33" i="16"/>
  <c r="L4" i="16"/>
  <c r="M5" i="16"/>
  <c r="J33" i="16"/>
  <c r="I33" i="16"/>
  <c r="N4" i="16"/>
  <c r="F33" i="16"/>
  <c r="O4" i="16"/>
  <c r="D33" i="16"/>
  <c r="L8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E2" i="16"/>
  <c r="H2" i="16"/>
  <c r="H3" i="16"/>
  <c r="H4" i="16"/>
  <c r="H5" i="16"/>
  <c r="H6" i="16"/>
  <c r="H7" i="16"/>
  <c r="G33" i="15"/>
  <c r="D37" i="15"/>
  <c r="F41" i="15"/>
  <c r="D48" i="15"/>
  <c r="E48" i="15"/>
  <c r="F48" i="15"/>
  <c r="F50" i="15"/>
  <c r="E41" i="15"/>
  <c r="F33" i="15"/>
  <c r="F37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2" i="15"/>
  <c r="H2" i="15"/>
  <c r="J33" i="15"/>
  <c r="I33" i="15"/>
  <c r="E37" i="15"/>
  <c r="D33" i="15"/>
  <c r="C41" i="15"/>
  <c r="C33" i="15"/>
  <c r="C37" i="15"/>
  <c r="D48" i="12"/>
  <c r="E48" i="12"/>
  <c r="F48" i="12"/>
  <c r="G48" i="12"/>
  <c r="H48" i="12"/>
  <c r="D41" i="12"/>
  <c r="F54" i="12"/>
  <c r="F41" i="12"/>
  <c r="H33" i="12"/>
  <c r="F2" i="12"/>
  <c r="F3" i="12"/>
  <c r="F4" i="12"/>
  <c r="F5" i="12"/>
  <c r="F6" i="12"/>
  <c r="F7" i="12"/>
  <c r="F8" i="12"/>
  <c r="F9" i="12"/>
  <c r="C33" i="12"/>
  <c r="C37" i="12"/>
  <c r="G33" i="12"/>
  <c r="E37" i="12"/>
  <c r="E33" i="12"/>
  <c r="E41" i="12"/>
  <c r="D33" i="12"/>
  <c r="C41" i="12"/>
  <c r="H48" i="11"/>
  <c r="G45" i="11"/>
  <c r="F54" i="11"/>
  <c r="F41" i="11"/>
  <c r="G33" i="11"/>
  <c r="E37" i="11"/>
  <c r="F48" i="11"/>
  <c r="E48" i="11"/>
  <c r="D48" i="11"/>
  <c r="H33" i="11"/>
  <c r="E33" i="11"/>
  <c r="E41" i="11"/>
  <c r="D33" i="11"/>
  <c r="C41" i="11"/>
  <c r="C33" i="11"/>
  <c r="C37" i="11"/>
  <c r="F2" i="11"/>
  <c r="F3" i="11"/>
  <c r="F4" i="11"/>
  <c r="F5" i="11"/>
  <c r="F6" i="11"/>
  <c r="F7" i="11"/>
  <c r="F8" i="11"/>
  <c r="F9" i="11"/>
  <c r="F10" i="11"/>
  <c r="F11" i="11"/>
  <c r="F12" i="11"/>
  <c r="H212" i="3"/>
  <c r="C33" i="4"/>
  <c r="F150" i="4"/>
  <c r="F148" i="4"/>
  <c r="F80" i="3"/>
  <c r="F75" i="3"/>
  <c r="F71" i="3"/>
  <c r="F65" i="3"/>
  <c r="F61" i="3"/>
  <c r="F52" i="3"/>
  <c r="F44" i="3"/>
  <c r="F41" i="3"/>
  <c r="F38" i="3"/>
  <c r="D41" i="7"/>
  <c r="E33" i="7"/>
  <c r="E41" i="7"/>
  <c r="F52" i="7"/>
  <c r="F41" i="7"/>
  <c r="C33" i="7"/>
  <c r="C415" i="8"/>
  <c r="C429" i="8"/>
  <c r="C403" i="8"/>
  <c r="C375" i="8"/>
  <c r="C362" i="8"/>
  <c r="C388" i="8"/>
  <c r="C337" i="8"/>
  <c r="C348" i="8"/>
  <c r="C296" i="8"/>
  <c r="C280" i="8"/>
  <c r="C264" i="8"/>
  <c r="C248" i="8"/>
  <c r="C211" i="8"/>
  <c r="C311" i="8"/>
  <c r="C324" i="8"/>
  <c r="C234" i="8"/>
  <c r="C223" i="8"/>
  <c r="C195" i="8"/>
  <c r="C180" i="8"/>
  <c r="C167" i="8"/>
  <c r="C155" i="8"/>
  <c r="C142" i="8"/>
  <c r="C116" i="8"/>
  <c r="C131" i="8"/>
  <c r="C90" i="8"/>
  <c r="C56" i="8"/>
  <c r="C76" i="8"/>
  <c r="C102" i="8"/>
  <c r="C38" i="8"/>
  <c r="C23" i="8"/>
  <c r="H33" i="7"/>
  <c r="C9" i="8"/>
  <c r="G48" i="7"/>
  <c r="F48" i="7"/>
  <c r="E48" i="7"/>
  <c r="D48" i="7"/>
  <c r="G33" i="7"/>
  <c r="E37" i="7"/>
  <c r="D37" i="7"/>
  <c r="D33" i="7"/>
  <c r="C41" i="7"/>
  <c r="C37" i="7"/>
  <c r="F38" i="7"/>
  <c r="F2" i="7"/>
  <c r="F3" i="7"/>
  <c r="F4" i="7"/>
  <c r="F5" i="7"/>
  <c r="F6" i="7"/>
  <c r="F7" i="7"/>
  <c r="F40" i="6"/>
  <c r="E47" i="6"/>
  <c r="F47" i="6"/>
  <c r="G47" i="6"/>
  <c r="D47" i="6"/>
  <c r="G32" i="6"/>
  <c r="E36" i="6"/>
  <c r="E32" i="6"/>
  <c r="D36" i="6"/>
  <c r="E40" i="6"/>
  <c r="D32" i="6"/>
  <c r="C40" i="6"/>
  <c r="C32" i="6"/>
  <c r="C36" i="6"/>
  <c r="F2" i="6"/>
  <c r="F3" i="6"/>
  <c r="F4" i="6"/>
  <c r="F5" i="6"/>
  <c r="F6" i="6"/>
  <c r="F7" i="6"/>
  <c r="F8" i="6"/>
  <c r="F9" i="6"/>
  <c r="H34" i="30"/>
  <c r="H33" i="30"/>
  <c r="O5" i="16"/>
  <c r="N5" i="16"/>
  <c r="D37" i="12"/>
  <c r="E33" i="19"/>
  <c r="M8" i="18"/>
  <c r="D40" i="6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I4" i="18"/>
  <c r="K5" i="18"/>
  <c r="J5" i="19"/>
  <c r="L5" i="19"/>
  <c r="M5" i="19"/>
  <c r="H2" i="19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K5" i="19"/>
  <c r="J5" i="18"/>
  <c r="J9" i="18"/>
  <c r="H3" i="18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E33" i="18"/>
  <c r="M8" i="17"/>
  <c r="J9" i="17"/>
  <c r="E33" i="17"/>
  <c r="K5" i="17"/>
  <c r="L5" i="17"/>
  <c r="M5" i="17"/>
  <c r="J5" i="17"/>
  <c r="H2" i="17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E33" i="16"/>
  <c r="O8" i="16"/>
  <c r="P8" i="16"/>
  <c r="M9" i="16"/>
  <c r="P5" i="16"/>
  <c r="D41" i="15"/>
  <c r="H41" i="15"/>
  <c r="D42" i="15"/>
  <c r="E33" i="15"/>
  <c r="E38" i="15"/>
  <c r="F38" i="15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8" i="15"/>
  <c r="D38" i="15"/>
  <c r="G41" i="12"/>
  <c r="D42" i="12"/>
  <c r="E38" i="12"/>
  <c r="F38" i="12"/>
  <c r="D38" i="12"/>
  <c r="G48" i="11"/>
  <c r="D41" i="11"/>
  <c r="G41" i="11"/>
  <c r="D42" i="11"/>
  <c r="F13" i="11"/>
  <c r="F14" i="11"/>
  <c r="F15" i="11"/>
  <c r="F16" i="11"/>
  <c r="F17" i="11"/>
  <c r="E38" i="11"/>
  <c r="F38" i="11"/>
  <c r="D37" i="11"/>
  <c r="D38" i="11"/>
  <c r="G41" i="7"/>
  <c r="D42" i="7"/>
  <c r="F8" i="7"/>
  <c r="F9" i="7"/>
  <c r="F10" i="7"/>
  <c r="F11" i="7"/>
  <c r="F12" i="7"/>
  <c r="F13" i="7"/>
  <c r="F14" i="7"/>
  <c r="F15" i="7"/>
  <c r="F16" i="7"/>
  <c r="E38" i="7"/>
  <c r="D38" i="7"/>
  <c r="G40" i="6"/>
  <c r="D37" i="6"/>
  <c r="E37" i="6"/>
  <c r="F10" i="6"/>
  <c r="F11" i="6"/>
  <c r="F12" i="6"/>
  <c r="H209" i="3"/>
  <c r="F181" i="3"/>
  <c r="D222" i="3"/>
  <c r="E219" i="3"/>
  <c r="I215" i="3"/>
  <c r="L5" i="18"/>
  <c r="M5" i="18"/>
  <c r="J9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F18" i="11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13" i="6"/>
  <c r="F14" i="6"/>
  <c r="F15" i="6"/>
  <c r="F16" i="6"/>
  <c r="F17" i="6"/>
  <c r="F18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4" i="3"/>
  <c r="F171" i="3"/>
  <c r="D33" i="3"/>
  <c r="F165" i="3"/>
  <c r="D32" i="3"/>
  <c r="F162" i="3"/>
  <c r="D31" i="3"/>
  <c r="F156" i="3"/>
  <c r="D30" i="3"/>
  <c r="F155" i="3"/>
  <c r="D29" i="3"/>
  <c r="F153" i="3"/>
  <c r="D28" i="3"/>
  <c r="F146" i="3"/>
  <c r="D27" i="3"/>
  <c r="F143" i="3"/>
  <c r="D26" i="3"/>
  <c r="F139" i="3"/>
  <c r="D25" i="3"/>
  <c r="F138" i="3"/>
  <c r="D24" i="3"/>
  <c r="F133" i="3"/>
  <c r="D23" i="3"/>
  <c r="F129" i="3"/>
  <c r="D22" i="3"/>
  <c r="F125" i="3"/>
  <c r="D21" i="3"/>
  <c r="F120" i="3"/>
  <c r="D20" i="3"/>
  <c r="F115" i="3"/>
  <c r="D19" i="3"/>
  <c r="F109" i="3"/>
  <c r="D18" i="3"/>
  <c r="F103" i="3"/>
  <c r="D17" i="3"/>
  <c r="F98" i="3"/>
  <c r="D16" i="3"/>
  <c r="F95" i="3"/>
  <c r="D15" i="3"/>
  <c r="F88" i="3"/>
  <c r="D14" i="3"/>
  <c r="F85" i="3"/>
  <c r="D13" i="3"/>
  <c r="F83" i="3"/>
  <c r="D12" i="3"/>
  <c r="D11" i="3"/>
  <c r="C35" i="3"/>
  <c r="D202" i="3"/>
  <c r="D10" i="3"/>
  <c r="D9" i="3"/>
  <c r="D8" i="3"/>
  <c r="D7" i="3"/>
  <c r="D6" i="3"/>
  <c r="D5" i="3"/>
  <c r="F155" i="4"/>
  <c r="F154" i="4"/>
  <c r="F143" i="4"/>
  <c r="F136" i="4"/>
  <c r="F131" i="4"/>
  <c r="F128" i="4"/>
  <c r="F125" i="4"/>
  <c r="F114" i="4"/>
  <c r="F109" i="4"/>
  <c r="F107" i="4"/>
  <c r="F101" i="4"/>
  <c r="F93" i="4"/>
  <c r="F88" i="4"/>
  <c r="F84" i="4"/>
  <c r="F82" i="4"/>
  <c r="F81" i="4"/>
  <c r="F76" i="4"/>
  <c r="F72" i="4"/>
  <c r="F67" i="4"/>
  <c r="F61" i="4"/>
  <c r="F57" i="4"/>
  <c r="F53" i="4"/>
  <c r="F49" i="4"/>
  <c r="F48" i="4"/>
  <c r="F45" i="4"/>
  <c r="F42" i="4"/>
  <c r="E31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" i="4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3" i="11"/>
  <c r="F37" i="4"/>
  <c r="F156" i="4"/>
  <c r="D33" i="4"/>
  <c r="F33" i="4"/>
  <c r="D3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D4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107" i="1"/>
  <c r="G5" i="1"/>
  <c r="G13" i="1"/>
  <c r="G98" i="1"/>
  <c r="G93" i="1"/>
  <c r="G88" i="1"/>
  <c r="G84" i="1"/>
  <c r="G80" i="1"/>
  <c r="G78" i="1"/>
  <c r="G76" i="1"/>
  <c r="G73" i="1"/>
  <c r="G70" i="1"/>
  <c r="G63" i="1"/>
  <c r="G58" i="1"/>
  <c r="G53" i="1"/>
  <c r="G51" i="1"/>
  <c r="G47" i="1"/>
  <c r="G46" i="1"/>
  <c r="G40" i="1"/>
  <c r="G39" i="1"/>
  <c r="G35" i="1"/>
  <c r="G27" i="1"/>
  <c r="G22" i="1"/>
  <c r="G18" i="1"/>
  <c r="G17" i="1"/>
  <c r="G14" i="1"/>
  <c r="G11" i="1"/>
  <c r="G12" i="1"/>
  <c r="G10" i="1"/>
  <c r="G8" i="1"/>
  <c r="G7" i="1"/>
  <c r="G6" i="1"/>
  <c r="H5" i="1"/>
  <c r="D3" i="3"/>
  <c r="F178" i="3"/>
  <c r="H6" i="1"/>
  <c r="H7" i="1"/>
  <c r="E3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D35" i="3"/>
  <c r="D205" i="3"/>
  <c r="D224" i="3"/>
  <c r="H8" i="1"/>
  <c r="H9" i="1"/>
  <c r="H10" i="1"/>
  <c r="H11" i="1"/>
  <c r="H12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F17" i="3"/>
  <c r="F18" i="3"/>
  <c r="F19" i="3"/>
  <c r="F20" i="3"/>
  <c r="F21" i="3"/>
  <c r="F22" i="3"/>
  <c r="F23" i="3"/>
  <c r="F24" i="3"/>
  <c r="H79" i="1"/>
  <c r="H80" i="1"/>
  <c r="H81" i="1"/>
  <c r="H82" i="1"/>
  <c r="H83" i="1"/>
  <c r="H84" i="1"/>
  <c r="H85" i="1"/>
  <c r="H86" i="1"/>
  <c r="H87" i="1"/>
  <c r="H88" i="1"/>
  <c r="H89" i="1"/>
  <c r="H90" i="1"/>
  <c r="H92" i="1"/>
  <c r="H93" i="1"/>
  <c r="H94" i="1"/>
  <c r="H95" i="1"/>
  <c r="H97" i="1"/>
  <c r="H98" i="1"/>
  <c r="H100" i="1"/>
  <c r="H101" i="1"/>
  <c r="H106" i="1"/>
  <c r="F25" i="3"/>
  <c r="F26" i="3"/>
  <c r="F27" i="3"/>
  <c r="F28" i="3"/>
  <c r="F29" i="3"/>
  <c r="D41" i="6"/>
  <c r="F30" i="3"/>
  <c r="F31" i="3"/>
  <c r="F32" i="3"/>
  <c r="F33" i="3"/>
  <c r="F34" i="3"/>
  <c r="Z28" i="44" l="1"/>
  <c r="AC28" i="44"/>
  <c r="H4" i="33"/>
  <c r="H5" i="33" s="1"/>
  <c r="H6" i="33" s="1"/>
  <c r="H7" i="33" s="1"/>
  <c r="H8" i="33" s="1"/>
  <c r="H9" i="33" s="1"/>
  <c r="H10" i="33" s="1"/>
  <c r="H11" i="33" s="1"/>
  <c r="H12" i="33" s="1"/>
  <c r="H13" i="33" s="1"/>
  <c r="H14" i="33" s="1"/>
  <c r="H15" i="33" s="1"/>
  <c r="H16" i="33" s="1"/>
  <c r="H17" i="33" s="1"/>
  <c r="H18" i="33" s="1"/>
  <c r="H19" i="33" s="1"/>
  <c r="H20" i="33" s="1"/>
  <c r="H21" i="33" s="1"/>
  <c r="H22" i="33" s="1"/>
  <c r="H23" i="33" s="1"/>
  <c r="H24" i="33" s="1"/>
  <c r="H25" i="33" s="1"/>
  <c r="H26" i="33" s="1"/>
  <c r="H27" i="33" s="1"/>
  <c r="H28" i="33" s="1"/>
  <c r="H29" i="33" s="1"/>
  <c r="H30" i="33" s="1"/>
  <c r="H31" i="33" s="1"/>
  <c r="H32" i="33" s="1"/>
  <c r="H33" i="33" s="1"/>
  <c r="E33" i="33"/>
  <c r="M8" i="33"/>
  <c r="M5" i="33"/>
  <c r="L5" i="33"/>
  <c r="K5" i="33"/>
  <c r="J5" i="33"/>
  <c r="H3" i="32"/>
  <c r="H4" i="32" s="1"/>
  <c r="H5" i="32" s="1"/>
  <c r="H6" i="32" s="1"/>
  <c r="H7" i="32" s="1"/>
  <c r="H8" i="32" s="1"/>
  <c r="H9" i="32" s="1"/>
  <c r="H10" i="32" s="1"/>
  <c r="H11" i="32" s="1"/>
  <c r="H12" i="32" s="1"/>
  <c r="H13" i="32" s="1"/>
  <c r="H14" i="32" s="1"/>
  <c r="H15" i="32" s="1"/>
  <c r="H16" i="32" s="1"/>
  <c r="H17" i="32" s="1"/>
  <c r="H18" i="32" s="1"/>
  <c r="H19" i="32" s="1"/>
  <c r="H20" i="32" s="1"/>
  <c r="H21" i="32" s="1"/>
  <c r="H22" i="32" s="1"/>
  <c r="H23" i="32" s="1"/>
  <c r="H24" i="32" s="1"/>
  <c r="H25" i="32" s="1"/>
  <c r="H26" i="32" s="1"/>
  <c r="H27" i="32" s="1"/>
  <c r="H28" i="32" s="1"/>
  <c r="H29" i="32" s="1"/>
  <c r="H30" i="32" s="1"/>
  <c r="H31" i="32" s="1"/>
  <c r="H32" i="32" s="1"/>
  <c r="H33" i="32" s="1"/>
  <c r="M8" i="32"/>
  <c r="E33" i="32"/>
  <c r="M5" i="32"/>
  <c r="K5" i="32"/>
  <c r="J5" i="32"/>
  <c r="L5" i="32"/>
  <c r="H5" i="31"/>
  <c r="H6" i="31" s="1"/>
  <c r="H7" i="31" s="1"/>
  <c r="H8" i="31" s="1"/>
  <c r="H9" i="31" s="1"/>
  <c r="H10" i="31" s="1"/>
  <c r="H11" i="31" s="1"/>
  <c r="H12" i="31" s="1"/>
  <c r="H13" i="31" s="1"/>
  <c r="H14" i="31" s="1"/>
  <c r="H15" i="31" s="1"/>
  <c r="H16" i="31" s="1"/>
  <c r="H17" i="31" s="1"/>
  <c r="H18" i="31" s="1"/>
  <c r="H19" i="31" s="1"/>
  <c r="H20" i="31" s="1"/>
  <c r="H21" i="31" s="1"/>
  <c r="H22" i="31" s="1"/>
  <c r="H23" i="31" s="1"/>
  <c r="H24" i="31" s="1"/>
  <c r="H25" i="31" s="1"/>
  <c r="H26" i="31" s="1"/>
  <c r="H27" i="31" s="1"/>
  <c r="H28" i="31" s="1"/>
  <c r="H29" i="31" s="1"/>
  <c r="H30" i="31" s="1"/>
  <c r="H31" i="31" s="1"/>
  <c r="H32" i="31" s="1"/>
  <c r="H33" i="31" s="1"/>
  <c r="E33" i="31"/>
  <c r="J5" i="31"/>
  <c r="M8" i="31"/>
  <c r="C16" i="13" s="1"/>
  <c r="M5" i="31"/>
  <c r="K5" i="31"/>
  <c r="L5" i="31"/>
  <c r="E16" i="13" l="1"/>
  <c r="E17" i="13" s="1"/>
  <c r="E18" i="13" s="1"/>
  <c r="E19" i="13" s="1"/>
  <c r="E20" i="13" s="1"/>
  <c r="E21" i="13" s="1"/>
  <c r="E22" i="13" s="1"/>
  <c r="H32" i="43"/>
  <c r="H33" i="43" s="1"/>
  <c r="D34" i="43"/>
  <c r="I8" i="43" s="1"/>
  <c r="M8" i="43" s="1"/>
  <c r="J9" i="43" s="1"/>
  <c r="C28" i="13" s="1"/>
  <c r="E32" i="43"/>
  <c r="E34" i="43"/>
  <c r="E23" i="13" l="1"/>
  <c r="E24" i="13" s="1"/>
  <c r="E25" i="13" s="1"/>
  <c r="E26" i="13" s="1"/>
  <c r="E27" i="13" s="1"/>
  <c r="E28" i="13" s="1"/>
  <c r="E29" i="13" s="1"/>
  <c r="C3" i="13"/>
  <c r="E3" i="13" s="1"/>
  <c r="H34" i="43"/>
  <c r="E30" i="13" l="1"/>
  <c r="E31" i="13" s="1"/>
  <c r="E32" i="13" l="1"/>
  <c r="E33" i="13" s="1"/>
  <c r="E34" i="13" s="1"/>
  <c r="E35" i="13" s="1"/>
  <c r="E36" i="13" s="1"/>
  <c r="E37" i="13" s="1"/>
  <c r="E38" i="13" s="1"/>
  <c r="E39" i="13" s="1"/>
  <c r="E40" i="13" s="1"/>
  <c r="E41" i="13" s="1"/>
</calcChain>
</file>

<file path=xl/sharedStrings.xml><?xml version="1.0" encoding="utf-8"?>
<sst xmlns="http://schemas.openxmlformats.org/spreadsheetml/2006/main" count="6531" uniqueCount="986">
  <si>
    <t>日付</t>
    <rPh sb="0" eb="2">
      <t>ヒヅケ</t>
    </rPh>
    <phoneticPr fontId="1"/>
  </si>
  <si>
    <t>Doanh thu</t>
    <phoneticPr fontId="1"/>
  </si>
  <si>
    <t>Chi</t>
    <phoneticPr fontId="1"/>
  </si>
  <si>
    <t>Trả hàng</t>
    <phoneticPr fontId="1"/>
  </si>
  <si>
    <t>Tổng chi</t>
    <phoneticPr fontId="1"/>
  </si>
  <si>
    <t>Luỹ kế</t>
    <phoneticPr fontId="1"/>
  </si>
  <si>
    <t>Chi tiết</t>
    <phoneticPr fontId="1"/>
  </si>
  <si>
    <t>Thi công điện</t>
    <phoneticPr fontId="1"/>
  </si>
  <si>
    <t>Phí ship rau</t>
    <phoneticPr fontId="1"/>
  </si>
  <si>
    <t>Gà lộn 2 kiện</t>
    <phoneticPr fontId="1"/>
  </si>
  <si>
    <t>Gà lộn 1 kiện</t>
    <phoneticPr fontId="1"/>
  </si>
  <si>
    <t>Thịt heo</t>
    <phoneticPr fontId="1"/>
  </si>
  <si>
    <t>Xoài</t>
    <phoneticPr fontId="1"/>
  </si>
  <si>
    <t>Vịt</t>
    <phoneticPr fontId="1"/>
  </si>
  <si>
    <t>Hành khô</t>
    <phoneticPr fontId="1"/>
  </si>
  <si>
    <t>Phí ship ổi</t>
    <phoneticPr fontId="1"/>
  </si>
  <si>
    <t>Cồn rửa</t>
    <phoneticPr fontId="1"/>
  </si>
  <si>
    <t>Đồ khô</t>
    <phoneticPr fontId="1"/>
  </si>
  <si>
    <t>Rau</t>
    <phoneticPr fontId="1"/>
  </si>
  <si>
    <t xml:space="preserve">Thịt </t>
    <phoneticPr fontId="1"/>
  </si>
  <si>
    <t>Chè sầu-Bông lan</t>
    <phoneticPr fontId="1"/>
  </si>
  <si>
    <t>Túi bóng</t>
    <phoneticPr fontId="1"/>
  </si>
  <si>
    <t>Đông lạnh</t>
    <phoneticPr fontId="1"/>
  </si>
  <si>
    <t>Nafuco</t>
    <phoneticPr fontId="1"/>
  </si>
  <si>
    <t>Mua cân</t>
    <phoneticPr fontId="1"/>
  </si>
  <si>
    <t>Thịt</t>
    <phoneticPr fontId="1"/>
  </si>
  <si>
    <t>Bắp bò</t>
    <phoneticPr fontId="1"/>
  </si>
  <si>
    <t>Ớt</t>
    <phoneticPr fontId="1"/>
  </si>
  <si>
    <t>Cải xoong</t>
    <phoneticPr fontId="1"/>
  </si>
  <si>
    <t xml:space="preserve">Xương ống </t>
    <phoneticPr fontId="1"/>
  </si>
  <si>
    <t>Sả</t>
    <phoneticPr fontId="1"/>
  </si>
  <si>
    <t>Chè dừa-Bông lan</t>
    <phoneticPr fontId="1"/>
  </si>
  <si>
    <t>Tiền nhà</t>
    <phoneticPr fontId="1"/>
  </si>
  <si>
    <t>Ba chỉ</t>
    <phoneticPr fontId="1"/>
  </si>
  <si>
    <t xml:space="preserve">Ớt </t>
    <phoneticPr fontId="1"/>
  </si>
  <si>
    <t>Bưởi</t>
    <phoneticPr fontId="1"/>
  </si>
  <si>
    <t>Cải muối</t>
    <phoneticPr fontId="1"/>
  </si>
  <si>
    <t>Tháng trước</t>
    <phoneticPr fontId="1"/>
  </si>
  <si>
    <t>Vietcook</t>
  </si>
  <si>
    <t>Vietcook</t>
    <phoneticPr fontId="1"/>
  </si>
  <si>
    <t>Dây cáp</t>
    <phoneticPr fontId="1"/>
  </si>
  <si>
    <t>Bún safoco</t>
    <phoneticPr fontId="1"/>
  </si>
  <si>
    <t>Kago</t>
    <phoneticPr fontId="1"/>
  </si>
  <si>
    <t>Chè sầu</t>
    <phoneticPr fontId="1"/>
  </si>
  <si>
    <t>Phí ship</t>
    <phoneticPr fontId="1"/>
  </si>
  <si>
    <t>Măng chua</t>
    <phoneticPr fontId="1"/>
  </si>
  <si>
    <t xml:space="preserve">Gà ủ muối </t>
    <phoneticPr fontId="1"/>
  </si>
  <si>
    <t>Phí ship mướp</t>
    <phoneticPr fontId="1"/>
  </si>
  <si>
    <t>Susu</t>
    <phoneticPr fontId="1"/>
  </si>
  <si>
    <t xml:space="preserve">Trả đơn </t>
    <phoneticPr fontId="1"/>
  </si>
  <si>
    <t xml:space="preserve">Gà lộn </t>
    <phoneticPr fontId="1"/>
  </si>
  <si>
    <t>Ếch</t>
    <phoneticPr fontId="1"/>
  </si>
  <si>
    <t>Chè dừa non</t>
    <phoneticPr fontId="1"/>
  </si>
  <si>
    <t>Vịt quay</t>
    <phoneticPr fontId="1"/>
  </si>
  <si>
    <t>木</t>
  </si>
  <si>
    <t>金</t>
  </si>
  <si>
    <t>金</t>
    <rPh sb="0" eb="1">
      <t>キn</t>
    </rPh>
    <phoneticPr fontId="1"/>
  </si>
  <si>
    <t>土</t>
  </si>
  <si>
    <t>土</t>
    <rPh sb="0" eb="1">
      <t>ド</t>
    </rPh>
    <phoneticPr fontId="1"/>
  </si>
  <si>
    <t>日</t>
  </si>
  <si>
    <t>日</t>
    <rPh sb="0" eb="1">
      <t>ニチ</t>
    </rPh>
    <phoneticPr fontId="1"/>
  </si>
  <si>
    <t>月</t>
  </si>
  <si>
    <t>月</t>
    <rPh sb="0" eb="1">
      <t>ゲツ</t>
    </rPh>
    <phoneticPr fontId="1"/>
  </si>
  <si>
    <t>火</t>
  </si>
  <si>
    <t>火</t>
    <rPh sb="0" eb="1">
      <t>カ</t>
    </rPh>
    <phoneticPr fontId="1"/>
  </si>
  <si>
    <t>水</t>
  </si>
  <si>
    <t>水</t>
    <rPh sb="0" eb="1">
      <t>スイ</t>
    </rPh>
    <phoneticPr fontId="1"/>
  </si>
  <si>
    <t>入金</t>
    <rPh sb="0" eb="2">
      <t>ニュウキn</t>
    </rPh>
    <phoneticPr fontId="1"/>
  </si>
  <si>
    <t>木</t>
    <rPh sb="0" eb="1">
      <t>モ</t>
    </rPh>
    <phoneticPr fontId="1"/>
  </si>
  <si>
    <t>小計</t>
    <rPh sb="0" eb="2">
      <t>ショウケイ</t>
    </rPh>
    <phoneticPr fontId="1"/>
  </si>
  <si>
    <t>Nơi chi</t>
    <phoneticPr fontId="1"/>
  </si>
  <si>
    <t>金額</t>
    <rPh sb="0" eb="2">
      <t>キn</t>
    </rPh>
    <phoneticPr fontId="1"/>
  </si>
  <si>
    <t xml:space="preserve"> Chi Tiết</t>
    <phoneticPr fontId="1"/>
  </si>
  <si>
    <t>Tổng</t>
    <phoneticPr fontId="1"/>
  </si>
  <si>
    <t>確認</t>
    <rPh sb="0" eb="2">
      <t>カクニn</t>
    </rPh>
    <phoneticPr fontId="1"/>
  </si>
  <si>
    <t>Chợ Sỹ Thak</t>
    <phoneticPr fontId="1"/>
  </si>
  <si>
    <t>20kg bắp heo</t>
    <phoneticPr fontId="1"/>
  </si>
  <si>
    <t>Di An Di</t>
    <phoneticPr fontId="1"/>
  </si>
  <si>
    <t>18 BLTM+30 chè sầu + 20 chè dừa non</t>
    <phoneticPr fontId="1"/>
  </si>
  <si>
    <t>XS</t>
    <phoneticPr fontId="1"/>
  </si>
  <si>
    <t>24 Gà size nhỏ</t>
    <phoneticPr fontId="1"/>
  </si>
  <si>
    <t>VietNamHouse</t>
    <phoneticPr fontId="1"/>
  </si>
  <si>
    <t xml:space="preserve">Chân+Đùi gà ủ </t>
    <phoneticPr fontId="1"/>
  </si>
  <si>
    <r>
      <rPr>
        <b/>
        <sz val="18"/>
        <color theme="1"/>
        <rFont val="游ゴシック"/>
        <family val="3"/>
        <charset val="128"/>
      </rPr>
      <t>領収書</t>
    </r>
    <rPh sb="0" eb="3">
      <t>リョウシュウ</t>
    </rPh>
    <phoneticPr fontId="1"/>
  </si>
  <si>
    <r>
      <rPr>
        <sz val="12"/>
        <color theme="1"/>
        <rFont val="游ゴシック"/>
        <family val="2"/>
        <charset val="128"/>
      </rPr>
      <t>水</t>
    </r>
    <rPh sb="0" eb="1">
      <t>スイ</t>
    </rPh>
    <phoneticPr fontId="1"/>
  </si>
  <si>
    <r>
      <rPr>
        <sz val="12"/>
        <color theme="1"/>
        <rFont val="游ゴシック"/>
        <family val="2"/>
        <charset val="128"/>
      </rPr>
      <t>木</t>
    </r>
    <rPh sb="0" eb="1">
      <t>モ</t>
    </rPh>
    <phoneticPr fontId="1"/>
  </si>
  <si>
    <r>
      <rPr>
        <sz val="12"/>
        <color theme="1"/>
        <rFont val="游ゴシック"/>
        <family val="2"/>
        <charset val="128"/>
      </rPr>
      <t>金</t>
    </r>
    <rPh sb="0" eb="1">
      <t>キn</t>
    </rPh>
    <phoneticPr fontId="1"/>
  </si>
  <si>
    <r>
      <rPr>
        <sz val="12"/>
        <color theme="1"/>
        <rFont val="游ゴシック"/>
        <family val="2"/>
        <charset val="128"/>
      </rPr>
      <t>土</t>
    </r>
    <rPh sb="0" eb="1">
      <t>ド</t>
    </rPh>
    <phoneticPr fontId="1"/>
  </si>
  <si>
    <r>
      <rPr>
        <sz val="12"/>
        <color theme="1"/>
        <rFont val="游ゴシック"/>
        <family val="2"/>
        <charset val="128"/>
      </rPr>
      <t>日</t>
    </r>
    <rPh sb="0" eb="1">
      <t>ニチ</t>
    </rPh>
    <phoneticPr fontId="1"/>
  </si>
  <si>
    <r>
      <rPr>
        <sz val="12"/>
        <color theme="1"/>
        <rFont val="游ゴシック"/>
        <family val="2"/>
        <charset val="128"/>
      </rPr>
      <t>月</t>
    </r>
    <rPh sb="0" eb="1">
      <t>ゲツ</t>
    </rPh>
    <phoneticPr fontId="1"/>
  </si>
  <si>
    <r>
      <rPr>
        <sz val="12"/>
        <color theme="1"/>
        <rFont val="游ゴシック"/>
        <family val="2"/>
        <charset val="128"/>
      </rPr>
      <t>火</t>
    </r>
    <rPh sb="0" eb="1">
      <t>カ</t>
    </rPh>
    <phoneticPr fontId="1"/>
  </si>
  <si>
    <r>
      <rPr>
        <sz val="12"/>
        <color theme="1"/>
        <rFont val="游ゴシック"/>
        <family val="2"/>
        <charset val="128"/>
      </rPr>
      <t>水</t>
    </r>
  </si>
  <si>
    <r>
      <rPr>
        <sz val="12"/>
        <color theme="1"/>
        <rFont val="游ゴシック"/>
        <family val="2"/>
        <charset val="128"/>
      </rPr>
      <t>木</t>
    </r>
  </si>
  <si>
    <r>
      <rPr>
        <sz val="12"/>
        <color theme="1"/>
        <rFont val="游ゴシック"/>
        <family val="2"/>
        <charset val="128"/>
      </rPr>
      <t>金</t>
    </r>
  </si>
  <si>
    <r>
      <rPr>
        <sz val="12"/>
        <color theme="1"/>
        <rFont val="游ゴシック"/>
        <family val="2"/>
        <charset val="128"/>
      </rPr>
      <t>土</t>
    </r>
  </si>
  <si>
    <r>
      <rPr>
        <sz val="12"/>
        <color theme="1"/>
        <rFont val="游ゴシック"/>
        <family val="2"/>
        <charset val="128"/>
      </rPr>
      <t>日</t>
    </r>
  </si>
  <si>
    <r>
      <rPr>
        <sz val="12"/>
        <color theme="1"/>
        <rFont val="游ゴシック"/>
        <family val="2"/>
        <charset val="128"/>
      </rPr>
      <t>月</t>
    </r>
  </si>
  <si>
    <r>
      <rPr>
        <sz val="12"/>
        <color theme="1"/>
        <rFont val="游ゴシック"/>
        <family val="2"/>
        <charset val="128"/>
      </rPr>
      <t>火</t>
    </r>
  </si>
  <si>
    <t>MIRAI</t>
    <phoneticPr fontId="1"/>
  </si>
  <si>
    <t>Omachi+Fami</t>
    <phoneticPr fontId="1"/>
  </si>
  <si>
    <t>Sườn già</t>
    <phoneticPr fontId="1"/>
  </si>
  <si>
    <t>BLTM</t>
    <phoneticPr fontId="1"/>
  </si>
  <si>
    <t>Nước mía</t>
    <phoneticPr fontId="1"/>
  </si>
  <si>
    <t>Gà ủ muối</t>
    <phoneticPr fontId="1"/>
  </si>
  <si>
    <t xml:space="preserve">Hành khô </t>
    <phoneticPr fontId="1"/>
  </si>
  <si>
    <t>Giò chả</t>
    <phoneticPr fontId="1"/>
  </si>
  <si>
    <t>Xuân Shop</t>
    <phoneticPr fontId="1"/>
  </si>
  <si>
    <t>Chân gà</t>
    <phoneticPr fontId="1"/>
  </si>
  <si>
    <t>Bò húc</t>
    <phoneticPr fontId="1"/>
  </si>
  <si>
    <t xml:space="preserve">Giò chả </t>
    <phoneticPr fontId="1"/>
  </si>
  <si>
    <t>Numberone</t>
    <phoneticPr fontId="1"/>
  </si>
  <si>
    <t xml:space="preserve">Tiền điện </t>
    <phoneticPr fontId="1"/>
  </si>
  <si>
    <t>Chè</t>
    <phoneticPr fontId="1"/>
  </si>
  <si>
    <t>Hảo hảo</t>
    <phoneticPr fontId="1"/>
  </si>
  <si>
    <t>Băng dính</t>
    <phoneticPr fontId="1"/>
  </si>
  <si>
    <t>Chinsu</t>
    <phoneticPr fontId="1"/>
  </si>
  <si>
    <t>Omachi</t>
    <phoneticPr fontId="1"/>
  </si>
  <si>
    <t>Mắm nêm</t>
    <phoneticPr fontId="1"/>
  </si>
  <si>
    <t>Saomai</t>
    <phoneticPr fontId="1"/>
  </si>
  <si>
    <t>Nước cốt dừa</t>
    <phoneticPr fontId="1"/>
  </si>
  <si>
    <t>Gạo</t>
    <phoneticPr fontId="1"/>
  </si>
  <si>
    <t>Nước dừa</t>
    <phoneticPr fontId="1"/>
  </si>
  <si>
    <t>Sữa ông thọ</t>
    <phoneticPr fontId="1"/>
  </si>
  <si>
    <t>Gà lộn</t>
    <phoneticPr fontId="1"/>
  </si>
  <si>
    <t>Xuxu Mart</t>
    <phoneticPr fontId="1"/>
  </si>
  <si>
    <t xml:space="preserve">Gà đông lạnh </t>
    <phoneticPr fontId="1"/>
  </si>
  <si>
    <t>Bắp heo</t>
    <phoneticPr fontId="1"/>
  </si>
  <si>
    <t xml:space="preserve">Sườn non </t>
    <phoneticPr fontId="1"/>
  </si>
  <si>
    <t>Cá lóc</t>
    <phoneticPr fontId="1"/>
  </si>
  <si>
    <t xml:space="preserve">Fami </t>
    <phoneticPr fontId="1"/>
  </si>
  <si>
    <t>Sả-Xoài</t>
    <phoneticPr fontId="1"/>
  </si>
  <si>
    <t>Dừa</t>
    <phoneticPr fontId="1"/>
  </si>
  <si>
    <t>Gà</t>
    <phoneticPr fontId="1"/>
  </si>
  <si>
    <t>Cá trê</t>
    <phoneticPr fontId="1"/>
  </si>
  <si>
    <t xml:space="preserve">Vịt </t>
    <phoneticPr fontId="1"/>
  </si>
  <si>
    <t>Mắm</t>
    <phoneticPr fontId="1"/>
  </si>
  <si>
    <t>Amazon</t>
    <phoneticPr fontId="1"/>
  </si>
  <si>
    <t xml:space="preserve">Giấy in </t>
    <phoneticPr fontId="1"/>
  </si>
  <si>
    <t>Rau củ</t>
    <phoneticPr fontId="1"/>
  </si>
  <si>
    <t>Ốc</t>
    <phoneticPr fontId="1"/>
  </si>
  <si>
    <t>Vietcool</t>
    <phoneticPr fontId="1"/>
  </si>
  <si>
    <t>Riềng</t>
    <phoneticPr fontId="1"/>
  </si>
  <si>
    <t>Wifi</t>
    <phoneticPr fontId="1"/>
  </si>
  <si>
    <t>Fami</t>
    <phoneticPr fontId="1"/>
  </si>
  <si>
    <t>Dăm bông</t>
    <phoneticPr fontId="1"/>
  </si>
  <si>
    <t>Bún bò huế</t>
    <phoneticPr fontId="1"/>
  </si>
  <si>
    <t>Xoài-Dừa</t>
    <phoneticPr fontId="1"/>
  </si>
  <si>
    <t>Rượu</t>
    <phoneticPr fontId="1"/>
  </si>
  <si>
    <t>Bảo hiểm</t>
    <phoneticPr fontId="1"/>
  </si>
  <si>
    <t>Tiền rủ lạnh</t>
    <phoneticPr fontId="1"/>
  </si>
  <si>
    <t xml:space="preserve">Bò húc </t>
    <phoneticPr fontId="1"/>
  </si>
  <si>
    <t>Cải dưa muối</t>
    <phoneticPr fontId="1"/>
  </si>
  <si>
    <t>Mắm tôm</t>
    <phoneticPr fontId="1"/>
  </si>
  <si>
    <t>Daiso</t>
    <phoneticPr fontId="1"/>
  </si>
  <si>
    <t>VietnNamHouse</t>
    <phoneticPr fontId="1"/>
  </si>
  <si>
    <t>Yến Minh</t>
    <phoneticPr fontId="1"/>
  </si>
  <si>
    <t>Fami+Sứa</t>
    <phoneticPr fontId="1"/>
  </si>
  <si>
    <t>HSC</t>
    <phoneticPr fontId="1"/>
  </si>
  <si>
    <t>Safoco</t>
    <phoneticPr fontId="1"/>
  </si>
  <si>
    <t>SACHAN</t>
    <phoneticPr fontId="1"/>
  </si>
  <si>
    <t>Chinsu to</t>
    <phoneticPr fontId="1"/>
  </si>
  <si>
    <t>Mix</t>
    <phoneticPr fontId="1"/>
  </si>
  <si>
    <t>Kho tổng</t>
    <phoneticPr fontId="1"/>
  </si>
  <si>
    <t>BUITRAM</t>
    <phoneticPr fontId="1"/>
  </si>
  <si>
    <t>Tủ lạnh</t>
    <phoneticPr fontId="1"/>
  </si>
  <si>
    <t>Trứng lộn</t>
    <phoneticPr fontId="1"/>
  </si>
  <si>
    <t xml:space="preserve">Me cục </t>
    <phoneticPr fontId="1"/>
  </si>
  <si>
    <t>Ngô nếp</t>
    <phoneticPr fontId="1"/>
  </si>
  <si>
    <t>Muối hảo hảo</t>
    <phoneticPr fontId="1"/>
  </si>
  <si>
    <t>Gà đông lạnh</t>
    <phoneticPr fontId="1"/>
  </si>
  <si>
    <t>Hoa quả</t>
    <phoneticPr fontId="1"/>
  </si>
  <si>
    <t>合計</t>
    <rPh sb="0" eb="2">
      <t>ゴウケイ</t>
    </rPh>
    <phoneticPr fontId="1"/>
  </si>
  <si>
    <r>
      <rPr>
        <b/>
        <sz val="30"/>
        <color theme="0"/>
        <rFont val="游ゴシック"/>
        <family val="3"/>
        <charset val="128"/>
      </rPr>
      <t>領収書</t>
    </r>
    <rPh sb="0" eb="3">
      <t>リョウシュウ</t>
    </rPh>
    <phoneticPr fontId="1"/>
  </si>
  <si>
    <t xml:space="preserve">Bông lan </t>
    <phoneticPr fontId="1"/>
  </si>
  <si>
    <t>Đùi + Chân gà ủ</t>
    <phoneticPr fontId="1"/>
  </si>
  <si>
    <t>Xoài + Sả</t>
    <phoneticPr fontId="1"/>
  </si>
  <si>
    <t xml:space="preserve">Rau </t>
    <phoneticPr fontId="1"/>
  </si>
  <si>
    <t xml:space="preserve">Chè </t>
    <phoneticPr fontId="1"/>
  </si>
  <si>
    <t>Vit</t>
    <phoneticPr fontId="1"/>
  </si>
  <si>
    <t>Dầu hào</t>
    <phoneticPr fontId="1"/>
  </si>
  <si>
    <t>Giấy in</t>
    <phoneticPr fontId="1"/>
  </si>
  <si>
    <t>Mì xào</t>
    <phoneticPr fontId="1"/>
  </si>
  <si>
    <t>Bông lan</t>
    <phoneticPr fontId="1"/>
  </si>
  <si>
    <t>Nhót</t>
    <phoneticPr fontId="1"/>
  </si>
  <si>
    <t>Bột canh</t>
    <phoneticPr fontId="1"/>
  </si>
  <si>
    <t>Tiền điện T1</t>
    <phoneticPr fontId="1"/>
  </si>
  <si>
    <t>Hạt nêm knorr</t>
    <phoneticPr fontId="1"/>
  </si>
  <si>
    <t>Cóc + Bánh sầu</t>
    <phoneticPr fontId="1"/>
  </si>
  <si>
    <t>Sting vàng</t>
    <phoneticPr fontId="1"/>
  </si>
  <si>
    <t>請求書</t>
    <rPh sb="0" eb="3">
      <t>セイキュウ</t>
    </rPh>
    <phoneticPr fontId="1"/>
  </si>
  <si>
    <t>Nơi thu</t>
    <phoneticPr fontId="1"/>
  </si>
  <si>
    <t>Vé Shinkansen</t>
    <phoneticPr fontId="1"/>
  </si>
  <si>
    <t xml:space="preserve">Lạc nhân </t>
    <phoneticPr fontId="1"/>
  </si>
  <si>
    <t xml:space="preserve">Túi bóng </t>
    <phoneticPr fontId="1"/>
  </si>
  <si>
    <t xml:space="preserve">Sữa ông thọ </t>
    <phoneticPr fontId="1"/>
  </si>
  <si>
    <t xml:space="preserve">Củ đậu </t>
    <phoneticPr fontId="1"/>
  </si>
  <si>
    <t xml:space="preserve">Khoanh heo </t>
    <phoneticPr fontId="1"/>
  </si>
  <si>
    <t xml:space="preserve">Gạo </t>
    <phoneticPr fontId="1"/>
  </si>
  <si>
    <t>Hành tím</t>
    <phoneticPr fontId="1"/>
  </si>
  <si>
    <t>Ớt + Xoài</t>
    <phoneticPr fontId="1"/>
  </si>
  <si>
    <t>Vịt + Bắp heo</t>
    <phoneticPr fontId="1"/>
  </si>
  <si>
    <t>Ổi + CREP</t>
    <phoneticPr fontId="1"/>
  </si>
  <si>
    <t>Numberone+ Xoài</t>
    <phoneticPr fontId="1"/>
  </si>
  <si>
    <t>Omachi+ Mắm tôm</t>
    <phoneticPr fontId="1"/>
  </si>
  <si>
    <t xml:space="preserve">Bắp heo </t>
    <phoneticPr fontId="1"/>
  </si>
  <si>
    <t>Xúc xích Đức</t>
    <phoneticPr fontId="1"/>
  </si>
  <si>
    <t xml:space="preserve">Chuối xanh </t>
    <phoneticPr fontId="1"/>
  </si>
  <si>
    <t>Mix + muối</t>
    <phoneticPr fontId="1"/>
  </si>
  <si>
    <t>Hương lá dứa</t>
    <phoneticPr fontId="1"/>
  </si>
  <si>
    <t>VIETCOOK</t>
    <phoneticPr fontId="1"/>
  </si>
  <si>
    <t>Thịt hệ thống</t>
    <phoneticPr fontId="1"/>
  </si>
  <si>
    <t xml:space="preserve">Lá chuối </t>
    <phoneticPr fontId="1"/>
  </si>
  <si>
    <t xml:space="preserve">Chè  </t>
    <phoneticPr fontId="1"/>
  </si>
  <si>
    <t xml:space="preserve">Phí ship </t>
    <phoneticPr fontId="1"/>
  </si>
  <si>
    <t>Bò khô</t>
    <phoneticPr fontId="1"/>
  </si>
  <si>
    <t>Băn dính</t>
    <phoneticPr fontId="1"/>
  </si>
  <si>
    <t xml:space="preserve"> 日</t>
    <rPh sb="1" eb="2">
      <t>ニチ</t>
    </rPh>
    <phoneticPr fontId="1"/>
  </si>
  <si>
    <t>Chinsu tỏi ớt</t>
    <phoneticPr fontId="1"/>
  </si>
  <si>
    <t>Phí</t>
    <phoneticPr fontId="1"/>
  </si>
  <si>
    <t>Móng heo</t>
    <phoneticPr fontId="1"/>
  </si>
  <si>
    <t>Tiền nước</t>
    <phoneticPr fontId="1"/>
  </si>
  <si>
    <t>Bắp heo cắt</t>
    <phoneticPr fontId="1"/>
  </si>
  <si>
    <t>Rau mùi</t>
    <phoneticPr fontId="1"/>
  </si>
  <si>
    <t>Gà + Ớt</t>
    <phoneticPr fontId="1"/>
  </si>
  <si>
    <t xml:space="preserve">Tiền nhà </t>
    <phoneticPr fontId="1"/>
  </si>
  <si>
    <t xml:space="preserve">Doanh Thu </t>
    <phoneticPr fontId="1"/>
  </si>
  <si>
    <t>Tổng Chi</t>
    <phoneticPr fontId="1"/>
  </si>
  <si>
    <t>Ship BĐ</t>
    <phoneticPr fontId="1"/>
  </si>
  <si>
    <t>Lương</t>
    <phoneticPr fontId="1"/>
  </si>
  <si>
    <t>Anh Thái</t>
    <phoneticPr fontId="1"/>
  </si>
  <si>
    <t>Nghĩa</t>
    <phoneticPr fontId="1"/>
  </si>
  <si>
    <t>Anh Giang</t>
    <phoneticPr fontId="1"/>
  </si>
  <si>
    <t>Khánh</t>
    <phoneticPr fontId="1"/>
  </si>
  <si>
    <t>Công nợ</t>
    <phoneticPr fontId="1"/>
  </si>
  <si>
    <t>Trứng</t>
    <phoneticPr fontId="1"/>
  </si>
  <si>
    <t>Phí hệ thống</t>
    <phoneticPr fontId="1"/>
  </si>
  <si>
    <t>Dư nợ</t>
    <phoneticPr fontId="1"/>
  </si>
  <si>
    <t>Tiền mặt</t>
    <phoneticPr fontId="1"/>
  </si>
  <si>
    <t>Trung bình</t>
    <phoneticPr fontId="1"/>
  </si>
  <si>
    <t xml:space="preserve">Thu </t>
    <phoneticPr fontId="1"/>
  </si>
  <si>
    <t>DOANH THU</t>
    <phoneticPr fontId="1"/>
  </si>
  <si>
    <t>NHẬP HÀNG</t>
    <phoneticPr fontId="1"/>
  </si>
  <si>
    <t>KHO</t>
    <phoneticPr fontId="1"/>
  </si>
  <si>
    <t>Ship</t>
    <phoneticPr fontId="1"/>
  </si>
  <si>
    <t>Hỗ trợ ship</t>
    <phoneticPr fontId="1"/>
  </si>
  <si>
    <t>Trả khách</t>
    <phoneticPr fontId="1"/>
  </si>
  <si>
    <t>Chi khác</t>
    <phoneticPr fontId="1"/>
  </si>
  <si>
    <t>TỔNG</t>
    <phoneticPr fontId="1"/>
  </si>
  <si>
    <t>BÁO CÁO THÁNG</t>
    <phoneticPr fontId="1"/>
  </si>
  <si>
    <t>THU</t>
    <phoneticPr fontId="1"/>
  </si>
  <si>
    <t>CHI</t>
    <phoneticPr fontId="1"/>
  </si>
  <si>
    <t>SHIP BD</t>
    <phoneticPr fontId="1"/>
  </si>
  <si>
    <t>SHIP</t>
    <phoneticPr fontId="1"/>
  </si>
  <si>
    <t>LƯƠNG</t>
    <phoneticPr fontId="1"/>
  </si>
  <si>
    <t>HỖ TRỢ SHIP</t>
    <phoneticPr fontId="1"/>
  </si>
  <si>
    <t>TRẢ HÀNG</t>
    <phoneticPr fontId="1"/>
  </si>
  <si>
    <t>THƯỞNG</t>
    <phoneticPr fontId="1"/>
  </si>
  <si>
    <t>CHI TIẾT</t>
    <phoneticPr fontId="1"/>
  </si>
  <si>
    <r>
      <t>Ngh</t>
    </r>
    <r>
      <rPr>
        <sz val="14"/>
        <color theme="1"/>
        <rFont val="游ゴシック"/>
        <family val="2"/>
        <charset val="128"/>
      </rPr>
      <t>ĩ</t>
    </r>
    <r>
      <rPr>
        <sz val="14"/>
        <color theme="1"/>
        <rFont val="Times New Roman"/>
        <family val="1"/>
      </rPr>
      <t>a</t>
    </r>
    <phoneticPr fontId="1"/>
  </si>
  <si>
    <t>ĐƠN 1</t>
    <phoneticPr fontId="1"/>
  </si>
  <si>
    <t>ĐƠN 2</t>
    <phoneticPr fontId="1"/>
  </si>
  <si>
    <t>ĐƠN 3</t>
    <phoneticPr fontId="1"/>
  </si>
  <si>
    <t>ĐƠN 4</t>
    <phoneticPr fontId="1"/>
  </si>
  <si>
    <t>Nội dung</t>
    <phoneticPr fontId="1"/>
  </si>
  <si>
    <t>Bột năng</t>
    <phoneticPr fontId="1"/>
  </si>
  <si>
    <t>Sữa TH</t>
    <phoneticPr fontId="1"/>
  </si>
  <si>
    <t>LỢI NHUẬN</t>
    <phoneticPr fontId="1"/>
  </si>
  <si>
    <t>不足</t>
    <rPh sb="0" eb="2">
      <t>ブソク</t>
    </rPh>
    <phoneticPr fontId="1"/>
  </si>
  <si>
    <t>ポイント支払い</t>
    <rPh sb="4" eb="6">
      <t>シハライ</t>
    </rPh>
    <phoneticPr fontId="1"/>
  </si>
  <si>
    <t>売り上げ</t>
    <rPh sb="0" eb="1">
      <t>ウリアゲ</t>
    </rPh>
    <phoneticPr fontId="1"/>
  </si>
  <si>
    <r>
      <rPr>
        <b/>
        <sz val="20"/>
        <color rgb="FF000000"/>
        <rFont val="Yu Gothic"/>
        <family val="3"/>
        <charset val="128"/>
      </rPr>
      <t>レジ</t>
    </r>
    <phoneticPr fontId="1"/>
  </si>
  <si>
    <t>チャージ</t>
    <phoneticPr fontId="1"/>
  </si>
  <si>
    <t>支払先</t>
    <rPh sb="0" eb="2">
      <t>シハライ</t>
    </rPh>
    <rPh sb="2" eb="3">
      <t>サキ</t>
    </rPh>
    <phoneticPr fontId="1"/>
  </si>
  <si>
    <t>詳細</t>
    <rPh sb="0" eb="2">
      <t>ショウサイ</t>
    </rPh>
    <phoneticPr fontId="1"/>
  </si>
  <si>
    <t>日付： 01/05/2023(月曜日)</t>
    <rPh sb="0" eb="2">
      <t>ヒヅケ</t>
    </rPh>
    <rPh sb="15" eb="18">
      <t>ゲツ</t>
    </rPh>
    <phoneticPr fontId="1"/>
  </si>
  <si>
    <t>三島株</t>
    <rPh sb="0" eb="2">
      <t>ミシマ</t>
    </rPh>
    <rPh sb="2" eb="3">
      <t>カブ</t>
    </rPh>
    <phoneticPr fontId="1"/>
  </si>
  <si>
    <t>75kg Chân gà</t>
    <phoneticPr fontId="1"/>
  </si>
  <si>
    <t>Kome</t>
    <phoneticPr fontId="1"/>
  </si>
  <si>
    <t>Sachan 株</t>
    <rPh sb="7" eb="8">
      <t>カブ</t>
    </rPh>
    <phoneticPr fontId="1"/>
  </si>
  <si>
    <t>60kg Lạc</t>
    <phoneticPr fontId="1"/>
  </si>
  <si>
    <t>THAK 株</t>
    <phoneticPr fontId="1"/>
  </si>
  <si>
    <t>Vịt (30) + Bắp heo (28.72)</t>
    <phoneticPr fontId="1"/>
  </si>
  <si>
    <t>Gà ủ muối (50)</t>
    <phoneticPr fontId="1"/>
  </si>
  <si>
    <t>TRADIFOOD</t>
    <phoneticPr fontId="1"/>
  </si>
  <si>
    <t xml:space="preserve">Đơn </t>
    <phoneticPr fontId="1"/>
  </si>
  <si>
    <t>G7(2x24)+Bột canh (2x40)+Miến (1x50)</t>
    <phoneticPr fontId="1"/>
  </si>
  <si>
    <t>フリチク</t>
    <phoneticPr fontId="1"/>
  </si>
  <si>
    <t>ナフコ</t>
    <phoneticPr fontId="1"/>
  </si>
  <si>
    <t>Hoa quả tháng 4</t>
    <phoneticPr fontId="1"/>
  </si>
  <si>
    <t>ベトナムハウス</t>
    <phoneticPr fontId="1"/>
  </si>
  <si>
    <t>50kg ớt + 30 cây Thăng Long</t>
    <phoneticPr fontId="1"/>
  </si>
  <si>
    <t>ダイソ</t>
    <phoneticPr fontId="1"/>
  </si>
  <si>
    <t>Băng keo</t>
    <phoneticPr fontId="1"/>
  </si>
  <si>
    <t>Yến Ming 株</t>
    <rPh sb="9" eb="10">
      <t>カブ</t>
    </rPh>
    <phoneticPr fontId="1"/>
  </si>
  <si>
    <t>Phí ship Xoài</t>
    <phoneticPr fontId="1"/>
  </si>
  <si>
    <t>Phí ship Mướp</t>
    <phoneticPr fontId="1"/>
  </si>
  <si>
    <t>日付： 02/05/2023(火曜日)</t>
    <rPh sb="0" eb="2">
      <t>ヒヅケ</t>
    </rPh>
    <rPh sb="15" eb="16">
      <t>KA</t>
    </rPh>
    <rPh sb="16" eb="18">
      <t>ゲツ</t>
    </rPh>
    <phoneticPr fontId="1"/>
  </si>
  <si>
    <t>日付： 03/05/2023(水曜日)</t>
    <rPh sb="0" eb="2">
      <t>ヒヅケ</t>
    </rPh>
    <rPh sb="15" eb="16">
      <t>スイ</t>
    </rPh>
    <rPh sb="16" eb="18">
      <t>ゲツ</t>
    </rPh>
    <phoneticPr fontId="1"/>
  </si>
  <si>
    <t>60 gà đông lạnh</t>
    <phoneticPr fontId="1"/>
  </si>
  <si>
    <t>日付： 04/05/2023(木曜日)</t>
    <rPh sb="0" eb="2">
      <t>ヒヅケ</t>
    </rPh>
    <rPh sb="15" eb="16">
      <t>モク</t>
    </rPh>
    <rPh sb="16" eb="18">
      <t>ゲツ</t>
    </rPh>
    <phoneticPr fontId="1"/>
  </si>
  <si>
    <t>日付： 05/05/2023(金曜日)</t>
    <rPh sb="0" eb="2">
      <t>ヒヅケ</t>
    </rPh>
    <rPh sb="15" eb="16">
      <t>キn</t>
    </rPh>
    <rPh sb="16" eb="18">
      <t>ゲツ</t>
    </rPh>
    <phoneticPr fontId="1"/>
  </si>
  <si>
    <t>日付： 06/05/2023(土曜日)</t>
    <rPh sb="0" eb="2">
      <t>ヒヅケ</t>
    </rPh>
    <rPh sb="15" eb="16">
      <t>ド</t>
    </rPh>
    <rPh sb="16" eb="18">
      <t>ゲツ</t>
    </rPh>
    <phoneticPr fontId="1"/>
  </si>
  <si>
    <t>日付： 07/05/2023(日曜日)</t>
    <rPh sb="0" eb="2">
      <t>ヒヅケ</t>
    </rPh>
    <rPh sb="15" eb="16">
      <t>ニチ</t>
    </rPh>
    <rPh sb="16" eb="18">
      <t>ゲツ</t>
    </rPh>
    <phoneticPr fontId="1"/>
  </si>
  <si>
    <t>40 Gạo 10kg</t>
    <phoneticPr fontId="1"/>
  </si>
  <si>
    <t>Oba</t>
    <phoneticPr fontId="1"/>
  </si>
  <si>
    <t>10kg Riềng + 10kg Lá  chuối</t>
    <phoneticPr fontId="1"/>
  </si>
  <si>
    <t>Kome 株</t>
    <rPh sb="5" eb="6">
      <t>カブ</t>
    </rPh>
    <phoneticPr fontId="1"/>
  </si>
  <si>
    <t>20 Cá trắm + 60 Ram Hà Tĩnh</t>
    <phoneticPr fontId="1"/>
  </si>
  <si>
    <t xml:space="preserve">THAK株 </t>
    <rPh sb="4" eb="5">
      <t>カブ</t>
    </rPh>
    <phoneticPr fontId="1"/>
  </si>
  <si>
    <t>45 Vịt</t>
    <phoneticPr fontId="1"/>
  </si>
  <si>
    <t>Tonderu株</t>
    <rPh sb="7" eb="8">
      <t>カブ</t>
    </rPh>
    <phoneticPr fontId="1"/>
  </si>
  <si>
    <t>Dừa 36, Xoài 38, Hành Tím 18</t>
    <phoneticPr fontId="1"/>
  </si>
  <si>
    <t xml:space="preserve">Sachan株 </t>
    <phoneticPr fontId="1"/>
  </si>
  <si>
    <t>96 Sữa ông thọ</t>
    <phoneticPr fontId="1"/>
  </si>
  <si>
    <t xml:space="preserve">Vĩnh Phát 株 </t>
    <rPh sb="10" eb="11">
      <t>カブ</t>
    </rPh>
    <phoneticPr fontId="1"/>
  </si>
  <si>
    <t>144 Nam ngư, 144 Sữa bắp, 48 Kun cam, 96 Kun Dâu</t>
    <phoneticPr fontId="1"/>
  </si>
  <si>
    <t>Yến Minh 株</t>
    <rPh sb="9" eb="10">
      <t>カブ</t>
    </rPh>
    <phoneticPr fontId="1"/>
  </si>
  <si>
    <t>50 bánh mỳ dừa, 15 sả</t>
    <phoneticPr fontId="1"/>
  </si>
  <si>
    <t>Xuxu Group</t>
    <phoneticPr fontId="1"/>
  </si>
  <si>
    <t>Diandi</t>
    <phoneticPr fontId="1"/>
  </si>
  <si>
    <t>Chè + Bông lan trứng muối</t>
    <phoneticPr fontId="1"/>
  </si>
  <si>
    <t>Mika Food</t>
    <phoneticPr fontId="1"/>
  </si>
  <si>
    <t xml:space="preserve"> 32.3 Ba chỉ + 32 Tim heo + 28 Khấu đuôi </t>
    <phoneticPr fontId="1"/>
  </si>
  <si>
    <t>80 phở tươi + 36 Maggi + 50 chân gà + 10kg sả</t>
    <phoneticPr fontId="1"/>
  </si>
  <si>
    <t>MUNDIAL</t>
    <phoneticPr fontId="1"/>
  </si>
  <si>
    <t>24 vịt + 160 Bò kho + 80 thịt kho tàu + 80 thịt nướng sả</t>
    <phoneticPr fontId="1"/>
  </si>
  <si>
    <t>Tonderu</t>
    <phoneticPr fontId="1"/>
  </si>
  <si>
    <t>84kg Xoài</t>
    <phoneticPr fontId="1"/>
  </si>
  <si>
    <t>24 Nước cốt, 24 bánh xẻo,24 bánh cuốn, 40 bún bò huế, 60 phồng tôm</t>
    <phoneticPr fontId="1"/>
  </si>
  <si>
    <t xml:space="preserve">14 gà </t>
    <phoneticPr fontId="1"/>
  </si>
  <si>
    <t>30 gạo nếp</t>
    <phoneticPr fontId="1"/>
  </si>
  <si>
    <t>Phí ship đu đủ</t>
    <phoneticPr fontId="1"/>
  </si>
  <si>
    <t xml:space="preserve">MIRAI 株 </t>
    <rPh sb="6" eb="7">
      <t>カブ</t>
    </rPh>
    <phoneticPr fontId="1"/>
  </si>
  <si>
    <t>30 Bắp heo, 30kg Móng heo, 30 Bắp heo cắt lát</t>
    <phoneticPr fontId="1"/>
  </si>
  <si>
    <t>Vĩnh Phát 株</t>
    <rPh sb="10" eb="11">
      <t>カブ</t>
    </rPh>
    <phoneticPr fontId="1"/>
  </si>
  <si>
    <t>144 Chinsu</t>
    <phoneticPr fontId="1"/>
  </si>
  <si>
    <t>22 Gà ủ muối</t>
    <phoneticPr fontId="1"/>
  </si>
  <si>
    <t>成富株</t>
    <rPh sb="0" eb="2">
      <t>ナリトミ</t>
    </rPh>
    <rPh sb="2" eb="3">
      <t>カブ</t>
    </rPh>
    <phoneticPr fontId="1"/>
  </si>
  <si>
    <t>Tiền trứng Tháng 4</t>
    <phoneticPr fontId="1"/>
  </si>
  <si>
    <t>Phí ship xoài</t>
    <phoneticPr fontId="1"/>
  </si>
  <si>
    <t>50.5kg Sả</t>
    <phoneticPr fontId="1"/>
  </si>
  <si>
    <t>三島食鶏株</t>
    <rPh sb="0" eb="2">
      <t>ミシマ</t>
    </rPh>
    <rPh sb="2" eb="3">
      <t>ショクトリ</t>
    </rPh>
    <rPh sb="4" eb="5">
      <t>カブ</t>
    </rPh>
    <phoneticPr fontId="1"/>
  </si>
  <si>
    <t>96 Numberone</t>
    <phoneticPr fontId="1"/>
  </si>
  <si>
    <t>Phí ship rau + Xoài</t>
    <phoneticPr fontId="1"/>
  </si>
  <si>
    <t xml:space="preserve">22kg xoài bao từ </t>
    <phoneticPr fontId="1"/>
  </si>
  <si>
    <t>Tiền tủ lạnh</t>
    <phoneticPr fontId="1"/>
  </si>
  <si>
    <t>Bún</t>
    <phoneticPr fontId="1"/>
  </si>
  <si>
    <t>TPX</t>
    <phoneticPr fontId="1"/>
  </si>
  <si>
    <t>Bánh ép, mắm nêm</t>
    <phoneticPr fontId="1"/>
  </si>
  <si>
    <t>Chị Hoa</t>
    <phoneticPr fontId="1"/>
  </si>
  <si>
    <t>24.835kg ba chỉ</t>
    <phoneticPr fontId="1"/>
  </si>
  <si>
    <t>4 thùng safoco</t>
    <phoneticPr fontId="1"/>
  </si>
  <si>
    <t xml:space="preserve">Yến Minh 株 </t>
    <rPh sb="9" eb="10">
      <t>カブ</t>
    </rPh>
    <phoneticPr fontId="1"/>
  </si>
  <si>
    <t>Vĩnh Phát</t>
    <phoneticPr fontId="1"/>
  </si>
  <si>
    <t>10 Hảo hảo + 48 măng dầm ớt + 72 bột năng</t>
    <phoneticPr fontId="1"/>
  </si>
  <si>
    <t>5kg ba chỉ</t>
    <phoneticPr fontId="1"/>
  </si>
  <si>
    <t>Mirai 株</t>
    <phoneticPr fontId="1"/>
  </si>
  <si>
    <t>30kg ba chỉ</t>
    <phoneticPr fontId="1"/>
  </si>
  <si>
    <t xml:space="preserve">Tiền thịt </t>
    <phoneticPr fontId="1"/>
  </si>
  <si>
    <t>25kg đùi ếch</t>
    <phoneticPr fontId="1"/>
  </si>
  <si>
    <t>22 Cây nem chua</t>
    <phoneticPr fontId="1"/>
  </si>
  <si>
    <t>50kg hành tím</t>
    <phoneticPr fontId="1"/>
  </si>
  <si>
    <t>48 Bánh đa vừng mè đen</t>
    <phoneticPr fontId="1"/>
  </si>
  <si>
    <t>日付： 14/05/2023(日 曜日)</t>
    <rPh sb="0" eb="2">
      <t>ヒヅケ</t>
    </rPh>
    <rPh sb="15" eb="16">
      <t>ニチ</t>
    </rPh>
    <rPh sb="17" eb="19">
      <t>ゲツ</t>
    </rPh>
    <phoneticPr fontId="1"/>
  </si>
  <si>
    <t>日付： 13/05/2023(土曜日)</t>
    <rPh sb="0" eb="2">
      <t>ヒヅケ</t>
    </rPh>
    <rPh sb="15" eb="16">
      <t>ド</t>
    </rPh>
    <rPh sb="16" eb="18">
      <t>ゲツ</t>
    </rPh>
    <phoneticPr fontId="1"/>
  </si>
  <si>
    <t>日付： 12/05/2023(金曜日)</t>
    <rPh sb="0" eb="2">
      <t>ヒヅケ</t>
    </rPh>
    <rPh sb="15" eb="16">
      <t>キn</t>
    </rPh>
    <rPh sb="16" eb="18">
      <t>ゲツ</t>
    </rPh>
    <phoneticPr fontId="1"/>
  </si>
  <si>
    <t>日付： 11/05/2023(木曜日)</t>
    <rPh sb="0" eb="2">
      <t>ヒヅケ</t>
    </rPh>
    <rPh sb="15" eb="16">
      <t>モク</t>
    </rPh>
    <rPh sb="16" eb="18">
      <t>ゲツ</t>
    </rPh>
    <phoneticPr fontId="1"/>
  </si>
  <si>
    <t>日付： 10/05/2023(水曜日)</t>
    <rPh sb="0" eb="2">
      <t>ヒヅケ</t>
    </rPh>
    <rPh sb="15" eb="16">
      <t>ミズ</t>
    </rPh>
    <rPh sb="16" eb="18">
      <t>ゲツ</t>
    </rPh>
    <phoneticPr fontId="1"/>
  </si>
  <si>
    <t>支払先</t>
    <rPh sb="0" eb="2">
      <t>ヒヅケミズゲツ</t>
    </rPh>
    <phoneticPr fontId="1"/>
  </si>
  <si>
    <t>日付： 09/05/2023(火曜日)</t>
    <rPh sb="0" eb="2">
      <t>ヒヅケ</t>
    </rPh>
    <rPh sb="15" eb="16">
      <t>カ</t>
    </rPh>
    <rPh sb="16" eb="18">
      <t>ゲツ</t>
    </rPh>
    <phoneticPr fontId="1"/>
  </si>
  <si>
    <t>日付： 08/05/2023(月曜日)</t>
    <rPh sb="0" eb="2">
      <t>ヒヅケ</t>
    </rPh>
    <rPh sb="15" eb="18">
      <t>ゲツ</t>
    </rPh>
    <phoneticPr fontId="1"/>
  </si>
  <si>
    <t>日付： 15/05/2023(月曜日)</t>
    <rPh sb="0" eb="2">
      <t>ヒヅケ</t>
    </rPh>
    <rPh sb="15" eb="16">
      <t>ゲツ</t>
    </rPh>
    <rPh sb="16" eb="18">
      <t>ゲツ</t>
    </rPh>
    <phoneticPr fontId="1"/>
  </si>
  <si>
    <t>日付： 16/05/2023(火曜日)</t>
    <rPh sb="0" eb="2">
      <t>ヒヅケ</t>
    </rPh>
    <rPh sb="15" eb="16">
      <t>カ</t>
    </rPh>
    <rPh sb="16" eb="18">
      <t>ゲツ</t>
    </rPh>
    <phoneticPr fontId="1"/>
  </si>
  <si>
    <t>日付： 17/05/2023(水曜日)</t>
    <rPh sb="0" eb="2">
      <t>ヒヅケ</t>
    </rPh>
    <rPh sb="15" eb="16">
      <t>スイ</t>
    </rPh>
    <rPh sb="16" eb="18">
      <t>ゲツ</t>
    </rPh>
    <phoneticPr fontId="1"/>
  </si>
  <si>
    <t>日付： 18/05/2023(木曜日)</t>
    <rPh sb="0" eb="2">
      <t>ヒヅケ</t>
    </rPh>
    <rPh sb="15" eb="16">
      <t>モク</t>
    </rPh>
    <rPh sb="16" eb="18">
      <t>ゲツ</t>
    </rPh>
    <phoneticPr fontId="1"/>
  </si>
  <si>
    <t>日付： 19/05/2023(金曜日)</t>
    <rPh sb="0" eb="2">
      <t>ヒヅケ</t>
    </rPh>
    <rPh sb="15" eb="16">
      <t>キn</t>
    </rPh>
    <rPh sb="16" eb="18">
      <t>ゲツ</t>
    </rPh>
    <phoneticPr fontId="1"/>
  </si>
  <si>
    <t>日付： 20/05/2023(土曜日)</t>
    <rPh sb="0" eb="2">
      <t>ヒヅケ</t>
    </rPh>
    <rPh sb="15" eb="16">
      <t>ド</t>
    </rPh>
    <rPh sb="16" eb="18">
      <t>ゲツ</t>
    </rPh>
    <phoneticPr fontId="1"/>
  </si>
  <si>
    <t>日付： 22/05/2023(月曜日)</t>
    <rPh sb="0" eb="2">
      <t>ヒヅケ</t>
    </rPh>
    <rPh sb="15" eb="17">
      <t>ゲツ</t>
    </rPh>
    <rPh sb="17" eb="18">
      <t>ニチ</t>
    </rPh>
    <phoneticPr fontId="1"/>
  </si>
  <si>
    <t>日付： 21/05/2023(日曜日)</t>
    <rPh sb="0" eb="2">
      <t>ヒヅケ</t>
    </rPh>
    <rPh sb="15" eb="16">
      <t>ニチ</t>
    </rPh>
    <rPh sb="16" eb="18">
      <t>ゲツ</t>
    </rPh>
    <phoneticPr fontId="1"/>
  </si>
  <si>
    <t>72 mắm tôm</t>
    <phoneticPr fontId="1"/>
  </si>
  <si>
    <t xml:space="preserve">PADMA株 </t>
    <rPh sb="5" eb="6">
      <t>カブ</t>
    </rPh>
    <phoneticPr fontId="1"/>
  </si>
  <si>
    <t>24 Vịt</t>
    <phoneticPr fontId="1"/>
  </si>
  <si>
    <t>Sachan株</t>
    <rPh sb="6" eb="7">
      <t>カブ</t>
    </rPh>
    <phoneticPr fontId="1"/>
  </si>
  <si>
    <t>10BBHue Vifon+ 10 Phở bò Vifon</t>
    <phoneticPr fontId="1"/>
  </si>
  <si>
    <t>50 gà ủ muối</t>
    <phoneticPr fontId="1"/>
  </si>
  <si>
    <t>30kg bắp heo rút xương</t>
    <phoneticPr fontId="1"/>
  </si>
  <si>
    <t>25 Set lòng dồi 1kg</t>
    <phoneticPr fontId="1"/>
  </si>
  <si>
    <t>VJG</t>
    <phoneticPr fontId="1"/>
  </si>
  <si>
    <t>6 Omachi bò + 6 Omachi chua cay</t>
    <phoneticPr fontId="1"/>
  </si>
  <si>
    <t>48 dừa khô</t>
    <phoneticPr fontId="1"/>
  </si>
  <si>
    <t>24 Vịt + 96 nước dừa + 48 nước xoài + 48 nước é</t>
    <phoneticPr fontId="1"/>
  </si>
  <si>
    <t>20 đùi gà + 15 chân gà + 48 gà ủ muối</t>
    <phoneticPr fontId="1"/>
  </si>
  <si>
    <t>Nishio</t>
    <phoneticPr fontId="1"/>
  </si>
  <si>
    <t>24 gà ủ muối</t>
    <phoneticPr fontId="1"/>
  </si>
  <si>
    <t>Kome株</t>
    <rPh sb="4" eb="5">
      <t>カブ</t>
    </rPh>
    <phoneticPr fontId="1"/>
  </si>
  <si>
    <t>Phồng tôm 20 + Tiêu xay 50 + Sữa dừa 24 + G7 25 + chanh muối 72</t>
    <phoneticPr fontId="1"/>
  </si>
  <si>
    <t>Da heo 8.2 + Bắp heo rút xương 28kg + Bắp heo cắt lát 19.28</t>
    <phoneticPr fontId="1"/>
  </si>
  <si>
    <t>Nem chua to</t>
    <phoneticPr fontId="1"/>
  </si>
  <si>
    <t xml:space="preserve">46kg xoài bao tử </t>
    <phoneticPr fontId="1"/>
  </si>
  <si>
    <t>144 tương ớt chinsu</t>
    <phoneticPr fontId="1"/>
  </si>
  <si>
    <t xml:space="preserve">75kg xoài cát chu </t>
    <phoneticPr fontId="1"/>
  </si>
  <si>
    <t>144 Sữa bắp non + 96 sữa kun dâu + 48 sữa kun cam + 144 Nam ngư</t>
    <phoneticPr fontId="1"/>
  </si>
  <si>
    <t>Bánh kẹo</t>
    <phoneticPr fontId="1"/>
  </si>
  <si>
    <t>96 Numberone + 72Mắm tôm Bắc</t>
    <phoneticPr fontId="1"/>
  </si>
  <si>
    <t xml:space="preserve">三島食鶏株 </t>
    <rPh sb="0" eb="2">
      <t>ミシマ</t>
    </rPh>
    <rPh sb="2" eb="3">
      <t>ショク</t>
    </rPh>
    <rPh sb="3" eb="4">
      <t>ニワ</t>
    </rPh>
    <rPh sb="4" eb="5">
      <t>カブ</t>
    </rPh>
    <phoneticPr fontId="1"/>
  </si>
  <si>
    <t>215kg gà đông lạnh</t>
    <phoneticPr fontId="1"/>
  </si>
  <si>
    <t>Găng tay</t>
    <phoneticPr fontId="1"/>
  </si>
  <si>
    <t>25kg gà đông lạnh</t>
    <phoneticPr fontId="1"/>
  </si>
  <si>
    <t>160 Bột canh Vifon</t>
    <phoneticPr fontId="1"/>
  </si>
  <si>
    <t>48 gà ủ muối</t>
    <phoneticPr fontId="1"/>
  </si>
  <si>
    <t>14 Gà trống to</t>
    <phoneticPr fontId="1"/>
  </si>
  <si>
    <t>138kg gà đông lạnh</t>
    <phoneticPr fontId="1"/>
  </si>
  <si>
    <t>Tiền Wifi</t>
    <phoneticPr fontId="1"/>
  </si>
  <si>
    <t xml:space="preserve">96kg móng heo </t>
    <phoneticPr fontId="1"/>
  </si>
  <si>
    <t>Tính nhầm</t>
    <phoneticPr fontId="1"/>
  </si>
  <si>
    <t>THANH TOÁN POINT</t>
    <phoneticPr fontId="1"/>
  </si>
  <si>
    <t>日付： 23/05/2023(火曜日)</t>
    <rPh sb="0" eb="2">
      <t>ヒヅケ</t>
    </rPh>
    <rPh sb="15" eb="16">
      <t>KA</t>
    </rPh>
    <rPh sb="16" eb="18">
      <t>ゲツ</t>
    </rPh>
    <phoneticPr fontId="1"/>
  </si>
  <si>
    <t>日付： 24/05/2023(水曜日)</t>
    <rPh sb="0" eb="2">
      <t>ヒヅケ</t>
    </rPh>
    <rPh sb="15" eb="16">
      <t>スイ</t>
    </rPh>
    <rPh sb="16" eb="18">
      <t>ゲツ</t>
    </rPh>
    <phoneticPr fontId="1"/>
  </si>
  <si>
    <t>10 omachi bò hầm</t>
    <phoneticPr fontId="1"/>
  </si>
  <si>
    <t>30kg bắp heo rút xương + 25kg sả</t>
    <phoneticPr fontId="1"/>
  </si>
  <si>
    <t>日付： 25/05/2023(木曜日)</t>
    <rPh sb="0" eb="2">
      <t>ヒヅケ</t>
    </rPh>
    <rPh sb="15" eb="16">
      <t>モク</t>
    </rPh>
    <rPh sb="16" eb="18">
      <t>ゲツ</t>
    </rPh>
    <phoneticPr fontId="1"/>
  </si>
  <si>
    <t>60 sứa</t>
    <phoneticPr fontId="1"/>
  </si>
  <si>
    <t>72 Vịt</t>
    <phoneticPr fontId="1"/>
  </si>
  <si>
    <t>日付： 26/05/2023(金曜日)</t>
    <rPh sb="0" eb="2">
      <t>ヒヅケ</t>
    </rPh>
    <rPh sb="15" eb="16">
      <t>キn</t>
    </rPh>
    <rPh sb="16" eb="18">
      <t>ゲツ</t>
    </rPh>
    <phoneticPr fontId="1"/>
  </si>
  <si>
    <t xml:space="preserve">Oba </t>
    <phoneticPr fontId="1"/>
  </si>
  <si>
    <t>50kg xoài + 48 dừa</t>
    <phoneticPr fontId="1"/>
  </si>
  <si>
    <t>21kg xoài bao tử</t>
    <phoneticPr fontId="1"/>
  </si>
  <si>
    <t>30 Nem chua</t>
    <phoneticPr fontId="1"/>
  </si>
  <si>
    <t xml:space="preserve">Tonderu 株 </t>
    <phoneticPr fontId="1"/>
  </si>
  <si>
    <t>28kg hành + 56kg sả</t>
    <phoneticPr fontId="1"/>
  </si>
  <si>
    <t>日付： 27/05/2023(土曜日)</t>
    <rPh sb="0" eb="2">
      <t>ヒヅケ</t>
    </rPh>
    <rPh sb="15" eb="16">
      <t>ド</t>
    </rPh>
    <rPh sb="16" eb="18">
      <t>ゲツ</t>
    </rPh>
    <phoneticPr fontId="1"/>
  </si>
  <si>
    <t>Fai</t>
    <phoneticPr fontId="1"/>
  </si>
  <si>
    <t>36 dừa + 28kg hành tím + 28kg sả</t>
    <phoneticPr fontId="1"/>
  </si>
  <si>
    <t>日付： 28/05/2023(日曜日)</t>
    <rPh sb="0" eb="2">
      <t>ヒヅケ</t>
    </rPh>
    <rPh sb="15" eb="16">
      <t>ニチ</t>
    </rPh>
    <rPh sb="16" eb="18">
      <t>ゲツ</t>
    </rPh>
    <phoneticPr fontId="1"/>
  </si>
  <si>
    <t>150 bún Safoco</t>
    <phoneticPr fontId="1"/>
  </si>
  <si>
    <t>144 Nam Ngư</t>
    <phoneticPr fontId="1"/>
  </si>
  <si>
    <t>Xoài bao tử + Mướp</t>
    <phoneticPr fontId="1"/>
  </si>
  <si>
    <t>日付： 29/05/2023(月曜日)</t>
    <rPh sb="0" eb="2">
      <t>ヒヅケ</t>
    </rPh>
    <rPh sb="15" eb="16">
      <t>ゲツ</t>
    </rPh>
    <rPh sb="16" eb="18">
      <t>ゲツ</t>
    </rPh>
    <phoneticPr fontId="1"/>
  </si>
  <si>
    <t>日付： 30/05/2023(火曜日)</t>
    <rPh sb="0" eb="2">
      <t>ヒヅケ</t>
    </rPh>
    <rPh sb="15" eb="16">
      <t>カ</t>
    </rPh>
    <rPh sb="16" eb="18">
      <t>ゲツ</t>
    </rPh>
    <phoneticPr fontId="1"/>
  </si>
  <si>
    <t>日付：  31/05/2023(水曜日)</t>
    <rPh sb="0" eb="2">
      <t>ヒヅケ</t>
    </rPh>
    <rPh sb="16" eb="17">
      <t>スイ</t>
    </rPh>
    <rPh sb="17" eb="19">
      <t>ゲツ</t>
    </rPh>
    <phoneticPr fontId="1"/>
  </si>
  <si>
    <t>96 sữa ông thọ + 144 Chinsu</t>
    <phoneticPr fontId="1"/>
  </si>
  <si>
    <t>MiRai</t>
    <phoneticPr fontId="1"/>
  </si>
  <si>
    <t>Rau muống</t>
    <phoneticPr fontId="1"/>
  </si>
  <si>
    <t>50kg Sả +25kg  ớt đông</t>
    <phoneticPr fontId="1"/>
  </si>
  <si>
    <t>12 Bún safoco</t>
    <phoneticPr fontId="1"/>
  </si>
  <si>
    <t>72 sting + 72 sting vàng</t>
    <phoneticPr fontId="1"/>
  </si>
  <si>
    <t xml:space="preserve">Bột + Barona </t>
    <phoneticPr fontId="1"/>
  </si>
  <si>
    <t>Tai heo</t>
    <phoneticPr fontId="1"/>
  </si>
  <si>
    <t>LUỸ KẾ</t>
    <phoneticPr fontId="1"/>
  </si>
  <si>
    <t>Chênh lệch</t>
    <phoneticPr fontId="1"/>
  </si>
  <si>
    <t>Huỷ đơn</t>
    <phoneticPr fontId="1"/>
  </si>
  <si>
    <t>Hàng hỏng</t>
    <phoneticPr fontId="1"/>
  </si>
  <si>
    <t xml:space="preserve">Chênh lệch </t>
    <phoneticPr fontId="1"/>
  </si>
  <si>
    <t>A Thái</t>
    <phoneticPr fontId="1"/>
  </si>
  <si>
    <t>C Hiền</t>
    <phoneticPr fontId="1"/>
  </si>
  <si>
    <t>Nhàn</t>
    <phoneticPr fontId="1"/>
  </si>
  <si>
    <t>売上</t>
    <rPh sb="0" eb="2">
      <t>ウリアゲ</t>
    </rPh>
    <phoneticPr fontId="1"/>
  </si>
  <si>
    <t>支出</t>
    <rPh sb="0" eb="2">
      <t>シシュツ</t>
    </rPh>
    <phoneticPr fontId="1"/>
  </si>
  <si>
    <t>SHIP BĐ</t>
    <phoneticPr fontId="1"/>
  </si>
  <si>
    <t xml:space="preserve"> </t>
    <phoneticPr fontId="1"/>
  </si>
  <si>
    <t>Thuê ship</t>
    <phoneticPr fontId="1"/>
  </si>
  <si>
    <t>THÁNG</t>
    <phoneticPr fontId="1"/>
  </si>
  <si>
    <t>RÚT</t>
    <phoneticPr fontId="1"/>
  </si>
  <si>
    <t>デリバリ</t>
    <phoneticPr fontId="1"/>
  </si>
  <si>
    <t>累計</t>
    <rPh sb="0" eb="2">
      <t>ルイケイ</t>
    </rPh>
    <phoneticPr fontId="1"/>
  </si>
  <si>
    <t>配達</t>
    <rPh sb="0" eb="2">
      <t>ハイタツ</t>
    </rPh>
    <phoneticPr fontId="1"/>
  </si>
  <si>
    <t>数</t>
    <rPh sb="0" eb="1">
      <t>スウ</t>
    </rPh>
    <phoneticPr fontId="1"/>
  </si>
  <si>
    <t>Chị Hiền</t>
    <phoneticPr fontId="1"/>
  </si>
  <si>
    <t>Cưng</t>
    <phoneticPr fontId="1"/>
  </si>
  <si>
    <t>Hỗ trợ ship BĐ</t>
    <phoneticPr fontId="1"/>
  </si>
  <si>
    <r>
      <rPr>
        <sz val="14"/>
        <color theme="1"/>
        <rFont val="游ゴシック"/>
        <family val="3"/>
        <charset val="128"/>
      </rPr>
      <t>火</t>
    </r>
  </si>
  <si>
    <r>
      <rPr>
        <sz val="14"/>
        <color theme="1"/>
        <rFont val="游ゴシック"/>
        <family val="3"/>
        <charset val="128"/>
      </rPr>
      <t>水</t>
    </r>
  </si>
  <si>
    <r>
      <rPr>
        <sz val="14"/>
        <color theme="1"/>
        <rFont val="游ゴシック"/>
        <family val="3"/>
        <charset val="128"/>
      </rPr>
      <t>木</t>
    </r>
  </si>
  <si>
    <r>
      <rPr>
        <b/>
        <sz val="14"/>
        <color theme="1"/>
        <rFont val="游ゴシック"/>
        <family val="3"/>
        <charset val="128"/>
      </rPr>
      <t>金</t>
    </r>
  </si>
  <si>
    <r>
      <rPr>
        <b/>
        <sz val="14"/>
        <color theme="1"/>
        <rFont val="游ゴシック"/>
        <family val="3"/>
        <charset val="128"/>
      </rPr>
      <t>土</t>
    </r>
  </si>
  <si>
    <r>
      <rPr>
        <b/>
        <sz val="14"/>
        <color theme="1"/>
        <rFont val="游ゴシック"/>
        <family val="3"/>
        <charset val="128"/>
      </rPr>
      <t>日</t>
    </r>
  </si>
  <si>
    <r>
      <rPr>
        <sz val="14"/>
        <color theme="1"/>
        <rFont val="游ゴシック"/>
        <family val="3"/>
        <charset val="128"/>
      </rPr>
      <t>月</t>
    </r>
  </si>
  <si>
    <t>LƯƠNG - 給与</t>
    <rPh sb="8" eb="10">
      <t>キュウヨ</t>
    </rPh>
    <phoneticPr fontId="1"/>
  </si>
  <si>
    <t>A. Giang</t>
    <phoneticPr fontId="1"/>
  </si>
  <si>
    <t>A.Thái</t>
    <phoneticPr fontId="1"/>
  </si>
  <si>
    <t>C.Hiền</t>
    <phoneticPr fontId="1"/>
  </si>
  <si>
    <t>HỖ TRỢ</t>
    <phoneticPr fontId="1"/>
  </si>
  <si>
    <t>CHI KHÁC - その他</t>
    <phoneticPr fontId="1"/>
  </si>
  <si>
    <t>HUỶ ĐƠN</t>
    <phoneticPr fontId="1"/>
  </si>
  <si>
    <t>CHÊNH LỆCH</t>
    <phoneticPr fontId="1"/>
  </si>
  <si>
    <r>
      <rPr>
        <b/>
        <sz val="14"/>
        <color theme="1"/>
        <rFont val="游ゴシック"/>
        <family val="3"/>
        <charset val="128"/>
      </rPr>
      <t>金</t>
    </r>
    <r>
      <rPr>
        <sz val="12"/>
        <color theme="1"/>
        <rFont val="Arial"/>
        <family val="2"/>
        <charset val="128"/>
        <scheme val="minor"/>
      </rPr>
      <t/>
    </r>
  </si>
  <si>
    <r>
      <rPr>
        <b/>
        <sz val="14"/>
        <color theme="1"/>
        <rFont val="游ゴシック"/>
        <family val="3"/>
        <charset val="128"/>
      </rPr>
      <t>土</t>
    </r>
    <r>
      <rPr>
        <sz val="12"/>
        <color theme="1"/>
        <rFont val="Arial"/>
        <family val="2"/>
        <charset val="128"/>
        <scheme val="minor"/>
      </rPr>
      <t/>
    </r>
  </si>
  <si>
    <r>
      <rPr>
        <b/>
        <sz val="14"/>
        <color theme="1"/>
        <rFont val="游ゴシック"/>
        <family val="3"/>
        <charset val="128"/>
      </rPr>
      <t>日</t>
    </r>
    <r>
      <rPr>
        <sz val="12"/>
        <color theme="1"/>
        <rFont val="Arial"/>
        <family val="2"/>
        <charset val="128"/>
        <scheme val="minor"/>
      </rPr>
      <t/>
    </r>
  </si>
  <si>
    <r>
      <rPr>
        <sz val="14"/>
        <color theme="1"/>
        <rFont val="游ゴシック"/>
        <family val="3"/>
        <charset val="128"/>
      </rPr>
      <t>月</t>
    </r>
    <r>
      <rPr>
        <sz val="12"/>
        <color theme="1"/>
        <rFont val="Arial"/>
        <family val="2"/>
        <charset val="128"/>
        <scheme val="minor"/>
      </rPr>
      <t/>
    </r>
  </si>
  <si>
    <r>
      <rPr>
        <sz val="14"/>
        <color theme="1"/>
        <rFont val="游ゴシック"/>
        <family val="3"/>
        <charset val="128"/>
      </rPr>
      <t>火</t>
    </r>
    <r>
      <rPr>
        <sz val="12"/>
        <color theme="1"/>
        <rFont val="Arial"/>
        <family val="2"/>
        <charset val="128"/>
        <scheme val="minor"/>
      </rPr>
      <t/>
    </r>
  </si>
  <si>
    <r>
      <rPr>
        <sz val="14"/>
        <color theme="1"/>
        <rFont val="游ゴシック"/>
        <family val="3"/>
        <charset val="128"/>
      </rPr>
      <t>水</t>
    </r>
    <r>
      <rPr>
        <sz val="12"/>
        <color theme="1"/>
        <rFont val="Arial"/>
        <family val="2"/>
        <charset val="128"/>
        <scheme val="minor"/>
      </rPr>
      <t/>
    </r>
  </si>
  <si>
    <r>
      <rPr>
        <sz val="14"/>
        <color theme="1"/>
        <rFont val="游ゴシック"/>
        <family val="3"/>
        <charset val="128"/>
      </rPr>
      <t>木</t>
    </r>
    <r>
      <rPr>
        <sz val="12"/>
        <color theme="1"/>
        <rFont val="Arial"/>
        <family val="2"/>
        <charset val="128"/>
        <scheme val="minor"/>
      </rPr>
      <t/>
    </r>
  </si>
  <si>
    <t>XĂNG XE</t>
    <phoneticPr fontId="1"/>
  </si>
  <si>
    <t>THUÊ XE</t>
    <phoneticPr fontId="1"/>
  </si>
  <si>
    <t>TRẢ - HUỶ</t>
    <phoneticPr fontId="1"/>
  </si>
  <si>
    <t>社会保険</t>
    <rPh sb="0" eb="4">
      <t>SHAKA</t>
    </rPh>
    <phoneticPr fontId="1"/>
  </si>
  <si>
    <t>Anh Minh</t>
    <phoneticPr fontId="1"/>
  </si>
  <si>
    <t>参考</t>
    <rPh sb="0" eb="2">
      <t>サンコウ</t>
    </rPh>
    <phoneticPr fontId="1"/>
  </si>
  <si>
    <t>Khác</t>
    <phoneticPr fontId="1"/>
  </si>
  <si>
    <t>ĐI LẠI</t>
    <phoneticPr fontId="1"/>
  </si>
  <si>
    <t>CHI PHÍ CỐ ĐỊNH THÁNG</t>
    <phoneticPr fontId="1"/>
  </si>
  <si>
    <t>TIỀN ĐIỆN</t>
    <phoneticPr fontId="1"/>
  </si>
  <si>
    <t>TIỀN NƯỚC</t>
    <phoneticPr fontId="1"/>
  </si>
  <si>
    <t>TIỀN WIFI</t>
    <phoneticPr fontId="1"/>
  </si>
  <si>
    <t>TIỀN LƯƠNG</t>
    <phoneticPr fontId="1"/>
  </si>
  <si>
    <t xml:space="preserve">BẢNG LỢI NHUẬN </t>
    <phoneticPr fontId="1"/>
  </si>
  <si>
    <t>THIẾU</t>
    <phoneticPr fontId="1"/>
  </si>
  <si>
    <t>KIỂM TOÁN TRONG NGÀY :</t>
    <phoneticPr fontId="1"/>
  </si>
  <si>
    <t>SỐ TIỀN</t>
    <phoneticPr fontId="1"/>
  </si>
  <si>
    <t>NƠI CHI</t>
    <phoneticPr fontId="1"/>
  </si>
  <si>
    <t>CHI</t>
  </si>
  <si>
    <t>CHI TIẾT</t>
  </si>
  <si>
    <t>MỤC</t>
  </si>
  <si>
    <t>Thuốc lá</t>
    <phoneticPr fontId="1"/>
  </si>
  <si>
    <t>Bãi xe</t>
    <phoneticPr fontId="1"/>
  </si>
  <si>
    <t>その他</t>
    <phoneticPr fontId="1"/>
  </si>
  <si>
    <t>消耗品</t>
    <rPh sb="0" eb="3">
      <t>ショウモウ</t>
    </rPh>
    <phoneticPr fontId="1"/>
  </si>
  <si>
    <t>食材</t>
    <rPh sb="0" eb="2">
      <t>ショク</t>
    </rPh>
    <phoneticPr fontId="1"/>
  </si>
  <si>
    <t>Bim bim mix</t>
    <phoneticPr fontId="1"/>
  </si>
  <si>
    <t>TỔNG THEO MỤC</t>
    <phoneticPr fontId="1"/>
  </si>
  <si>
    <t>Cao tốc</t>
    <phoneticPr fontId="1"/>
  </si>
  <si>
    <t>Phí qua hầm</t>
    <phoneticPr fontId="1"/>
  </si>
  <si>
    <t>Tiền nước tháng 9</t>
    <phoneticPr fontId="1"/>
  </si>
  <si>
    <t>Sả tươi + Number</t>
    <phoneticPr fontId="1"/>
  </si>
  <si>
    <t>Vịt đông lạnh</t>
    <phoneticPr fontId="1"/>
  </si>
  <si>
    <t>米</t>
    <rPh sb="0" eb="1">
      <t>コメ</t>
    </rPh>
    <phoneticPr fontId="1"/>
  </si>
  <si>
    <t>水代</t>
    <rPh sb="0" eb="2">
      <t>ミズ</t>
    </rPh>
    <phoneticPr fontId="1"/>
  </si>
  <si>
    <t>食材</t>
    <rPh sb="0" eb="1">
      <t>ショクズ</t>
    </rPh>
    <phoneticPr fontId="1"/>
  </si>
  <si>
    <r>
      <rPr>
        <sz val="18"/>
        <color theme="1"/>
        <rFont val="游ゴシック"/>
        <family val="2"/>
        <charset val="128"/>
      </rPr>
      <t>食材</t>
    </r>
    <rPh sb="0" eb="2">
      <t>ショク</t>
    </rPh>
    <phoneticPr fontId="1"/>
  </si>
  <si>
    <r>
      <rPr>
        <sz val="18"/>
        <color theme="1"/>
        <rFont val="游ゴシック"/>
        <family val="2"/>
        <charset val="128"/>
      </rPr>
      <t>消耗品</t>
    </r>
    <rPh sb="0" eb="3">
      <t>ショウモウ</t>
    </rPh>
    <phoneticPr fontId="1"/>
  </si>
  <si>
    <r>
      <rPr>
        <sz val="18"/>
        <color theme="1"/>
        <rFont val="游ゴシック"/>
        <family val="2"/>
        <charset val="128"/>
      </rPr>
      <t>家賃</t>
    </r>
    <rPh sb="0" eb="2">
      <t>ヤチn</t>
    </rPh>
    <phoneticPr fontId="1"/>
  </si>
  <si>
    <r>
      <rPr>
        <sz val="18"/>
        <color theme="1"/>
        <rFont val="游ゴシック"/>
        <family val="2"/>
        <charset val="128"/>
      </rPr>
      <t>水代</t>
    </r>
    <rPh sb="0" eb="2">
      <t>ミズダイ</t>
    </rPh>
    <phoneticPr fontId="1"/>
  </si>
  <si>
    <r>
      <rPr>
        <sz val="18"/>
        <color theme="1"/>
        <rFont val="游ゴシック"/>
        <family val="2"/>
        <charset val="128"/>
      </rPr>
      <t>電気代</t>
    </r>
    <rPh sb="0" eb="3">
      <t>デンキ</t>
    </rPh>
    <phoneticPr fontId="1"/>
  </si>
  <si>
    <r>
      <rPr>
        <sz val="18"/>
        <color theme="1"/>
        <rFont val="游ゴシック"/>
        <family val="2"/>
        <charset val="128"/>
      </rPr>
      <t>米</t>
    </r>
    <rPh sb="0" eb="1">
      <t>コメ</t>
    </rPh>
    <phoneticPr fontId="1"/>
  </si>
  <si>
    <r>
      <rPr>
        <sz val="18"/>
        <color theme="1"/>
        <rFont val="游ゴシック"/>
        <family val="2"/>
        <charset val="128"/>
      </rPr>
      <t>その他</t>
    </r>
    <phoneticPr fontId="1"/>
  </si>
  <si>
    <t>Chè đông lạnh</t>
    <phoneticPr fontId="1"/>
  </si>
  <si>
    <t>Mướp</t>
    <phoneticPr fontId="1"/>
  </si>
  <si>
    <t>Pía mini</t>
    <phoneticPr fontId="1"/>
  </si>
  <si>
    <t>Chuối xanh</t>
    <phoneticPr fontId="1"/>
  </si>
  <si>
    <t>Sữa TH socola</t>
    <phoneticPr fontId="1"/>
  </si>
  <si>
    <t>Mì chính</t>
    <phoneticPr fontId="1"/>
  </si>
  <si>
    <t>Bắp heo rút xương</t>
    <phoneticPr fontId="1"/>
  </si>
  <si>
    <t>Sả tươi</t>
    <phoneticPr fontId="1"/>
  </si>
  <si>
    <t>ガソリン</t>
    <phoneticPr fontId="1"/>
  </si>
  <si>
    <t>Xăng</t>
    <phoneticPr fontId="1"/>
  </si>
  <si>
    <t xml:space="preserve">Ba chỉ </t>
    <phoneticPr fontId="1"/>
  </si>
  <si>
    <t>食材</t>
    <rPh sb="0" eb="1">
      <t>ショク</t>
    </rPh>
    <phoneticPr fontId="1"/>
  </si>
  <si>
    <t>Túi rác</t>
    <phoneticPr fontId="1"/>
  </si>
  <si>
    <t>Sữa Milo</t>
    <phoneticPr fontId="1"/>
  </si>
  <si>
    <t>Nam ngư</t>
    <phoneticPr fontId="1"/>
  </si>
  <si>
    <t>Hoa chuối</t>
    <phoneticPr fontId="1"/>
  </si>
  <si>
    <t>Cá basa</t>
    <phoneticPr fontId="1"/>
  </si>
  <si>
    <t>消耗品</t>
    <rPh sb="0" eb="1">
      <t>ショウモウ</t>
    </rPh>
    <phoneticPr fontId="1"/>
  </si>
  <si>
    <t>食材</t>
    <rPh sb="0" eb="2">
      <t>ショクズ</t>
    </rPh>
    <phoneticPr fontId="1"/>
  </si>
  <si>
    <t>消耗品</t>
    <rPh sb="0" eb="3">
      <t>ショウモウヒン</t>
    </rPh>
    <phoneticPr fontId="1"/>
  </si>
  <si>
    <t>Sả + ớt</t>
    <phoneticPr fontId="1"/>
  </si>
  <si>
    <t>G7</t>
    <phoneticPr fontId="1"/>
  </si>
  <si>
    <t>Phở gà</t>
    <phoneticPr fontId="1"/>
  </si>
  <si>
    <t>Sữa kun</t>
    <phoneticPr fontId="1"/>
  </si>
  <si>
    <t>Bún Vifon</t>
    <phoneticPr fontId="1"/>
  </si>
  <si>
    <t>Cá + ớt</t>
    <phoneticPr fontId="1"/>
  </si>
  <si>
    <t>食材</t>
    <rPh sb="0" eb="2">
      <t>ショクザイ</t>
    </rPh>
    <phoneticPr fontId="1"/>
  </si>
  <si>
    <t>Sả + Hành</t>
    <phoneticPr fontId="1"/>
  </si>
  <si>
    <t>Lòng non</t>
    <phoneticPr fontId="1"/>
  </si>
  <si>
    <t>Khấu đuôi</t>
    <phoneticPr fontId="1"/>
  </si>
  <si>
    <t>Gia vị</t>
    <phoneticPr fontId="1"/>
  </si>
  <si>
    <t>食材</t>
    <rPh sb="0" eb="2">
      <t>ショクsh</t>
    </rPh>
    <phoneticPr fontId="1"/>
  </si>
  <si>
    <t>TD Mart</t>
    <phoneticPr fontId="1"/>
  </si>
  <si>
    <t>Lạc</t>
    <phoneticPr fontId="1"/>
  </si>
  <si>
    <t>Ớt + bò húc</t>
    <phoneticPr fontId="1"/>
  </si>
  <si>
    <t>Tiền điện T9</t>
    <phoneticPr fontId="1"/>
  </si>
  <si>
    <t>Phí ship Yamato</t>
    <phoneticPr fontId="1"/>
  </si>
  <si>
    <t>Café</t>
    <phoneticPr fontId="1"/>
  </si>
  <si>
    <r>
      <rPr>
        <sz val="18"/>
        <color theme="1"/>
        <rFont val="ＭＳ Ｐ明朝"/>
        <family val="1"/>
        <charset val="128"/>
      </rPr>
      <t>消耗品</t>
    </r>
    <rPh sb="0" eb="3">
      <t>ショウモウヒン</t>
    </rPh>
    <phoneticPr fontId="1"/>
  </si>
  <si>
    <r>
      <rPr>
        <sz val="18"/>
        <color theme="1"/>
        <rFont val="ＭＳ Ｐ明朝"/>
        <family val="1"/>
        <charset val="128"/>
      </rPr>
      <t>電気代</t>
    </r>
    <rPh sb="0" eb="3">
      <t>デンキダイ</t>
    </rPh>
    <phoneticPr fontId="1"/>
  </si>
  <si>
    <t>Tiểu ngạch</t>
    <phoneticPr fontId="1"/>
  </si>
  <si>
    <r>
      <rPr>
        <sz val="18"/>
        <color theme="1"/>
        <rFont val="ＭＳ Ｐ明朝"/>
        <family val="1"/>
        <charset val="128"/>
      </rPr>
      <t>その他</t>
    </r>
    <phoneticPr fontId="1"/>
  </si>
  <si>
    <t>Tràng heo</t>
    <phoneticPr fontId="1"/>
  </si>
  <si>
    <r>
      <rPr>
        <sz val="18"/>
        <color theme="1"/>
        <rFont val="ＭＳ Ｐ明朝"/>
        <family val="1"/>
        <charset val="128"/>
      </rPr>
      <t>Ｂ</t>
    </r>
    <r>
      <rPr>
        <sz val="18"/>
        <color theme="1"/>
        <rFont val="Times New Roman"/>
        <family val="1"/>
      </rPr>
      <t xml:space="preserve">ánh Tipo </t>
    </r>
    <phoneticPr fontId="1"/>
  </si>
  <si>
    <t>Nem chua rán</t>
    <phoneticPr fontId="1"/>
  </si>
  <si>
    <t>Phí cao tốc</t>
    <phoneticPr fontId="1"/>
  </si>
  <si>
    <t>Phí đi hầm</t>
    <phoneticPr fontId="1"/>
  </si>
  <si>
    <t xml:space="preserve">Xăng </t>
    <phoneticPr fontId="1"/>
  </si>
  <si>
    <t xml:space="preserve">Tiểu ngạch </t>
    <phoneticPr fontId="1"/>
  </si>
  <si>
    <t xml:space="preserve">Móng heo </t>
    <phoneticPr fontId="1"/>
  </si>
  <si>
    <t xml:space="preserve">   </t>
    <phoneticPr fontId="1"/>
  </si>
  <si>
    <t xml:space="preserve">Sườn già </t>
    <phoneticPr fontId="1"/>
  </si>
  <si>
    <t xml:space="preserve">  </t>
    <phoneticPr fontId="1"/>
  </si>
  <si>
    <t xml:space="preserve">Lòng non </t>
    <phoneticPr fontId="1"/>
  </si>
  <si>
    <t xml:space="preserve">TD Mart </t>
    <phoneticPr fontId="1"/>
  </si>
  <si>
    <t>Tương ớt</t>
    <phoneticPr fontId="1"/>
  </si>
  <si>
    <t>Cuống họng</t>
    <phoneticPr fontId="1"/>
  </si>
  <si>
    <t xml:space="preserve">Nam ngư </t>
    <phoneticPr fontId="1"/>
  </si>
  <si>
    <t>Chợ sỹ</t>
    <phoneticPr fontId="1"/>
  </si>
  <si>
    <t xml:space="preserve">Băng dính </t>
    <phoneticPr fontId="1"/>
  </si>
  <si>
    <t xml:space="preserve">Dạ dày  </t>
    <phoneticPr fontId="1"/>
  </si>
  <si>
    <t>Gà hỏng</t>
    <phoneticPr fontId="1"/>
  </si>
  <si>
    <t>Dạ dày</t>
    <phoneticPr fontId="1"/>
  </si>
  <si>
    <t>Vịt CP</t>
    <phoneticPr fontId="1"/>
  </si>
  <si>
    <r>
      <rPr>
        <sz val="18"/>
        <color theme="1"/>
        <rFont val="ＭＳ 明朝"/>
        <family val="1"/>
        <charset val="128"/>
      </rPr>
      <t>消耗品</t>
    </r>
    <rPh sb="0" eb="3">
      <t>ショウモウヒン</t>
    </rPh>
    <phoneticPr fontId="1"/>
  </si>
  <si>
    <r>
      <rPr>
        <sz val="18"/>
        <color theme="1"/>
        <rFont val="ＭＳ 明朝"/>
        <family val="1"/>
        <charset val="128"/>
      </rPr>
      <t>ガソリン</t>
    </r>
    <phoneticPr fontId="1"/>
  </si>
  <si>
    <t>Thay nhớt</t>
    <phoneticPr fontId="1"/>
  </si>
  <si>
    <r>
      <rPr>
        <sz val="18"/>
        <color theme="1"/>
        <rFont val="ＭＳ 明朝"/>
        <family val="1"/>
        <charset val="128"/>
      </rPr>
      <t>その他</t>
    </r>
    <phoneticPr fontId="1"/>
  </si>
  <si>
    <r>
      <rPr>
        <sz val="18"/>
        <color theme="1"/>
        <rFont val="ＭＳ Ｐ明朝"/>
        <family val="1"/>
        <charset val="128"/>
      </rPr>
      <t>米</t>
    </r>
    <rPh sb="0" eb="1">
      <t>コメ</t>
    </rPh>
    <phoneticPr fontId="1"/>
  </si>
  <si>
    <r>
      <rPr>
        <sz val="18"/>
        <color theme="1"/>
        <rFont val="ＭＳ 明朝"/>
        <family val="1"/>
        <charset val="128"/>
      </rPr>
      <t>食材</t>
    </r>
    <rPh sb="0" eb="2">
      <t>ショクザイ</t>
    </rPh>
    <phoneticPr fontId="1"/>
  </si>
  <si>
    <r>
      <rPr>
        <sz val="18"/>
        <color theme="1"/>
        <rFont val="ＭＳ Ｐ明朝"/>
        <family val="1"/>
        <charset val="128"/>
      </rPr>
      <t>食材</t>
    </r>
    <rPh sb="0" eb="2">
      <t>ショクザイ</t>
    </rPh>
    <phoneticPr fontId="1"/>
  </si>
  <si>
    <r>
      <rPr>
        <sz val="18"/>
        <color theme="1"/>
        <rFont val="ＭＳ 明朝"/>
        <family val="1"/>
        <charset val="128"/>
      </rPr>
      <t>米</t>
    </r>
    <rPh sb="0" eb="1">
      <t>コメ</t>
    </rPh>
    <phoneticPr fontId="1"/>
  </si>
  <si>
    <r>
      <rPr>
        <sz val="18"/>
        <color theme="1"/>
        <rFont val="ＭＳ 明朝"/>
        <family val="1"/>
        <charset val="128"/>
      </rPr>
      <t>Ｂ</t>
    </r>
    <r>
      <rPr>
        <sz val="18"/>
        <color theme="1"/>
        <rFont val="Times New Roman"/>
        <family val="1"/>
      </rPr>
      <t xml:space="preserve">ánh Tipo  </t>
    </r>
    <phoneticPr fontId="1"/>
  </si>
  <si>
    <t>Lá chuối</t>
    <phoneticPr fontId="1"/>
  </si>
  <si>
    <t xml:space="preserve">Bánh tráng </t>
    <phoneticPr fontId="1"/>
  </si>
  <si>
    <t xml:space="preserve">Cao tốc </t>
    <phoneticPr fontId="1"/>
  </si>
  <si>
    <t xml:space="preserve">Sả </t>
    <phoneticPr fontId="1"/>
  </si>
  <si>
    <t xml:space="preserve">Tai heo </t>
    <phoneticPr fontId="1"/>
  </si>
  <si>
    <t xml:space="preserve">Nem chua rán </t>
    <phoneticPr fontId="1"/>
  </si>
  <si>
    <t>Chả quế</t>
    <phoneticPr fontId="1"/>
  </si>
  <si>
    <t xml:space="preserve">Ba chỉ  </t>
    <phoneticPr fontId="1"/>
  </si>
  <si>
    <t>家賃</t>
    <rPh sb="0" eb="2">
      <t>ヤチン</t>
    </rPh>
    <phoneticPr fontId="1"/>
  </si>
  <si>
    <t>Đỗ xanh</t>
    <phoneticPr fontId="1"/>
  </si>
  <si>
    <t xml:space="preserve">Gà </t>
    <phoneticPr fontId="1"/>
  </si>
  <si>
    <t>Chim cút</t>
    <phoneticPr fontId="1"/>
  </si>
  <si>
    <t xml:space="preserve">Yamato </t>
    <phoneticPr fontId="1"/>
  </si>
  <si>
    <t>Nam Ngư</t>
    <phoneticPr fontId="1"/>
  </si>
  <si>
    <t xml:space="preserve">Chợ sỹ </t>
    <phoneticPr fontId="1"/>
  </si>
  <si>
    <t>0/12/2023</t>
    <phoneticPr fontId="1"/>
  </si>
  <si>
    <t>CHI KHÁC</t>
    <phoneticPr fontId="1"/>
  </si>
  <si>
    <t>Giảm giá HD</t>
    <phoneticPr fontId="1"/>
  </si>
  <si>
    <t>TỔNG CHI</t>
    <phoneticPr fontId="1"/>
  </si>
  <si>
    <t>KHÁCH CK :</t>
    <phoneticPr fontId="1"/>
  </si>
  <si>
    <t xml:space="preserve">SHIP </t>
    <phoneticPr fontId="1"/>
  </si>
  <si>
    <t>TỔNG TIỀN</t>
    <phoneticPr fontId="1"/>
  </si>
  <si>
    <t xml:space="preserve">DOANH THU </t>
    <phoneticPr fontId="1"/>
  </si>
  <si>
    <t xml:space="preserve">TIỀN KÉT </t>
    <phoneticPr fontId="1"/>
  </si>
  <si>
    <t xml:space="preserve">SHIP BƯU ĐIỆN </t>
    <phoneticPr fontId="1"/>
  </si>
  <si>
    <t xml:space="preserve">TRẢ HÀNG </t>
    <phoneticPr fontId="1"/>
  </si>
  <si>
    <t xml:space="preserve">TT ĐIỂM </t>
    <phoneticPr fontId="1"/>
  </si>
  <si>
    <t xml:space="preserve">TỔNG TIỀN MẶT </t>
    <phoneticPr fontId="1"/>
  </si>
  <si>
    <t>Khấu hao</t>
    <phoneticPr fontId="1"/>
  </si>
  <si>
    <t>Bảo hiểm quán</t>
    <phoneticPr fontId="1"/>
  </si>
  <si>
    <t>Bảo hiểm quán **</t>
    <phoneticPr fontId="1"/>
  </si>
  <si>
    <t>Lương *</t>
    <phoneticPr fontId="1"/>
  </si>
  <si>
    <t>Lương CB</t>
    <phoneticPr fontId="1"/>
  </si>
  <si>
    <t>Ship ngoài giờ</t>
    <phoneticPr fontId="1"/>
  </si>
  <si>
    <r>
      <t xml:space="preserve">Bổ sung </t>
    </r>
    <r>
      <rPr>
        <sz val="14"/>
        <rFont val="ＭＳ Ｐ明朝"/>
        <family val="1"/>
        <charset val="128"/>
      </rPr>
      <t>補足</t>
    </r>
    <rPh sb="8" eb="10">
      <t>ホソク</t>
    </rPh>
    <phoneticPr fontId="1"/>
  </si>
  <si>
    <t>TÀI SẢN CÔNG TY</t>
    <phoneticPr fontId="1"/>
  </si>
  <si>
    <t>LỢI NHUẬN GỘP</t>
    <phoneticPr fontId="1"/>
  </si>
  <si>
    <t>TIỀN MẶT</t>
    <phoneticPr fontId="1"/>
  </si>
  <si>
    <t>JPY</t>
    <phoneticPr fontId="1"/>
  </si>
  <si>
    <t>VND</t>
    <phoneticPr fontId="1"/>
  </si>
  <si>
    <t>ATM</t>
    <phoneticPr fontId="1"/>
  </si>
  <si>
    <t>CÁ NHÂN</t>
    <phoneticPr fontId="1"/>
  </si>
  <si>
    <t>CÔNG TY</t>
    <phoneticPr fontId="1"/>
  </si>
  <si>
    <t>NỢ</t>
    <phoneticPr fontId="1"/>
  </si>
  <si>
    <t>KHÁCH NỢ</t>
    <phoneticPr fontId="1"/>
  </si>
  <si>
    <t>TIỀN $ CÁC KHOẢN TƯƠNG ĐƯƠNG</t>
    <phoneticPr fontId="1"/>
  </si>
  <si>
    <t>GIÁ TRỊ KHO ƯỚC TÍNH</t>
    <phoneticPr fontId="1"/>
  </si>
  <si>
    <t>TÀI SẢN DÀI HẠN</t>
    <phoneticPr fontId="1"/>
  </si>
  <si>
    <t>TỔNG</t>
    <phoneticPr fontId="1"/>
  </si>
  <si>
    <t>TIỀN NHÀ</t>
    <phoneticPr fontId="1"/>
  </si>
  <si>
    <t>TIỀN ĐIỆN</t>
    <phoneticPr fontId="1"/>
  </si>
  <si>
    <t>TIỀN NƯỚC</t>
    <phoneticPr fontId="1"/>
  </si>
  <si>
    <t>WIFI</t>
    <phoneticPr fontId="1"/>
  </si>
  <si>
    <t>LƯƠNG</t>
    <phoneticPr fontId="1"/>
  </si>
  <si>
    <t>TỔNG</t>
    <phoneticPr fontId="1"/>
  </si>
  <si>
    <t>CHÊNH LỆCH</t>
    <phoneticPr fontId="1"/>
  </si>
  <si>
    <t>Khấu hao HĐ</t>
    <phoneticPr fontId="1"/>
  </si>
  <si>
    <t>NỢ + CÁC KHOẢN VAY</t>
    <phoneticPr fontId="1"/>
  </si>
  <si>
    <t>NỢ NGẮN HẠN</t>
    <phoneticPr fontId="1"/>
  </si>
  <si>
    <t>NỢ DÀI HẠN</t>
    <phoneticPr fontId="1"/>
  </si>
  <si>
    <t>BÁO CÁO THÁNG 09/2024</t>
  </si>
  <si>
    <t>BÁO CÁO THÁNG 08/2024</t>
  </si>
  <si>
    <t>Hoàn</t>
  </si>
  <si>
    <t>BÁO CÁO THÁNG 12/2024</t>
  </si>
  <si>
    <t>THUYẾT MINH</t>
  </si>
  <si>
    <t>MUA LẠI XE ANH THÁI 200,000</t>
  </si>
  <si>
    <t>BÁO CÁO THÁNG 6/2024</t>
  </si>
  <si>
    <t>BÁO CÁO THÁNG 5/2024</t>
  </si>
  <si>
    <t>BÁO CÁO THÁNG 4/2024</t>
  </si>
  <si>
    <t>BÁO CÁO THÁNG 3/2024</t>
  </si>
  <si>
    <t>BÁO CÁO THÁNG 2/2024</t>
  </si>
  <si>
    <t>BÁO CÁO THÁNG 1/2024</t>
  </si>
  <si>
    <t>BÁO CÁO THÁNG 10/2024</t>
  </si>
  <si>
    <t>LƯƠNG +200,000 SO VỚI TB CÁC THÁNG</t>
  </si>
  <si>
    <t>NĂM</t>
  </si>
  <si>
    <t>HOÀN</t>
  </si>
  <si>
    <t>BÁO CÁO THÁNG 11/2024</t>
  </si>
  <si>
    <t>BÁO CÁO THÁNG 01/2025</t>
  </si>
  <si>
    <t>Trích lập dự phòng (Chi khác) từ lợi nhuận 500,000</t>
  </si>
  <si>
    <t>Trả cổ túc 10% 200,000</t>
  </si>
  <si>
    <t>Chi 200.000 làm đường điện</t>
  </si>
  <si>
    <t>Thanh toán công nợ tháng trước</t>
  </si>
  <si>
    <t>KHÔNG TRÍCH LẬP DỰ PHÒNG</t>
  </si>
  <si>
    <t>SỐ TIỀN</t>
  </si>
  <si>
    <t>NGÀY CHI TRẢ</t>
  </si>
  <si>
    <t>Mua điều hòa mới</t>
  </si>
  <si>
    <t>BÁO CÁO THÁNG 02/2025</t>
  </si>
  <si>
    <t>BÁO CÁO THÁNG 03/2025</t>
  </si>
  <si>
    <t>BÁO CÁO THÁNG 04/2025</t>
  </si>
  <si>
    <t>TIỀN &amp; CÁC KHOẢN TƯƠNG ĐƯƠNG</t>
  </si>
  <si>
    <t>Không trích lập dự phòng</t>
  </si>
  <si>
    <t>Mua thêm tủ lạnh 130,000JPY</t>
  </si>
  <si>
    <t>GIÁ TRỊ TỒN KHO + 1,600,000JPY (160MAN)</t>
  </si>
  <si>
    <t>GIÁ TRỊ TỒN KHO +900,000 (90MAN)</t>
  </si>
  <si>
    <t>BÁO CÁO THÁNG 05 /2025</t>
  </si>
  <si>
    <t>Bảo hiểm quán **</t>
  </si>
  <si>
    <t xml:space="preserve"> POINT</t>
  </si>
  <si>
    <t>NHẬP HÀNG</t>
  </si>
  <si>
    <t>XĂNG</t>
  </si>
  <si>
    <t>TÚI BÓNG</t>
  </si>
  <si>
    <t>BĂNG DÍNH</t>
  </si>
  <si>
    <t>TỔNG</t>
  </si>
  <si>
    <t>KHÁC*</t>
  </si>
  <si>
    <t>CHI PHÍ KINH DOANH</t>
  </si>
  <si>
    <t>LƯU ĐỘNG</t>
  </si>
  <si>
    <t>CỐ ĐỊNH</t>
  </si>
  <si>
    <t>TIỀN NHÀ</t>
  </si>
  <si>
    <t>BÃI XE</t>
  </si>
  <si>
    <t>WIFI</t>
  </si>
  <si>
    <t>BẢO HIỂM</t>
  </si>
  <si>
    <t>BẢNG CƠ CẤU CHI PHÍ CHI PHÍ</t>
  </si>
  <si>
    <t>LƯƠNG</t>
  </si>
  <si>
    <t>THƯỞNG</t>
  </si>
  <si>
    <t>TIỀN ĐIỆN</t>
  </si>
  <si>
    <t>TIỀN NƯỚC</t>
  </si>
  <si>
    <t>DIỆT GIÁN</t>
  </si>
  <si>
    <t>PHÍ LUẬT SƯ</t>
  </si>
  <si>
    <t>CHI KHÁC</t>
  </si>
  <si>
    <t>CHI PHÍ PHÁT SINH KHÁC</t>
  </si>
  <si>
    <t>TRẢ HÀNG</t>
  </si>
  <si>
    <t>HỦY ĐƠN</t>
  </si>
  <si>
    <t>KHẤU TRỪ</t>
  </si>
  <si>
    <t>THU KHÁC</t>
  </si>
  <si>
    <t>TT ĐIỂM</t>
  </si>
  <si>
    <t>GIẢM GIÁ HĐ</t>
  </si>
  <si>
    <t>TRỪ SHIP</t>
  </si>
  <si>
    <t>KHẤU HAO HĐ</t>
  </si>
  <si>
    <t>BÁO CÁO TỔNG QUAN</t>
  </si>
  <si>
    <t>DOANH THU</t>
  </si>
  <si>
    <t>LỢI NHUẬN</t>
  </si>
  <si>
    <t>THÁNG NÀY</t>
  </si>
  <si>
    <t>THÁNG TRƯỚC</t>
  </si>
  <si>
    <t>CÙNG KỲ</t>
  </si>
  <si>
    <t>XĂNG -DẦU</t>
  </si>
  <si>
    <t>PHÍ CỐ ĐỊNH</t>
  </si>
  <si>
    <t>THUẾ XE</t>
  </si>
  <si>
    <t>THUẾ</t>
  </si>
  <si>
    <t>TỔNG CHI PHÍ</t>
  </si>
  <si>
    <t>CHÊNH LỆCH</t>
  </si>
  <si>
    <r>
      <t xml:space="preserve">Nhập hàng chiếm </t>
    </r>
    <r>
      <rPr>
        <b/>
        <i/>
        <sz val="14"/>
        <color theme="1"/>
        <rFont val="Times New Roman"/>
        <family val="1"/>
      </rPr>
      <t>81,11%</t>
    </r>
  </si>
  <si>
    <r>
      <t xml:space="preserve">Các chi phí khác chiếm </t>
    </r>
    <r>
      <rPr>
        <b/>
        <i/>
        <sz val="14"/>
        <color theme="1"/>
        <rFont val="Times New Roman"/>
        <family val="1"/>
      </rPr>
      <t>11,62%</t>
    </r>
  </si>
  <si>
    <r>
      <t xml:space="preserve">Nhập hàng / Doanh thu  TĂNG </t>
    </r>
    <r>
      <rPr>
        <b/>
        <i/>
        <sz val="14"/>
        <color theme="1"/>
        <rFont val="Times New Roman"/>
        <family val="1"/>
      </rPr>
      <t>4,33%</t>
    </r>
  </si>
  <si>
    <r>
      <t>Lợi nhuận Ròng</t>
    </r>
    <r>
      <rPr>
        <b/>
        <i/>
        <sz val="14"/>
        <color theme="1"/>
        <rFont val="Times New Roman"/>
        <family val="1"/>
      </rPr>
      <t xml:space="preserve"> 7,27%</t>
    </r>
  </si>
  <si>
    <r>
      <t xml:space="preserve">Lợi nhuận Ròng </t>
    </r>
    <r>
      <rPr>
        <b/>
        <i/>
        <sz val="14"/>
        <color theme="1"/>
        <rFont val="Times New Roman"/>
        <family val="1"/>
      </rPr>
      <t>10,00%</t>
    </r>
  </si>
  <si>
    <r>
      <t xml:space="preserve">Các chi phí khác chiếm </t>
    </r>
    <r>
      <rPr>
        <b/>
        <i/>
        <sz val="14"/>
        <color theme="1"/>
        <rFont val="Times New Roman"/>
        <family val="1"/>
      </rPr>
      <t>13,22%</t>
    </r>
  </si>
  <si>
    <r>
      <t xml:space="preserve">Nhập hàng chiếm </t>
    </r>
    <r>
      <rPr>
        <b/>
        <i/>
        <sz val="14"/>
        <color theme="1"/>
        <rFont val="Times New Roman"/>
        <family val="1"/>
      </rPr>
      <t>76,78%</t>
    </r>
  </si>
  <si>
    <t>BÁO CÁO THÁNG 06 /2025</t>
  </si>
  <si>
    <t>BÁO CÁO THÁNG 07 /2025</t>
  </si>
  <si>
    <t>TB NGÀY</t>
  </si>
  <si>
    <t>SỐ HÓA ĐƠN</t>
  </si>
  <si>
    <t>TB HÓA ĐƠN</t>
  </si>
  <si>
    <t>MUA XE Ô TÔ 402.550</t>
  </si>
  <si>
    <t>Lương Ship</t>
  </si>
  <si>
    <t>Sale 1 tháng lợi nhuận giảm 10%</t>
  </si>
  <si>
    <t>TRÍCH LẬP DỰ PHÒNG 
 ĐẦU TƯ</t>
  </si>
  <si>
    <t>Giá trị kho  +1,000,000</t>
  </si>
  <si>
    <t>Giữ lại lợi nhuận</t>
  </si>
  <si>
    <t>Tăng thêm giờ làm buổi chiều -&gt; Lương tăng</t>
  </si>
  <si>
    <t xml:space="preserve">Tăng thêm lương người ship  </t>
  </si>
  <si>
    <t>Tiền điện &gt;&gt; 60.000</t>
  </si>
  <si>
    <t>Bắt đầu đầu tư CCQ 200.000</t>
  </si>
  <si>
    <t>TỔNG DOANH THU</t>
  </si>
  <si>
    <t>Khấu hao HĐ*</t>
  </si>
  <si>
    <t>ĐT_CCQ</t>
  </si>
  <si>
    <t>KHÁC</t>
  </si>
  <si>
    <t xml:space="preserve"> Thanh toán POINT</t>
  </si>
  <si>
    <t>BÁO CÁO THÁNG 08 /2025</t>
  </si>
  <si>
    <t>Tiền điện</t>
  </si>
  <si>
    <t>Thanh toán phần của tháng Trước</t>
  </si>
  <si>
    <t>DANH MỤC ĐẦU TƯ</t>
  </si>
  <si>
    <t xml:space="preserve">Đầu tư </t>
  </si>
  <si>
    <t>Đầu tư CCQ 400.000</t>
  </si>
  <si>
    <t>Tiền điện &gt;&gt;137,812</t>
  </si>
  <si>
    <t>Trả thêm tiền nhà (60,000*2)</t>
  </si>
  <si>
    <t>Giá trị kho  -500,000</t>
  </si>
  <si>
    <t>Sale 1 tháng lợi nhuận giảm 5%</t>
  </si>
  <si>
    <t>Tăng thêm giờ làm buổi chiều -&gt; Lương tăng (40,000)</t>
  </si>
  <si>
    <t>Tăng thêm lương người ship  (60,000)</t>
  </si>
  <si>
    <t>BÁO CÁO THÁNG 09 /2025</t>
  </si>
  <si>
    <t>Trả thêm tiền nhà (60,000)</t>
  </si>
  <si>
    <t>Toàn</t>
  </si>
  <si>
    <t>Tiền điện &gt;&gt;138,353</t>
  </si>
  <si>
    <t>Đầu tư CCQ 200.000</t>
  </si>
  <si>
    <t>Giá trị kho  +500,000</t>
  </si>
  <si>
    <t>BÁO CÁO THÁNG 10 /2025</t>
  </si>
  <si>
    <t>BÁO CÁO THÁNG 11 /2025</t>
  </si>
  <si>
    <t xml:space="preserve"> </t>
  </si>
  <si>
    <t>BÁO CÁO THÁNG 12 /2025</t>
  </si>
  <si>
    <t>BÁO CÁO THÁNG 01 /2026</t>
  </si>
  <si>
    <t>Trả tiền hàng tháng trước 100man</t>
  </si>
  <si>
    <t>Đồng Phục</t>
  </si>
  <si>
    <t>Phí thuê mặt bằng mới 302,050</t>
  </si>
  <si>
    <t>BÁO CÁO THÁNG 02 /2026</t>
  </si>
  <si>
    <t>THU</t>
  </si>
  <si>
    <t>BÁO CÁO THÁNG 03 /2026</t>
  </si>
  <si>
    <t>A.Quý</t>
  </si>
  <si>
    <t>Tăng thêm giờ làm buổi chiều -&gt; Lương tăng (60,000)</t>
  </si>
  <si>
    <t>Trả thêm tiền nhà tầng 2 (60,000)</t>
  </si>
  <si>
    <r>
      <t>A Quý làm tháng 3  -&gt; Lương tăng (</t>
    </r>
    <r>
      <rPr>
        <b/>
        <i/>
        <sz val="14"/>
        <color rgb="FFFF0000"/>
        <rFont val="Times New Roman"/>
        <family val="1"/>
      </rPr>
      <t>120,000</t>
    </r>
    <r>
      <rPr>
        <i/>
        <sz val="14"/>
        <color theme="1"/>
        <rFont val="Times New Roman"/>
        <family val="1"/>
      </rPr>
      <t>)</t>
    </r>
  </si>
  <si>
    <r>
      <t>Tiền tủ, kệ quán mới (</t>
    </r>
    <r>
      <rPr>
        <b/>
        <i/>
        <sz val="14"/>
        <color rgb="FFFF0000"/>
        <rFont val="Times New Roman"/>
        <family val="1"/>
      </rPr>
      <t>1,144,115</t>
    </r>
    <r>
      <rPr>
        <i/>
        <sz val="14"/>
        <color theme="1"/>
        <rFont val="Times New Roman"/>
        <family val="1"/>
      </rPr>
      <t>)</t>
    </r>
  </si>
  <si>
    <t>Ngày chi</t>
  </si>
  <si>
    <t>Danh mục</t>
  </si>
  <si>
    <t>Số tiền</t>
  </si>
  <si>
    <t>Quản lý</t>
  </si>
  <si>
    <t>Nghĩa</t>
  </si>
  <si>
    <t>Tiền mặt bằng</t>
  </si>
  <si>
    <t>Mua 3 tủ lạnh mới</t>
  </si>
  <si>
    <t>A Thái</t>
  </si>
  <si>
    <t>Mua kệ</t>
  </si>
  <si>
    <t>Tiền nhà tháng 4</t>
  </si>
  <si>
    <t>Tủ lạnh cũ + đồ trang trí</t>
  </si>
  <si>
    <t>A Giang</t>
  </si>
  <si>
    <t>Tủ mát Kurume</t>
  </si>
  <si>
    <t>Áp Kiot Viet 1 năm</t>
  </si>
  <si>
    <t>BÁO CÁO THÁNG 04 /2026</t>
  </si>
  <si>
    <t>SETUP</t>
  </si>
  <si>
    <t xml:space="preserve">Nghĩa </t>
  </si>
  <si>
    <t>Mua xe ô tô</t>
  </si>
  <si>
    <t>TÊN SẢN PHẦM</t>
  </si>
  <si>
    <t>GIÁ VỐN</t>
  </si>
  <si>
    <t>SL</t>
  </si>
  <si>
    <t>DANH MỤC</t>
  </si>
  <si>
    <t>Nhập mới</t>
  </si>
  <si>
    <t>Quán Kokura</t>
  </si>
  <si>
    <t>Bánh tráng trộn</t>
  </si>
  <si>
    <t>Me cay</t>
  </si>
  <si>
    <t>Kẹo lạc</t>
  </si>
  <si>
    <t>Bánh đậu xanh Hòa An</t>
  </si>
  <si>
    <t>Mắm nêm cori</t>
  </si>
  <si>
    <t>Cánh gà (Túi)</t>
  </si>
  <si>
    <t>Bánh dẻo cốm</t>
  </si>
  <si>
    <t>Mực Bento</t>
  </si>
  <si>
    <t>Mì cốc Cung Đình</t>
  </si>
  <si>
    <t>Mì chính</t>
  </si>
  <si>
    <t>Bột bánh cuốn Tài Ký</t>
  </si>
  <si>
    <t>Bột gạo Tài Ký</t>
  </si>
  <si>
    <t>Bột nếp Tài Ký</t>
  </si>
  <si>
    <t>Bột năng Tài Ký</t>
  </si>
  <si>
    <t>Bột bánh xèo Tài Ký</t>
  </si>
  <si>
    <t>Bún riêu cua Vifon</t>
  </si>
  <si>
    <t>Bún bò Huế Vifon</t>
  </si>
  <si>
    <t>Bánh đa cua Vifon</t>
  </si>
  <si>
    <t>Hủ tiếu nam vang Vifon</t>
  </si>
  <si>
    <t>Phở gà Vifon</t>
  </si>
  <si>
    <t>Omachi chua cay</t>
  </si>
  <si>
    <t>Omachi sườn</t>
  </si>
  <si>
    <t>Omachi bò hầm</t>
  </si>
  <si>
    <t>Chinsu 520g</t>
  </si>
  <si>
    <t>Nam ngư 750ml</t>
  </si>
  <si>
    <t>Mắm nêm ngon</t>
  </si>
  <si>
    <t>Tam Thái Tử</t>
  </si>
  <si>
    <t>Chinsu tỏi ớt</t>
  </si>
  <si>
    <t>Dầu hào Maggi</t>
  </si>
  <si>
    <t>Nước tương Maggi</t>
  </si>
  <si>
    <t>Đậu phộng cốt dừa</t>
  </si>
  <si>
    <t xml:space="preserve">Cơm cháy </t>
  </si>
  <si>
    <t>Ngũ cốc dinh dưỡng</t>
  </si>
  <si>
    <t>Bơ Tường An</t>
  </si>
  <si>
    <t>Cá lon</t>
  </si>
  <si>
    <t>Hạt nêm knorr</t>
  </si>
  <si>
    <t>Siukay bò</t>
  </si>
  <si>
    <t>Siukay hải sản</t>
  </si>
  <si>
    <t>NƯỚC MẮM ĐỆ NHỊ</t>
  </si>
  <si>
    <t>Tương Ớt Cholimex Chai 270G</t>
  </si>
  <si>
    <t>Sa Tế Tôm Xo 100G</t>
  </si>
  <si>
    <t>Sa Tế Tôm Xo 170G</t>
  </si>
  <si>
    <t>Ớt Khô Sa te Thủy Tinh Cholimex 100Gr</t>
  </si>
  <si>
    <t>Cà phê G7 MÁY BAY 21 GÓI</t>
  </si>
  <si>
    <t>Cà Phê Phố</t>
  </si>
  <si>
    <t>Nước Mắm Ăn Liền Cholimex Chai Thủy Tinh 290G</t>
  </si>
  <si>
    <t>Tương Đen Phở Cholimex Chai 230G</t>
  </si>
  <si>
    <t>Mì 3 miền GOLD vị bò hầm rau thơm</t>
  </si>
  <si>
    <t>Mì 3 miền GOLD chua cay Thái</t>
  </si>
  <si>
    <t>Mì 3 miền GOLD vị chua cay</t>
  </si>
  <si>
    <t>GÓI LẺ</t>
  </si>
  <si>
    <t>Chi Quảng Cáo Fanpage</t>
  </si>
  <si>
    <t>Máy In hóa đơn</t>
  </si>
  <si>
    <t>Cờ treo</t>
  </si>
  <si>
    <t>BÁNH HURA DELI HƯƠNG CỐM DỪA BIBICA 336G</t>
  </si>
  <si>
    <t>Bánh Hura Deli Hương Sữa Dâu Bibica</t>
  </si>
  <si>
    <t>Xốt tôm kho quẹt</t>
  </si>
  <si>
    <t>Xốt thịt xào mắm ruốc</t>
  </si>
  <si>
    <t>BỘT RAU CÂU CON CÁ DẺO</t>
  </si>
  <si>
    <t>Cốm Xanh</t>
  </si>
  <si>
    <t>Kỳ tử 150GR</t>
  </si>
  <si>
    <t>HƯỚNG DƯƠNG CHACHA NGŨ VỊ 260GR | ひまわりの種五の香</t>
  </si>
  <si>
    <t>Hướng Dương Chacha Nguyên Vị 260Gr | ひまわりの種オリジナル味</t>
  </si>
  <si>
    <t>Bánh Tráng Rế 100Gram</t>
  </si>
  <si>
    <t>Bột Sắn Dây</t>
  </si>
  <si>
    <t>Bột Nem Chua 70G</t>
  </si>
  <si>
    <t>Muối Hảo Hảo 80G</t>
  </si>
  <si>
    <t>GIA VỊ CÁ KHO RIỀNG KNOR</t>
  </si>
  <si>
    <t>THỊT KHO TÀU KNORR</t>
  </si>
  <si>
    <t>Yomost Hương Dâu</t>
  </si>
  <si>
    <t>Yomost Bạc Hà Việt Quất</t>
  </si>
  <si>
    <t>Gia Vị Lẩu Thái Aji Quick 50G</t>
  </si>
  <si>
    <t>Gia Vị Nêm Sẵn Bún Bò Huế (Aji Quick) 57G</t>
  </si>
  <si>
    <t>Aji Gv Gia Vị Nêm Sẵn Aji-Quick Phở Bò 12 X 57Gr</t>
  </si>
  <si>
    <t>Mắm Tôm Bắc</t>
  </si>
  <si>
    <t>BÁNH TRỨNG SỮA MỀM VỊ CỐM DỪA BELGI</t>
  </si>
  <si>
    <t>Gia Vị Tần Gà</t>
  </si>
  <si>
    <t>Hằng đại to</t>
  </si>
  <si>
    <t>Hằng đại gân</t>
  </si>
  <si>
    <t>Mắm Ruốc Huế</t>
  </si>
  <si>
    <t>Bột Rang Muối Kim Công</t>
  </si>
  <si>
    <t>Bột Sương Sáo 50G</t>
  </si>
  <si>
    <t>Bột Báng</t>
  </si>
  <si>
    <t>Sữa TH TRUE MILK Dâu</t>
  </si>
  <si>
    <t>Sữa TH TRUE MILK Socola</t>
  </si>
  <si>
    <t>Sữa Kun Hương Cam</t>
  </si>
  <si>
    <t>Sữa Kun Hương Dâu</t>
  </si>
  <si>
    <t>Sữa Bắp Non</t>
  </si>
  <si>
    <t>Bánh Quy Marie Cosy Kinh Đô</t>
  </si>
  <si>
    <t>Hằng Đại Mini</t>
  </si>
  <si>
    <t>Sữa Nestle Milo Lúa Mạch Hộp 180Ml</t>
  </si>
  <si>
    <t>Bánh Dừa Nướng TopCoCo</t>
  </si>
  <si>
    <t>GIA VỊ NÊM SẴN AJI-QUICK BÚN RIÊU CUA 54G</t>
  </si>
  <si>
    <t>Bột cốt dừa Thái</t>
  </si>
  <si>
    <t>Bánh tráng safoco</t>
  </si>
  <si>
    <t>Sữa Cô Gái Hà Lan Canxi Trắng 180ml</t>
  </si>
  <si>
    <t>Sữa Cô Gái Hà Lan Dâu 180ml</t>
  </si>
  <si>
    <t>Sữa Cô Gái Hà Lan Socola 180ml</t>
  </si>
  <si>
    <t>Yomost cam 180ml</t>
  </si>
  <si>
    <t>Chân gà ăn liền anna lala xanh</t>
  </si>
  <si>
    <t>Hạt Nêm Knorr 400G</t>
  </si>
  <si>
    <t>NAM NGƯ ỚT TỎI LÝ SƠN 300ML</t>
  </si>
  <si>
    <t>Bánh Tipo Trứng Sữa</t>
  </si>
  <si>
    <t>Bánh Tipo Sầu Riêng</t>
  </si>
  <si>
    <t>Hạt nêm Aji Ngon thịt xương 400g</t>
  </si>
  <si>
    <t>Cà Phê G7 Nhập Khẩu (Mix)</t>
  </si>
  <si>
    <t>Omachi sườn hầm</t>
  </si>
  <si>
    <t>Mì Tôm Chua Cay Zum Zum</t>
  </si>
  <si>
    <t>Bún Tươi Safoco</t>
  </si>
  <si>
    <t>Mì Chua Cay Kokomi</t>
  </si>
  <si>
    <t>Zum Zum Vị Bò Xốt Tiêu</t>
  </si>
  <si>
    <t>Mì lẩu thái Acecook 80g</t>
  </si>
  <si>
    <t>Mỳ Ba Miền Tôm Chua Cay</t>
  </si>
  <si>
    <t>Táo đỏ 500G</t>
  </si>
  <si>
    <t>Cháo Thịt Bằm Gấu Đỏ 50G</t>
  </si>
  <si>
    <t>Miến đậu xanh Phú Hương Hương vị sườn heo gói 58g</t>
  </si>
  <si>
    <t>BÚN TƯƠI THAK</t>
  </si>
  <si>
    <t>Phở Tươi Hà Nội</t>
  </si>
  <si>
    <t>Mì Cung Đình vị lẩu tôm cay｜cung dinh 辛酸っぱ口エビ鍋の味インスタントラーメン｜80g</t>
  </si>
  <si>
    <t>Mi Cung Đình sườn hầm</t>
  </si>
  <si>
    <t>Mì Cung Đình Hương vị bò hầm</t>
  </si>
  <si>
    <t>Bánh Pillows</t>
  </si>
  <si>
    <t>Bàn Chải Đánh Răng</t>
  </si>
  <si>
    <t>Snack nhân vị sữa dừa Pillows Oishi gói 100g</t>
  </si>
  <si>
    <t>PINATSU CỐT DỪA 85G</t>
  </si>
  <si>
    <t>PINATTSU Mực Cay</t>
  </si>
  <si>
    <t>Kem Đánh Răng</t>
  </si>
  <si>
    <t>Dầu gội đầu</t>
  </si>
  <si>
    <t>Mua đồ khác (Cờ, Kago, Túi bóng)</t>
  </si>
  <si>
    <t>Amazon</t>
  </si>
  <si>
    <t xml:space="preserve">Phí nâng vốn + Lãi vay      </t>
  </si>
  <si>
    <t xml:space="preserve">Quyết toán thế                    </t>
  </si>
  <si>
    <t>Mở quán mới(Đầu tư + kho)</t>
  </si>
  <si>
    <t xml:space="preserve">Xe oto                              </t>
  </si>
  <si>
    <t>MƯỢN A THÁI 200MAN</t>
  </si>
  <si>
    <t>TRẢ A THÁI 70MAN</t>
  </si>
  <si>
    <t>Phí quyết toán</t>
  </si>
  <si>
    <t>A Thông</t>
  </si>
  <si>
    <t>C Tuyết</t>
  </si>
  <si>
    <t>Lương tăng (Quán mới)</t>
  </si>
  <si>
    <t>BÁO CÁO THÁNG 05 /2026</t>
  </si>
  <si>
    <t>BÁO CÁO THÁNG 06 /2026</t>
  </si>
  <si>
    <t>NGÀY TT</t>
  </si>
  <si>
    <t xml:space="preserve">TIỀN NHÀ </t>
  </si>
  <si>
    <t>TIỀN BÃI XE</t>
  </si>
  <si>
    <t>THÁNG</t>
  </si>
  <si>
    <t>T10/2022</t>
  </si>
  <si>
    <t>T5/2026</t>
  </si>
  <si>
    <t>T7/2025</t>
  </si>
  <si>
    <t>T3/2026</t>
  </si>
  <si>
    <t>CT</t>
  </si>
  <si>
    <t xml:space="preserve">Phí văn phòng Thuế </t>
  </si>
  <si>
    <t>Thuế xe ô tô</t>
  </si>
  <si>
    <t>Thuế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</si>
</sst>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[$¥-411]#,##0;[Red][$¥-411]#,##0"/>
    <numFmt numFmtId="165" formatCode="[$¥-411]#,##0_);\([$¥-411]#,##0\)"/>
    <numFmt numFmtId="166" formatCode="[$¥-411]#,##0;\-[$¥-411]#,##0"/>
    <numFmt numFmtId="167" formatCode="0_);[Red]\(0\)"/>
    <numFmt numFmtId="168" formatCode="[$¥-411]#,##0;[Red]\-[$¥-411]#,##0"/>
    <numFmt numFmtId="169" formatCode="[$¥-411]#,##0_);[Red]\([$¥-411]#,##0\)"/>
    <numFmt numFmtId="170" formatCode="d&quot;日&quot;"/>
    <numFmt numFmtId="171" formatCode="_-[$¥-411]* #,##0_-;\-[$¥-411]* #,##0_-;_-[$¥-411]* &quot;-&quot;_-;_-@_-"/>
    <numFmt numFmtId="172" formatCode="[$-F800]dddd\,\ mmmm\ dd\,\ yyyy"/>
    <numFmt numFmtId="173" formatCode="mm/yyyy"/>
    <numFmt numFmtId="174" formatCode="[$¥-411]#,##0"/>
    <numFmt numFmtId="175" formatCode="[$-1010000]d/m/yyyy;@"/>
    <numFmt numFmtId="176" formatCode="dd/mm"/>
    <numFmt numFmtId="177" formatCode="mm"/>
  </numFmts>
  <fonts count="104">
    <font>
      <sz val="12"/>
      <color theme="1"/>
      <name val="Arial"/>
      <family val="2"/>
      <charset val="128"/>
      <scheme val="minor"/>
    </font>
    <font>
      <sz val="6"/>
      <name val="Arial"/>
      <family val="2"/>
      <charset val="128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2"/>
      <color rgb="FF333333"/>
      <name val="Arial"/>
      <family val="2"/>
    </font>
    <font>
      <b/>
      <sz val="16"/>
      <color theme="1"/>
      <name val="Times New Roman"/>
      <family val="1"/>
    </font>
    <font>
      <sz val="14"/>
      <color rgb="FF333333"/>
      <name val="Arial"/>
      <family val="2"/>
    </font>
    <font>
      <sz val="16"/>
      <color theme="1"/>
      <name val="Arial"/>
      <family val="2"/>
      <charset val="128"/>
      <scheme val="minor"/>
    </font>
    <font>
      <sz val="12"/>
      <color theme="1"/>
      <name val="游ゴシック"/>
      <family val="2"/>
      <charset val="128"/>
    </font>
    <font>
      <sz val="16"/>
      <color theme="1"/>
      <name val="Times New Roman"/>
      <family val="1"/>
    </font>
    <font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b/>
      <sz val="18"/>
      <color theme="1"/>
      <name val="游ゴシック"/>
      <family val="3"/>
      <charset val="128"/>
    </font>
    <font>
      <b/>
      <sz val="15"/>
      <color theme="0"/>
      <name val="Arial"/>
      <family val="3"/>
      <charset val="128"/>
      <scheme val="minor"/>
    </font>
    <font>
      <b/>
      <sz val="16"/>
      <color theme="0"/>
      <name val="Times New Roman"/>
      <family val="1"/>
    </font>
    <font>
      <b/>
      <sz val="30"/>
      <color theme="0"/>
      <name val="Times New Roman"/>
      <family val="1"/>
    </font>
    <font>
      <b/>
      <sz val="30"/>
      <color theme="0"/>
      <name val="游ゴシック"/>
      <family val="3"/>
      <charset val="128"/>
    </font>
    <font>
      <b/>
      <sz val="14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Arial"/>
      <family val="2"/>
      <charset val="128"/>
      <scheme val="minor"/>
    </font>
    <font>
      <sz val="14"/>
      <color theme="1"/>
      <name val="Arial"/>
      <family val="2"/>
      <charset val="128"/>
      <scheme val="minor"/>
    </font>
    <font>
      <b/>
      <sz val="14"/>
      <color theme="1"/>
      <name val="Arial"/>
      <family val="3"/>
      <charset val="128"/>
      <scheme val="minor"/>
    </font>
    <font>
      <sz val="14"/>
      <color theme="1"/>
      <name val="游ゴシック"/>
      <family val="2"/>
      <charset val="128"/>
    </font>
    <font>
      <sz val="15"/>
      <color theme="1"/>
      <name val="Times New Roman"/>
      <family val="1"/>
    </font>
    <font>
      <b/>
      <sz val="11"/>
      <color theme="1"/>
      <name val="Arial"/>
      <family val="3"/>
      <charset val="128"/>
      <scheme val="minor"/>
    </font>
    <font>
      <sz val="11"/>
      <color theme="1"/>
      <name val="Arial"/>
      <family val="2"/>
      <charset val="128"/>
      <scheme val="minor"/>
    </font>
    <font>
      <sz val="11"/>
      <color theme="1"/>
      <name val="Times New Roman"/>
      <family val="1"/>
    </font>
    <font>
      <sz val="11"/>
      <color theme="1"/>
      <name val="Arial"/>
      <family val="3"/>
      <charset val="128"/>
      <scheme val="minor"/>
    </font>
    <font>
      <sz val="14"/>
      <color theme="1"/>
      <name val="Arial"/>
      <family val="3"/>
      <charset val="128"/>
      <scheme val="minor"/>
    </font>
    <font>
      <b/>
      <sz val="20"/>
      <color rgb="FF000000"/>
      <name val="Times New Roman"/>
      <family val="1"/>
    </font>
    <font>
      <b/>
      <sz val="20"/>
      <color rgb="FF000000"/>
      <name val="Yu Gothic"/>
      <family val="3"/>
      <charset val="128"/>
    </font>
    <font>
      <sz val="12"/>
      <color rgb="FF000000"/>
      <name val="Times New Roman"/>
      <family val="1"/>
    </font>
    <font>
      <b/>
      <sz val="19"/>
      <color rgb="FF000000"/>
      <name val="Times New Roman"/>
      <family val="1"/>
    </font>
    <font>
      <sz val="20"/>
      <color rgb="FF000000"/>
      <name val="Times New Roman"/>
      <family val="1"/>
    </font>
    <font>
      <sz val="18"/>
      <color rgb="FF000000"/>
      <name val="Times New Roman"/>
      <family val="1"/>
    </font>
    <font>
      <b/>
      <sz val="18"/>
      <color rgb="FFFF0000"/>
      <name val="Times New Roman"/>
      <family val="1"/>
    </font>
    <font>
      <sz val="16"/>
      <color rgb="FF000000"/>
      <name val="Times New Roman"/>
      <family val="1"/>
    </font>
    <font>
      <b/>
      <sz val="16"/>
      <color rgb="FFFF0000"/>
      <name val="Times New Roman"/>
      <family val="1"/>
    </font>
    <font>
      <sz val="12"/>
      <color theme="1"/>
      <name val="Arial"/>
      <family val="3"/>
      <charset val="128"/>
      <scheme val="minor"/>
    </font>
    <font>
      <sz val="14"/>
      <color rgb="FF000000"/>
      <name val="Times New Roman"/>
      <family val="1"/>
    </font>
    <font>
      <sz val="10"/>
      <color theme="1"/>
      <name val="Arial"/>
      <family val="2"/>
    </font>
    <font>
      <sz val="8"/>
      <color theme="1"/>
      <name val="Arial"/>
      <family val="3"/>
      <charset val="128"/>
      <scheme val="minor"/>
    </font>
    <font>
      <sz val="8"/>
      <color theme="1"/>
      <name val="Arial"/>
      <family val="2"/>
      <charset val="128"/>
      <scheme val="minor"/>
    </font>
    <font>
      <b/>
      <sz val="24"/>
      <color rgb="FFFF0000"/>
      <name val="Times New Roman"/>
      <family val="1"/>
    </font>
    <font>
      <b/>
      <sz val="26"/>
      <color rgb="FFFF0000"/>
      <name val="Times New Roman"/>
      <family val="1"/>
    </font>
    <font>
      <sz val="14"/>
      <color theme="1"/>
      <name val="游ゴシック"/>
      <family val="3"/>
      <charset val="128"/>
    </font>
    <font>
      <b/>
      <sz val="14"/>
      <color theme="1"/>
      <name val="游ゴシック"/>
      <family val="3"/>
      <charset val="128"/>
    </font>
    <font>
      <sz val="10"/>
      <color theme="1"/>
      <name val="Times New Roman"/>
      <family val="1"/>
    </font>
    <font>
      <b/>
      <sz val="20"/>
      <color theme="0"/>
      <name val="Times New Roman"/>
      <family val="1"/>
    </font>
    <font>
      <b/>
      <sz val="14"/>
      <color theme="4"/>
      <name val="Times New Roman"/>
      <family val="1"/>
    </font>
    <font>
      <sz val="14"/>
      <color theme="0" tint="-0.14999847407452621"/>
      <name val="Times New Roman"/>
      <family val="1"/>
    </font>
    <font>
      <b/>
      <sz val="24"/>
      <color theme="0"/>
      <name val="Times New Roman"/>
      <family val="1"/>
    </font>
    <font>
      <b/>
      <sz val="18"/>
      <color theme="0"/>
      <name val="Times New Roman"/>
      <family val="1"/>
    </font>
    <font>
      <sz val="18"/>
      <color theme="1"/>
      <name val="游ゴシック"/>
      <family val="2"/>
      <charset val="128"/>
    </font>
    <font>
      <b/>
      <sz val="23"/>
      <color theme="0"/>
      <name val="Times New Roman"/>
      <family val="1"/>
    </font>
    <font>
      <sz val="22"/>
      <color theme="1"/>
      <name val="Times New Roman"/>
      <family val="1"/>
    </font>
    <font>
      <b/>
      <sz val="22"/>
      <color theme="0"/>
      <name val="Times New Roman"/>
      <family val="1"/>
    </font>
    <font>
      <sz val="18"/>
      <color theme="1"/>
      <name val="ＭＳ 明朝"/>
      <family val="1"/>
      <charset val="128"/>
    </font>
    <font>
      <sz val="18"/>
      <color theme="1"/>
      <name val="ＭＳ Ｐ明朝"/>
      <family val="1"/>
      <charset val="128"/>
    </font>
    <font>
      <sz val="14"/>
      <color rgb="FFFF0000"/>
      <name val="Times New Roman"/>
      <family val="1"/>
    </font>
    <font>
      <sz val="9"/>
      <color theme="1"/>
      <name val="Times New Roman"/>
      <family val="1"/>
    </font>
    <font>
      <sz val="14"/>
      <name val="Times New Roman"/>
      <family val="1"/>
    </font>
    <font>
      <sz val="14"/>
      <name val="ＭＳ Ｐ明朝"/>
      <family val="1"/>
      <charset val="128"/>
    </font>
    <font>
      <sz val="18"/>
      <name val="Times New Roman"/>
      <family val="1"/>
    </font>
    <font>
      <b/>
      <sz val="18"/>
      <color rgb="FF00B050"/>
      <name val="Times New Roman"/>
      <family val="1"/>
    </font>
    <font>
      <b/>
      <sz val="16"/>
      <color theme="4"/>
      <name val="Times New Roman"/>
      <family val="1"/>
    </font>
    <font>
      <b/>
      <sz val="12"/>
      <color theme="1"/>
      <name val="Times New Roman"/>
      <family val="1"/>
    </font>
    <font>
      <b/>
      <sz val="20"/>
      <color theme="1"/>
      <name val="Times New Roman"/>
      <family val="1"/>
    </font>
    <font>
      <i/>
      <sz val="14"/>
      <color theme="1"/>
      <name val="Times New Roman"/>
      <family val="1"/>
    </font>
    <font>
      <b/>
      <sz val="22"/>
      <color theme="1"/>
      <name val="Times New Roman"/>
      <family val="1"/>
    </font>
    <font>
      <sz val="14"/>
      <color theme="0"/>
      <name val="Times New Roman"/>
      <family val="1"/>
    </font>
    <font>
      <b/>
      <sz val="14"/>
      <color theme="0"/>
      <name val="Times New Roman"/>
      <family val="1"/>
    </font>
    <font>
      <b/>
      <i/>
      <sz val="14"/>
      <color rgb="FFFF0000"/>
      <name val="Times New Roman"/>
      <family val="1"/>
    </font>
    <font>
      <b/>
      <sz val="14"/>
      <color rgb="FFFFFFFF"/>
      <name val="Times New Roman"/>
      <family val="1"/>
    </font>
    <font>
      <b/>
      <sz val="20"/>
      <color rgb="FFFFFFFF"/>
      <name val="Times New Roman"/>
      <family val="1"/>
    </font>
    <font>
      <b/>
      <sz val="25"/>
      <color rgb="FF910101"/>
      <name val="Times New Roman"/>
      <family val="1"/>
    </font>
    <font>
      <b/>
      <sz val="25"/>
      <color theme="0"/>
      <name val="Times New Roman"/>
      <family val="1"/>
    </font>
    <font>
      <b/>
      <sz val="25"/>
      <color rgb="FFFF0000"/>
      <name val="Times New Roman"/>
      <family val="1"/>
    </font>
    <font>
      <b/>
      <sz val="16"/>
      <color rgb="FFFFFFFF"/>
      <name val="Times New Roman"/>
      <family val="1"/>
    </font>
    <font>
      <b/>
      <sz val="14"/>
      <name val="Times New Roman"/>
      <family val="1"/>
    </font>
    <font>
      <b/>
      <sz val="16"/>
      <name val="Times New Roman"/>
      <family val="1"/>
    </font>
    <font>
      <sz val="3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b/>
      <sz val="20"/>
      <color theme="4" tint="-0.249977111117893"/>
      <name val="Times New Roman"/>
      <family val="1"/>
    </font>
    <font>
      <b/>
      <sz val="12"/>
      <color rgb="FF005E00"/>
      <name val="Times New Roman"/>
      <family val="1"/>
    </font>
    <font>
      <b/>
      <sz val="14"/>
      <color rgb="FF005E00"/>
      <name val="Times New Roman"/>
      <family val="1"/>
    </font>
    <font>
      <b/>
      <sz val="10"/>
      <color theme="0"/>
      <name val="Times New Roman"/>
      <family val="1"/>
    </font>
    <font>
      <b/>
      <sz val="28"/>
      <color theme="0"/>
      <name val="Times New Roman"/>
      <family val="1"/>
    </font>
    <font>
      <b/>
      <sz val="30"/>
      <color theme="1"/>
      <name val="Times New Roman"/>
      <family val="1"/>
    </font>
    <font>
      <b/>
      <i/>
      <sz val="14"/>
      <color theme="1"/>
      <name val="Times New Roman"/>
      <family val="1"/>
    </font>
    <font>
      <i/>
      <sz val="14"/>
      <color rgb="FFFF0000"/>
      <name val="Times New Roman"/>
      <family val="1"/>
    </font>
    <font>
      <sz val="18"/>
      <color theme="1"/>
      <name val="Times New Roman"/>
      <family val="1"/>
      <scheme val="major"/>
    </font>
    <font>
      <b/>
      <sz val="18"/>
      <color rgb="FFFF0000"/>
      <name val="Times New Roman"/>
      <family val="1"/>
      <scheme val="major"/>
    </font>
    <font>
      <sz val="48"/>
      <color theme="1"/>
      <name val="Times New Roman"/>
      <family val="1"/>
      <scheme val="major"/>
    </font>
    <font>
      <sz val="11"/>
      <color theme="1"/>
      <name val="Arial"/>
      <family val="2"/>
      <scheme val="minor"/>
    </font>
    <font>
      <sz val="18"/>
      <color theme="0"/>
      <name val="Times New Roman"/>
      <family val="1"/>
    </font>
    <font>
      <b/>
      <sz val="15"/>
      <color theme="1"/>
      <name val="Times New Roman"/>
      <family val="1"/>
    </font>
    <font>
      <b/>
      <sz val="15"/>
      <color rgb="FFFF0000"/>
      <name val="Times New Roman"/>
      <family val="1"/>
    </font>
    <font>
      <b/>
      <sz val="22"/>
      <color rgb="FFFF0000"/>
      <name val="Times New Roman"/>
      <family val="1"/>
    </font>
    <font>
      <b/>
      <sz val="14"/>
      <color rgb="FF7030A0"/>
      <name val="Times New Roman"/>
      <family val="1"/>
    </font>
    <font>
      <b/>
      <sz val="16"/>
      <color rgb="FF00B050"/>
      <name val="Times New Roman"/>
      <family val="1"/>
    </font>
  </fonts>
  <fills count="4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8B2DA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00AA48"/>
        <bgColor indexed="64"/>
      </patternFill>
    </fill>
    <fill>
      <patternFill patternType="solid">
        <fgColor rgb="FF5095E8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C888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E4B10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</fills>
  <borders count="1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indexed="64"/>
      </right>
      <top/>
      <bottom style="double">
        <color auto="1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double">
        <color indexed="64"/>
      </left>
      <right/>
      <top style="medium">
        <color auto="1"/>
      </top>
      <bottom/>
      <diagonal/>
    </border>
    <border>
      <left style="double">
        <color indexed="64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thick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 style="medium">
        <color indexed="64"/>
      </left>
      <right style="double">
        <color indexed="64"/>
      </right>
      <top style="medium">
        <color auto="1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auto="1"/>
      </top>
      <bottom style="medium">
        <color indexed="64"/>
      </bottom>
      <diagonal/>
    </border>
    <border>
      <left/>
      <right style="medium">
        <color auto="1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>
      <alignment vertical="center"/>
    </xf>
    <xf numFmtId="9" fontId="21" fillId="0" borderId="0" applyFont="0" applyFill="0" applyBorder="0" applyAlignment="0" applyProtection="0">
      <alignment vertical="center"/>
    </xf>
    <xf numFmtId="0" fontId="97" fillId="0" borderId="0"/>
  </cellStyleXfs>
  <cellXfs count="812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64" fontId="3" fillId="0" borderId="1" xfId="0" applyNumberFormat="1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>
      <alignment vertical="center"/>
    </xf>
    <xf numFmtId="164" fontId="3" fillId="0" borderId="0" xfId="0" applyNumberFormat="1" applyFont="1">
      <alignment vertical="center"/>
    </xf>
    <xf numFmtId="164" fontId="3" fillId="0" borderId="0" xfId="0" applyNumberFormat="1" applyFont="1" applyAlignment="1">
      <alignment vertical="center" shrinkToFit="1"/>
    </xf>
    <xf numFmtId="164" fontId="5" fillId="0" borderId="1" xfId="0" applyNumberFormat="1" applyFont="1" applyBorder="1" applyAlignment="1">
      <alignment horizontal="center" vertical="center" shrinkToFit="1"/>
    </xf>
    <xf numFmtId="164" fontId="3" fillId="0" borderId="1" xfId="0" applyNumberFormat="1" applyFont="1" applyBorder="1" applyAlignment="1">
      <alignment vertical="center" shrinkToFit="1"/>
    </xf>
    <xf numFmtId="164" fontId="4" fillId="0" borderId="1" xfId="0" applyNumberFormat="1" applyFont="1" applyBorder="1" applyAlignment="1">
      <alignment vertical="center" shrinkToFit="1"/>
    </xf>
    <xf numFmtId="164" fontId="6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>
      <alignment vertical="center"/>
    </xf>
    <xf numFmtId="0" fontId="0" fillId="0" borderId="1" xfId="0" applyBorder="1">
      <alignment vertical="center"/>
    </xf>
    <xf numFmtId="165" fontId="7" fillId="0" borderId="1" xfId="0" applyNumberFormat="1" applyFont="1" applyBorder="1">
      <alignment vertical="center"/>
    </xf>
    <xf numFmtId="0" fontId="0" fillId="0" borderId="0" xfId="0" applyAlignment="1">
      <alignment vertical="center" shrinkToFit="1"/>
    </xf>
    <xf numFmtId="0" fontId="5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65" fontId="7" fillId="0" borderId="1" xfId="0" applyNumberFormat="1" applyFont="1" applyBorder="1" applyAlignment="1">
      <alignment vertical="center" shrinkToFit="1"/>
    </xf>
    <xf numFmtId="165" fontId="9" fillId="0" borderId="1" xfId="0" applyNumberFormat="1" applyFont="1" applyBorder="1" applyAlignment="1">
      <alignment vertical="center" shrinkToFit="1"/>
    </xf>
    <xf numFmtId="0" fontId="2" fillId="0" borderId="1" xfId="0" applyFont="1" applyBorder="1" applyAlignment="1">
      <alignment vertical="center" shrinkToFit="1"/>
    </xf>
    <xf numFmtId="165" fontId="10" fillId="0" borderId="1" xfId="0" applyNumberFormat="1" applyFont="1" applyBorder="1" applyAlignment="1">
      <alignment vertical="center" shrinkToFit="1"/>
    </xf>
    <xf numFmtId="0" fontId="10" fillId="0" borderId="1" xfId="0" applyFont="1" applyBorder="1" applyAlignment="1">
      <alignment vertical="center" shrinkToFit="1"/>
    </xf>
    <xf numFmtId="14" fontId="0" fillId="2" borderId="1" xfId="0" applyNumberFormat="1" applyFill="1" applyBorder="1" applyAlignment="1">
      <alignment vertical="center" shrinkToFit="1"/>
    </xf>
    <xf numFmtId="0" fontId="0" fillId="2" borderId="1" xfId="0" applyFill="1" applyBorder="1" applyAlignment="1">
      <alignment vertical="center" shrinkToFit="1"/>
    </xf>
    <xf numFmtId="164" fontId="10" fillId="0" borderId="1" xfId="0" applyNumberFormat="1" applyFont="1" applyBorder="1">
      <alignment vertical="center"/>
    </xf>
    <xf numFmtId="164" fontId="10" fillId="0" borderId="1" xfId="0" applyNumberFormat="1" applyFont="1" applyBorder="1" applyAlignment="1">
      <alignment horizontal="right" vertical="center"/>
    </xf>
    <xf numFmtId="164" fontId="12" fillId="0" borderId="1" xfId="0" applyNumberFormat="1" applyFont="1" applyBorder="1" applyAlignment="1">
      <alignment horizontal="right" vertical="center"/>
    </xf>
    <xf numFmtId="14" fontId="2" fillId="0" borderId="1" xfId="0" applyNumberFormat="1" applyFont="1" applyBorder="1" applyAlignment="1">
      <alignment vertical="center" shrinkToFit="1"/>
    </xf>
    <xf numFmtId="0" fontId="2" fillId="0" borderId="0" xfId="0" applyFont="1" applyAlignment="1">
      <alignment vertical="center" shrinkToFit="1"/>
    </xf>
    <xf numFmtId="14" fontId="2" fillId="2" borderId="1" xfId="0" applyNumberFormat="1" applyFont="1" applyFill="1" applyBorder="1" applyAlignment="1">
      <alignment vertical="center" shrinkToFit="1"/>
    </xf>
    <xf numFmtId="0" fontId="2" fillId="2" borderId="1" xfId="0" applyFont="1" applyFill="1" applyBorder="1" applyAlignment="1">
      <alignment vertical="center" shrinkToFit="1"/>
    </xf>
    <xf numFmtId="165" fontId="10" fillId="0" borderId="3" xfId="0" applyNumberFormat="1" applyFont="1" applyBorder="1" applyAlignment="1">
      <alignment horizontal="center" vertical="center" shrinkToFit="1"/>
    </xf>
    <xf numFmtId="14" fontId="2" fillId="0" borderId="3" xfId="0" applyNumberFormat="1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0" fontId="10" fillId="0" borderId="3" xfId="0" applyFont="1" applyBorder="1" applyAlignment="1">
      <alignment horizontal="center" vertical="center" shrinkToFit="1"/>
    </xf>
    <xf numFmtId="14" fontId="2" fillId="0" borderId="4" xfId="0" applyNumberFormat="1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165" fontId="10" fillId="0" borderId="4" xfId="0" applyNumberFormat="1" applyFont="1" applyBorder="1" applyAlignment="1">
      <alignment horizontal="center" vertical="center" shrinkToFit="1"/>
    </xf>
    <xf numFmtId="165" fontId="14" fillId="3" borderId="1" xfId="0" applyNumberFormat="1" applyFont="1" applyFill="1" applyBorder="1" applyAlignment="1">
      <alignment vertical="center" shrinkToFit="1"/>
    </xf>
    <xf numFmtId="0" fontId="14" fillId="3" borderId="1" xfId="0" applyFont="1" applyFill="1" applyBorder="1" applyAlignment="1">
      <alignment vertical="center" shrinkToFit="1"/>
    </xf>
    <xf numFmtId="164" fontId="15" fillId="5" borderId="1" xfId="0" applyNumberFormat="1" applyFont="1" applyFill="1" applyBorder="1" applyAlignment="1">
      <alignment horizontal="center" vertical="center" shrinkToFit="1"/>
    </xf>
    <xf numFmtId="0" fontId="15" fillId="5" borderId="1" xfId="0" applyFont="1" applyFill="1" applyBorder="1" applyAlignment="1">
      <alignment horizontal="center" vertical="center" shrinkToFit="1"/>
    </xf>
    <xf numFmtId="14" fontId="0" fillId="0" borderId="1" xfId="0" applyNumberFormat="1" applyBorder="1" applyAlignment="1">
      <alignment vertical="center" shrinkToFit="1"/>
    </xf>
    <xf numFmtId="166" fontId="10" fillId="0" borderId="1" xfId="0" applyNumberFormat="1" applyFont="1" applyBorder="1" applyAlignment="1">
      <alignment vertical="center" shrinkToFit="1"/>
    </xf>
    <xf numFmtId="164" fontId="19" fillId="0" borderId="1" xfId="0" applyNumberFormat="1" applyFont="1" applyBorder="1" applyAlignment="1">
      <alignment horizontal="center" vertical="center"/>
    </xf>
    <xf numFmtId="164" fontId="19" fillId="0" borderId="0" xfId="0" applyNumberFormat="1" applyFont="1" applyAlignment="1">
      <alignment horizontal="right" vertical="center"/>
    </xf>
    <xf numFmtId="164" fontId="18" fillId="6" borderId="1" xfId="0" applyNumberFormat="1" applyFont="1" applyFill="1" applyBorder="1" applyAlignment="1">
      <alignment horizontal="center" vertical="center"/>
    </xf>
    <xf numFmtId="167" fontId="3" fillId="0" borderId="0" xfId="0" applyNumberFormat="1" applyFont="1">
      <alignment vertical="center"/>
    </xf>
    <xf numFmtId="164" fontId="19" fillId="0" borderId="0" xfId="0" applyNumberFormat="1" applyFont="1">
      <alignment vertical="center"/>
    </xf>
    <xf numFmtId="167" fontId="18" fillId="0" borderId="0" xfId="0" applyNumberFormat="1" applyFont="1">
      <alignment vertical="center"/>
    </xf>
    <xf numFmtId="164" fontId="19" fillId="0" borderId="1" xfId="0" applyNumberFormat="1" applyFont="1" applyBorder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8" fontId="0" fillId="0" borderId="0" xfId="0" applyNumberFormat="1">
      <alignment vertical="center"/>
    </xf>
    <xf numFmtId="165" fontId="9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165" fontId="19" fillId="0" borderId="1" xfId="0" applyNumberFormat="1" applyFont="1" applyBorder="1" applyAlignment="1">
      <alignment vertical="center" shrinkToFit="1"/>
    </xf>
    <xf numFmtId="0" fontId="22" fillId="0" borderId="0" xfId="0" applyFont="1" applyAlignment="1">
      <alignment vertical="center" shrinkToFit="1"/>
    </xf>
    <xf numFmtId="164" fontId="19" fillId="0" borderId="1" xfId="0" applyNumberFormat="1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/>
    </xf>
    <xf numFmtId="168" fontId="19" fillId="0" borderId="1" xfId="0" applyNumberFormat="1" applyFont="1" applyBorder="1" applyAlignment="1">
      <alignment horizontal="center" vertical="center"/>
    </xf>
    <xf numFmtId="0" fontId="23" fillId="8" borderId="1" xfId="0" applyFont="1" applyFill="1" applyBorder="1">
      <alignment vertical="center"/>
    </xf>
    <xf numFmtId="165" fontId="3" fillId="0" borderId="1" xfId="0" applyNumberFormat="1" applyFont="1" applyBorder="1">
      <alignment vertical="center"/>
    </xf>
    <xf numFmtId="168" fontId="3" fillId="0" borderId="1" xfId="0" applyNumberFormat="1" applyFont="1" applyBorder="1">
      <alignment vertical="center"/>
    </xf>
    <xf numFmtId="0" fontId="22" fillId="0" borderId="1" xfId="0" applyFont="1" applyBorder="1">
      <alignment vertical="center"/>
    </xf>
    <xf numFmtId="0" fontId="3" fillId="0" borderId="0" xfId="0" applyFont="1" applyAlignment="1">
      <alignment vertical="center" shrinkToFit="1"/>
    </xf>
    <xf numFmtId="165" fontId="3" fillId="0" borderId="0" xfId="0" applyNumberFormat="1" applyFont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center" vertical="center" shrinkToFit="1"/>
    </xf>
    <xf numFmtId="165" fontId="3" fillId="0" borderId="14" xfId="0" applyNumberFormat="1" applyFont="1" applyBorder="1" applyAlignment="1">
      <alignment horizontal="center" vertical="center" shrinkToFit="1"/>
    </xf>
    <xf numFmtId="169" fontId="3" fillId="0" borderId="16" xfId="0" applyNumberFormat="1" applyFont="1" applyBorder="1" applyAlignment="1">
      <alignment horizontal="center" vertical="center" shrinkToFit="1"/>
    </xf>
    <xf numFmtId="169" fontId="3" fillId="0" borderId="9" xfId="0" applyNumberFormat="1" applyFont="1" applyBorder="1" applyAlignment="1">
      <alignment horizontal="center" vertical="center" shrinkToFit="1"/>
    </xf>
    <xf numFmtId="0" fontId="3" fillId="0" borderId="19" xfId="0" applyFont="1" applyBorder="1" applyAlignment="1">
      <alignment horizontal="center" vertical="center" shrinkToFit="1"/>
    </xf>
    <xf numFmtId="0" fontId="3" fillId="0" borderId="20" xfId="0" applyFont="1" applyBorder="1" applyAlignment="1">
      <alignment horizontal="center" vertical="center" shrinkToFit="1"/>
    </xf>
    <xf numFmtId="169" fontId="3" fillId="0" borderId="2" xfId="0" applyNumberFormat="1" applyFont="1" applyBorder="1" applyAlignment="1">
      <alignment horizontal="center" vertical="center" shrinkToFit="1"/>
    </xf>
    <xf numFmtId="0" fontId="3" fillId="0" borderId="23" xfId="0" applyFont="1" applyBorder="1" applyAlignment="1">
      <alignment horizontal="center" vertical="center" shrinkToFit="1"/>
    </xf>
    <xf numFmtId="165" fontId="3" fillId="0" borderId="23" xfId="0" applyNumberFormat="1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22" fillId="0" borderId="27" xfId="0" applyFont="1" applyBorder="1" applyAlignment="1">
      <alignment vertical="center" shrinkToFit="1"/>
    </xf>
    <xf numFmtId="0" fontId="3" fillId="0" borderId="27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3" fillId="0" borderId="14" xfId="0" applyFont="1" applyBorder="1" applyAlignment="1">
      <alignment vertical="center" shrinkToFit="1"/>
    </xf>
    <xf numFmtId="0" fontId="3" fillId="0" borderId="32" xfId="0" applyFont="1" applyBorder="1" applyAlignment="1">
      <alignment horizontal="center" vertical="center" shrinkToFit="1"/>
    </xf>
    <xf numFmtId="169" fontId="3" fillId="0" borderId="33" xfId="0" applyNumberFormat="1" applyFont="1" applyBorder="1" applyAlignment="1">
      <alignment horizontal="center" vertical="center" shrinkToFit="1"/>
    </xf>
    <xf numFmtId="169" fontId="3" fillId="0" borderId="34" xfId="0" applyNumberFormat="1" applyFont="1" applyBorder="1" applyAlignment="1">
      <alignment horizontal="center" vertical="center" shrinkToFit="1"/>
    </xf>
    <xf numFmtId="165" fontId="25" fillId="0" borderId="1" xfId="0" applyNumberFormat="1" applyFont="1" applyBorder="1" applyAlignment="1">
      <alignment horizontal="center" vertical="center" shrinkToFit="1"/>
    </xf>
    <xf numFmtId="165" fontId="25" fillId="0" borderId="29" xfId="0" applyNumberFormat="1" applyFont="1" applyBorder="1" applyAlignment="1">
      <alignment horizontal="center" vertical="center" shrinkToFit="1"/>
    </xf>
    <xf numFmtId="14" fontId="26" fillId="8" borderId="1" xfId="0" applyNumberFormat="1" applyFont="1" applyFill="1" applyBorder="1">
      <alignment vertical="center"/>
    </xf>
    <xf numFmtId="14" fontId="27" fillId="0" borderId="1" xfId="0" applyNumberFormat="1" applyFont="1" applyBorder="1">
      <alignment vertical="center"/>
    </xf>
    <xf numFmtId="0" fontId="27" fillId="0" borderId="0" xfId="0" applyFont="1" applyAlignment="1">
      <alignment vertical="center" shrinkToFit="1"/>
    </xf>
    <xf numFmtId="0" fontId="28" fillId="0" borderId="26" xfId="0" applyFont="1" applyBorder="1" applyAlignment="1">
      <alignment horizontal="center" vertical="center" shrinkToFit="1"/>
    </xf>
    <xf numFmtId="0" fontId="27" fillId="0" borderId="26" xfId="0" applyFont="1" applyBorder="1" applyAlignment="1">
      <alignment horizontal="center" vertical="center" shrinkToFit="1"/>
    </xf>
    <xf numFmtId="0" fontId="27" fillId="0" borderId="26" xfId="0" applyFont="1" applyBorder="1" applyAlignment="1">
      <alignment vertical="center" shrinkToFit="1"/>
    </xf>
    <xf numFmtId="9" fontId="25" fillId="0" borderId="2" xfId="1" applyFont="1" applyBorder="1" applyAlignment="1">
      <alignment horizontal="center" vertical="center" shrinkToFit="1"/>
    </xf>
    <xf numFmtId="9" fontId="25" fillId="0" borderId="22" xfId="1" applyFont="1" applyBorder="1" applyAlignment="1">
      <alignment horizontal="center" vertical="center" shrinkToFit="1"/>
    </xf>
    <xf numFmtId="0" fontId="3" fillId="0" borderId="37" xfId="0" applyFont="1" applyBorder="1" applyAlignment="1">
      <alignment horizontal="center" vertical="center" shrinkToFit="1"/>
    </xf>
    <xf numFmtId="165" fontId="3" fillId="0" borderId="38" xfId="0" applyNumberFormat="1" applyFont="1" applyBorder="1" applyAlignment="1">
      <alignment horizontal="center" vertical="center" shrinkToFit="1"/>
    </xf>
    <xf numFmtId="169" fontId="3" fillId="0" borderId="39" xfId="0" applyNumberFormat="1" applyFont="1" applyBorder="1" applyAlignment="1">
      <alignment horizontal="center" vertical="center" shrinkToFit="1"/>
    </xf>
    <xf numFmtId="165" fontId="3" fillId="0" borderId="39" xfId="0" applyNumberFormat="1" applyFont="1" applyBorder="1" applyAlignment="1">
      <alignment horizontal="center" vertical="center" shrinkToFit="1"/>
    </xf>
    <xf numFmtId="165" fontId="3" fillId="0" borderId="0" xfId="0" applyNumberFormat="1" applyFont="1" applyAlignment="1">
      <alignment vertical="center" shrinkToFit="1"/>
    </xf>
    <xf numFmtId="0" fontId="3" fillId="8" borderId="28" xfId="0" applyFont="1" applyFill="1" applyBorder="1" applyAlignment="1">
      <alignment horizontal="center" vertical="center" shrinkToFit="1"/>
    </xf>
    <xf numFmtId="0" fontId="3" fillId="8" borderId="32" xfId="0" applyFont="1" applyFill="1" applyBorder="1" applyAlignment="1">
      <alignment horizontal="center" vertical="center" shrinkToFit="1"/>
    </xf>
    <xf numFmtId="165" fontId="3" fillId="8" borderId="40" xfId="0" applyNumberFormat="1" applyFont="1" applyFill="1" applyBorder="1" applyAlignment="1">
      <alignment horizontal="center" vertical="center" shrinkToFit="1"/>
    </xf>
    <xf numFmtId="0" fontId="19" fillId="8" borderId="30" xfId="0" applyFont="1" applyFill="1" applyBorder="1" applyAlignment="1">
      <alignment horizontal="center" vertical="center" shrinkToFit="1"/>
    </xf>
    <xf numFmtId="165" fontId="3" fillId="8" borderId="39" xfId="0" applyNumberFormat="1" applyFont="1" applyFill="1" applyBorder="1" applyAlignment="1">
      <alignment horizontal="center" vertical="center" shrinkToFit="1"/>
    </xf>
    <xf numFmtId="0" fontId="3" fillId="8" borderId="21" xfId="0" applyFont="1" applyFill="1" applyBorder="1" applyAlignment="1">
      <alignment horizontal="center" vertical="center" shrinkToFit="1"/>
    </xf>
    <xf numFmtId="169" fontId="3" fillId="8" borderId="24" xfId="0" applyNumberFormat="1" applyFont="1" applyFill="1" applyBorder="1" applyAlignment="1">
      <alignment horizontal="center" vertical="center" shrinkToFit="1"/>
    </xf>
    <xf numFmtId="169" fontId="3" fillId="8" borderId="25" xfId="0" applyNumberFormat="1" applyFont="1" applyFill="1" applyBorder="1" applyAlignment="1">
      <alignment horizontal="center" vertical="center" shrinkToFit="1"/>
    </xf>
    <xf numFmtId="169" fontId="3" fillId="8" borderId="35" xfId="0" applyNumberFormat="1" applyFont="1" applyFill="1" applyBorder="1" applyAlignment="1">
      <alignment horizontal="center" vertical="center" shrinkToFit="1"/>
    </xf>
    <xf numFmtId="0" fontId="31" fillId="0" borderId="45" xfId="0" applyFont="1" applyBorder="1">
      <alignment vertical="center"/>
    </xf>
    <xf numFmtId="0" fontId="31" fillId="0" borderId="44" xfId="0" applyFont="1" applyBorder="1">
      <alignment vertical="center"/>
    </xf>
    <xf numFmtId="0" fontId="31" fillId="0" borderId="1" xfId="0" applyFont="1" applyBorder="1">
      <alignment vertical="center"/>
    </xf>
    <xf numFmtId="0" fontId="2" fillId="0" borderId="0" xfId="0" applyFont="1">
      <alignment vertical="center"/>
    </xf>
    <xf numFmtId="166" fontId="31" fillId="0" borderId="45" xfId="0" applyNumberFormat="1" applyFont="1" applyBorder="1">
      <alignment vertical="center"/>
    </xf>
    <xf numFmtId="166" fontId="36" fillId="0" borderId="3" xfId="0" applyNumberFormat="1" applyFont="1" applyBorder="1" applyAlignment="1">
      <alignment horizontal="left" vertical="center" shrinkToFit="1"/>
    </xf>
    <xf numFmtId="0" fontId="11" fillId="8" borderId="3" xfId="0" applyFont="1" applyFill="1" applyBorder="1">
      <alignment vertical="center"/>
    </xf>
    <xf numFmtId="0" fontId="37" fillId="11" borderId="3" xfId="0" applyFont="1" applyFill="1" applyBorder="1" applyAlignment="1">
      <alignment horizontal="center" vertical="center" shrinkToFit="1"/>
    </xf>
    <xf numFmtId="0" fontId="37" fillId="11" borderId="45" xfId="0" applyFont="1" applyFill="1" applyBorder="1" applyAlignment="1">
      <alignment horizontal="center" vertical="center" shrinkToFit="1"/>
    </xf>
    <xf numFmtId="166" fontId="35" fillId="0" borderId="3" xfId="0" applyNumberFormat="1" applyFont="1" applyBorder="1" applyAlignment="1">
      <alignment horizontal="left" vertical="center"/>
    </xf>
    <xf numFmtId="0" fontId="33" fillId="0" borderId="45" xfId="0" applyFont="1" applyBorder="1" applyAlignment="1">
      <alignment horizontal="left" vertical="center" shrinkToFit="1"/>
    </xf>
    <xf numFmtId="0" fontId="38" fillId="0" borderId="45" xfId="0" applyFont="1" applyBorder="1" applyAlignment="1">
      <alignment horizontal="left" vertical="center" shrinkToFit="1"/>
    </xf>
    <xf numFmtId="0" fontId="38" fillId="0" borderId="45" xfId="0" applyFont="1" applyBorder="1">
      <alignment vertical="center"/>
    </xf>
    <xf numFmtId="167" fontId="3" fillId="0" borderId="0" xfId="0" applyNumberFormat="1" applyFont="1" applyAlignment="1">
      <alignment vertical="center" shrinkToFit="1"/>
    </xf>
    <xf numFmtId="167" fontId="22" fillId="0" borderId="0" xfId="0" applyNumberFormat="1" applyFont="1" applyAlignment="1">
      <alignment vertical="center" shrinkToFit="1"/>
    </xf>
    <xf numFmtId="166" fontId="31" fillId="8" borderId="45" xfId="0" applyNumberFormat="1" applyFont="1" applyFill="1" applyBorder="1">
      <alignment vertical="center"/>
    </xf>
    <xf numFmtId="0" fontId="31" fillId="3" borderId="6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44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shrinkToFit="1"/>
    </xf>
    <xf numFmtId="165" fontId="25" fillId="0" borderId="6" xfId="0" applyNumberFormat="1" applyFont="1" applyBorder="1" applyAlignment="1">
      <alignment horizontal="center" vertical="center" shrinkToFit="1"/>
    </xf>
    <xf numFmtId="9" fontId="25" fillId="0" borderId="46" xfId="1" applyFont="1" applyBorder="1" applyAlignment="1">
      <alignment horizontal="center" vertical="center" shrinkToFit="1"/>
    </xf>
    <xf numFmtId="168" fontId="19" fillId="0" borderId="1" xfId="0" applyNumberFormat="1" applyFont="1" applyBorder="1" applyAlignment="1">
      <alignment horizontal="center" vertical="center" shrinkToFit="1"/>
    </xf>
    <xf numFmtId="167" fontId="19" fillId="0" borderId="1" xfId="0" applyNumberFormat="1" applyFont="1" applyBorder="1" applyAlignment="1">
      <alignment horizontal="center" vertical="center" shrinkToFit="1"/>
    </xf>
    <xf numFmtId="14" fontId="29" fillId="7" borderId="1" xfId="0" applyNumberFormat="1" applyFont="1" applyFill="1" applyBorder="1" applyAlignment="1">
      <alignment vertical="center" shrinkToFit="1"/>
    </xf>
    <xf numFmtId="0" fontId="30" fillId="7" borderId="1" xfId="0" applyFont="1" applyFill="1" applyBorder="1" applyAlignment="1">
      <alignment vertical="center" shrinkToFit="1"/>
    </xf>
    <xf numFmtId="168" fontId="9" fillId="0" borderId="1" xfId="0" applyNumberFormat="1" applyFont="1" applyBorder="1" applyAlignment="1">
      <alignment vertical="center" shrinkToFit="1"/>
    </xf>
    <xf numFmtId="167" fontId="9" fillId="0" borderId="1" xfId="0" applyNumberFormat="1" applyFont="1" applyBorder="1" applyAlignment="1">
      <alignment vertical="center" shrinkToFit="1"/>
    </xf>
    <xf numFmtId="14" fontId="26" fillId="9" borderId="1" xfId="0" applyNumberFormat="1" applyFont="1" applyFill="1" applyBorder="1" applyAlignment="1">
      <alignment vertical="center" shrinkToFit="1"/>
    </xf>
    <xf numFmtId="0" fontId="23" fillId="9" borderId="1" xfId="0" applyFont="1" applyFill="1" applyBorder="1" applyAlignment="1">
      <alignment vertical="center" shrinkToFit="1"/>
    </xf>
    <xf numFmtId="165" fontId="39" fillId="6" borderId="1" xfId="0" applyNumberFormat="1" applyFont="1" applyFill="1" applyBorder="1" applyAlignment="1">
      <alignment vertical="center" shrinkToFit="1"/>
    </xf>
    <xf numFmtId="167" fontId="39" fillId="6" borderId="1" xfId="0" applyNumberFormat="1" applyFont="1" applyFill="1" applyBorder="1" applyAlignment="1">
      <alignment vertical="center" shrinkToFit="1"/>
    </xf>
    <xf numFmtId="0" fontId="3" fillId="0" borderId="47" xfId="0" applyFont="1" applyBorder="1" applyAlignment="1">
      <alignment horizontal="center" vertical="center" shrinkToFit="1"/>
    </xf>
    <xf numFmtId="0" fontId="3" fillId="0" borderId="48" xfId="0" applyFont="1" applyBorder="1" applyAlignment="1">
      <alignment horizontal="center" vertical="center" shrinkToFit="1"/>
    </xf>
    <xf numFmtId="0" fontId="40" fillId="0" borderId="1" xfId="0" applyFont="1" applyBorder="1">
      <alignment vertical="center"/>
    </xf>
    <xf numFmtId="0" fontId="0" fillId="0" borderId="39" xfId="0" applyBorder="1">
      <alignment vertical="center"/>
    </xf>
    <xf numFmtId="168" fontId="19" fillId="13" borderId="1" xfId="0" applyNumberFormat="1" applyFont="1" applyFill="1" applyBorder="1" applyAlignment="1">
      <alignment horizontal="center" vertical="center" shrinkToFit="1"/>
    </xf>
    <xf numFmtId="168" fontId="5" fillId="13" borderId="1" xfId="0" applyNumberFormat="1" applyFont="1" applyFill="1" applyBorder="1" applyAlignment="1">
      <alignment vertical="center" shrinkToFit="1"/>
    </xf>
    <xf numFmtId="165" fontId="41" fillId="0" borderId="23" xfId="0" applyNumberFormat="1" applyFont="1" applyBorder="1" applyAlignment="1">
      <alignment horizontal="center" vertical="center" shrinkToFit="1"/>
    </xf>
    <xf numFmtId="3" fontId="9" fillId="0" borderId="1" xfId="0" applyNumberFormat="1" applyFont="1" applyBorder="1">
      <alignment vertical="center"/>
    </xf>
    <xf numFmtId="0" fontId="9" fillId="0" borderId="1" xfId="0" applyFont="1" applyBorder="1">
      <alignment vertical="center"/>
    </xf>
    <xf numFmtId="0" fontId="42" fillId="0" borderId="1" xfId="0" applyFont="1" applyBorder="1">
      <alignment vertical="center"/>
    </xf>
    <xf numFmtId="0" fontId="0" fillId="0" borderId="2" xfId="0" applyBorder="1">
      <alignment vertical="center"/>
    </xf>
    <xf numFmtId="170" fontId="43" fillId="0" borderId="49" xfId="0" applyNumberFormat="1" applyFont="1" applyBorder="1">
      <alignment vertical="center"/>
    </xf>
    <xf numFmtId="170" fontId="44" fillId="0" borderId="0" xfId="0" applyNumberFormat="1" applyFont="1">
      <alignment vertical="center"/>
    </xf>
    <xf numFmtId="164" fontId="5" fillId="14" borderId="1" xfId="0" applyNumberFormat="1" applyFont="1" applyFill="1" applyBorder="1" applyAlignment="1">
      <alignment horizontal="center" vertical="center"/>
    </xf>
    <xf numFmtId="165" fontId="9" fillId="14" borderId="1" xfId="0" applyNumberFormat="1" applyFont="1" applyFill="1" applyBorder="1">
      <alignment vertical="center"/>
    </xf>
    <xf numFmtId="0" fontId="2" fillId="14" borderId="1" xfId="0" applyFont="1" applyFill="1" applyBorder="1">
      <alignment vertical="center"/>
    </xf>
    <xf numFmtId="0" fontId="0" fillId="14" borderId="1" xfId="0" applyFill="1" applyBorder="1">
      <alignment vertical="center"/>
    </xf>
    <xf numFmtId="0" fontId="0" fillId="14" borderId="2" xfId="0" applyFill="1" applyBorder="1">
      <alignment vertical="center"/>
    </xf>
    <xf numFmtId="3" fontId="9" fillId="0" borderId="1" xfId="0" applyNumberFormat="1" applyFont="1" applyBorder="1" applyAlignment="1">
      <alignment vertical="center" shrinkToFit="1"/>
    </xf>
    <xf numFmtId="0" fontId="9" fillId="0" borderId="1" xfId="0" applyFont="1" applyBorder="1" applyAlignment="1">
      <alignment vertical="center" shrinkToFit="1"/>
    </xf>
    <xf numFmtId="0" fontId="42" fillId="0" borderId="1" xfId="0" applyFont="1" applyBorder="1" applyAlignment="1">
      <alignment vertical="center" shrinkToFit="1"/>
    </xf>
    <xf numFmtId="169" fontId="3" fillId="8" borderId="52" xfId="0" applyNumberFormat="1" applyFont="1" applyFill="1" applyBorder="1" applyAlignment="1">
      <alignment horizontal="center" vertical="center" shrinkToFit="1"/>
    </xf>
    <xf numFmtId="0" fontId="3" fillId="0" borderId="68" xfId="0" applyFont="1" applyBorder="1" applyAlignment="1">
      <alignment horizontal="center" vertical="center" shrinkToFit="1"/>
    </xf>
    <xf numFmtId="165" fontId="41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vertical="center" shrinkToFit="1"/>
    </xf>
    <xf numFmtId="169" fontId="3" fillId="0" borderId="1" xfId="0" applyNumberFormat="1" applyFont="1" applyBorder="1" applyAlignment="1">
      <alignment vertical="center" shrinkToFit="1"/>
    </xf>
    <xf numFmtId="10" fontId="25" fillId="0" borderId="50" xfId="1" applyNumberFormat="1" applyFont="1" applyBorder="1" applyAlignment="1">
      <alignment horizontal="center" vertical="center" shrinkToFit="1"/>
    </xf>
    <xf numFmtId="165" fontId="3" fillId="0" borderId="1" xfId="0" applyNumberFormat="1" applyFont="1" applyBorder="1" applyAlignment="1">
      <alignment horizontal="center" vertical="center" shrinkToFit="1"/>
    </xf>
    <xf numFmtId="169" fontId="3" fillId="0" borderId="1" xfId="0" applyNumberFormat="1" applyFont="1" applyBorder="1" applyAlignment="1">
      <alignment horizontal="center" vertical="center" shrinkToFit="1"/>
    </xf>
    <xf numFmtId="14" fontId="28" fillId="7" borderId="1" xfId="0" applyNumberFormat="1" applyFont="1" applyFill="1" applyBorder="1" applyAlignment="1">
      <alignment vertical="center" shrinkToFit="1"/>
    </xf>
    <xf numFmtId="0" fontId="3" fillId="7" borderId="1" xfId="0" applyFont="1" applyFill="1" applyBorder="1" applyAlignment="1">
      <alignment vertical="center" shrinkToFit="1"/>
    </xf>
    <xf numFmtId="0" fontId="19" fillId="9" borderId="1" xfId="0" applyFont="1" applyFill="1" applyBorder="1" applyAlignment="1">
      <alignment vertical="center" shrinkToFit="1"/>
    </xf>
    <xf numFmtId="0" fontId="49" fillId="0" borderId="1" xfId="0" applyFont="1" applyBorder="1" applyAlignment="1">
      <alignment vertical="center" shrinkToFit="1"/>
    </xf>
    <xf numFmtId="0" fontId="28" fillId="0" borderId="0" xfId="0" applyFont="1" applyAlignment="1">
      <alignment vertical="center" shrinkToFit="1"/>
    </xf>
    <xf numFmtId="166" fontId="3" fillId="0" borderId="1" xfId="0" applyNumberFormat="1" applyFont="1" applyBorder="1" applyAlignment="1">
      <alignment vertical="center" shrinkToFit="1"/>
    </xf>
    <xf numFmtId="0" fontId="52" fillId="8" borderId="1" xfId="0" applyFont="1" applyFill="1" applyBorder="1" applyAlignment="1">
      <alignment vertical="center" shrinkToFit="1"/>
    </xf>
    <xf numFmtId="169" fontId="9" fillId="0" borderId="1" xfId="0" applyNumberFormat="1" applyFont="1" applyBorder="1" applyAlignment="1">
      <alignment vertical="center" shrinkToFit="1"/>
    </xf>
    <xf numFmtId="169" fontId="5" fillId="13" borderId="1" xfId="0" applyNumberFormat="1" applyFont="1" applyFill="1" applyBorder="1" applyAlignment="1">
      <alignment vertical="center" shrinkToFit="1"/>
    </xf>
    <xf numFmtId="169" fontId="3" fillId="8" borderId="1" xfId="0" applyNumberFormat="1" applyFont="1" applyFill="1" applyBorder="1" applyAlignment="1">
      <alignment vertical="center" shrinkToFit="1"/>
    </xf>
    <xf numFmtId="166" fontId="3" fillId="0" borderId="1" xfId="0" applyNumberFormat="1" applyFont="1" applyBorder="1" applyAlignment="1">
      <alignment horizontal="center" vertical="center" shrinkToFit="1"/>
    </xf>
    <xf numFmtId="0" fontId="3" fillId="18" borderId="1" xfId="0" applyFont="1" applyFill="1" applyBorder="1" applyAlignment="1">
      <alignment horizontal="center" vertical="center" shrinkToFit="1"/>
    </xf>
    <xf numFmtId="166" fontId="3" fillId="18" borderId="1" xfId="0" applyNumberFormat="1" applyFont="1" applyFill="1" applyBorder="1" applyAlignment="1">
      <alignment vertical="center" shrinkToFit="1"/>
    </xf>
    <xf numFmtId="0" fontId="3" fillId="16" borderId="1" xfId="0" applyFont="1" applyFill="1" applyBorder="1" applyAlignment="1">
      <alignment vertical="center" shrinkToFit="1"/>
    </xf>
    <xf numFmtId="169" fontId="3" fillId="16" borderId="1" xfId="0" applyNumberFormat="1" applyFont="1" applyFill="1" applyBorder="1" applyAlignment="1">
      <alignment vertical="center" shrinkToFit="1"/>
    </xf>
    <xf numFmtId="168" fontId="0" fillId="7" borderId="39" xfId="0" applyNumberFormat="1" applyFill="1" applyBorder="1">
      <alignment vertical="center"/>
    </xf>
    <xf numFmtId="164" fontId="5" fillId="8" borderId="1" xfId="0" applyNumberFormat="1" applyFont="1" applyFill="1" applyBorder="1" applyAlignment="1">
      <alignment horizontal="center" vertical="center" shrinkToFit="1"/>
    </xf>
    <xf numFmtId="165" fontId="9" fillId="8" borderId="1" xfId="0" applyNumberFormat="1" applyFont="1" applyFill="1" applyBorder="1">
      <alignment vertical="center"/>
    </xf>
    <xf numFmtId="165" fontId="7" fillId="8" borderId="1" xfId="0" applyNumberFormat="1" applyFont="1" applyFill="1" applyBorder="1">
      <alignment vertical="center"/>
    </xf>
    <xf numFmtId="0" fontId="0" fillId="8" borderId="1" xfId="0" applyFill="1" applyBorder="1">
      <alignment vertical="center"/>
    </xf>
    <xf numFmtId="0" fontId="0" fillId="8" borderId="2" xfId="0" applyFill="1" applyBorder="1">
      <alignment vertical="center"/>
    </xf>
    <xf numFmtId="168" fontId="5" fillId="8" borderId="1" xfId="0" applyNumberFormat="1" applyFont="1" applyFill="1" applyBorder="1" applyAlignment="1">
      <alignment horizontal="center" vertical="center"/>
    </xf>
    <xf numFmtId="168" fontId="9" fillId="8" borderId="1" xfId="0" applyNumberFormat="1" applyFont="1" applyFill="1" applyBorder="1">
      <alignment vertical="center"/>
    </xf>
    <xf numFmtId="168" fontId="2" fillId="8" borderId="1" xfId="0" applyNumberFormat="1" applyFont="1" applyFill="1" applyBorder="1">
      <alignment vertical="center"/>
    </xf>
    <xf numFmtId="168" fontId="0" fillId="8" borderId="1" xfId="0" applyNumberFormat="1" applyFill="1" applyBorder="1">
      <alignment vertical="center"/>
    </xf>
    <xf numFmtId="168" fontId="0" fillId="8" borderId="2" xfId="0" applyNumberFormat="1" applyFill="1" applyBorder="1">
      <alignment vertical="center"/>
    </xf>
    <xf numFmtId="166" fontId="54" fillId="19" borderId="1" xfId="0" applyNumberFormat="1" applyFont="1" applyFill="1" applyBorder="1" applyAlignment="1">
      <alignment horizontal="center" vertical="center"/>
    </xf>
    <xf numFmtId="166" fontId="12" fillId="0" borderId="0" xfId="0" applyNumberFormat="1" applyFont="1">
      <alignment vertical="center"/>
    </xf>
    <xf numFmtId="166" fontId="12" fillId="13" borderId="1" xfId="0" applyNumberFormat="1" applyFont="1" applyFill="1" applyBorder="1">
      <alignment vertical="center"/>
    </xf>
    <xf numFmtId="166" fontId="11" fillId="0" borderId="1" xfId="0" applyNumberFormat="1" applyFont="1" applyBorder="1">
      <alignment vertical="center"/>
    </xf>
    <xf numFmtId="166" fontId="12" fillId="0" borderId="1" xfId="0" applyNumberFormat="1" applyFont="1" applyBorder="1">
      <alignment vertical="center"/>
    </xf>
    <xf numFmtId="166" fontId="60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165" fontId="5" fillId="0" borderId="1" xfId="0" applyNumberFormat="1" applyFont="1" applyBorder="1">
      <alignment vertical="center"/>
    </xf>
    <xf numFmtId="165" fontId="5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right" vertical="center"/>
    </xf>
    <xf numFmtId="0" fontId="5" fillId="23" borderId="1" xfId="0" applyFont="1" applyFill="1" applyBorder="1">
      <alignment vertical="center"/>
    </xf>
    <xf numFmtId="165" fontId="5" fillId="23" borderId="1" xfId="0" applyNumberFormat="1" applyFont="1" applyFill="1" applyBorder="1">
      <alignment vertical="center"/>
    </xf>
    <xf numFmtId="0" fontId="9" fillId="8" borderId="1" xfId="0" applyFont="1" applyFill="1" applyBorder="1">
      <alignment vertical="center"/>
    </xf>
    <xf numFmtId="0" fontId="9" fillId="7" borderId="1" xfId="0" applyFont="1" applyFill="1" applyBorder="1">
      <alignment vertical="center"/>
    </xf>
    <xf numFmtId="165" fontId="9" fillId="7" borderId="1" xfId="0" applyNumberFormat="1" applyFont="1" applyFill="1" applyBorder="1">
      <alignment vertical="center"/>
    </xf>
    <xf numFmtId="0" fontId="39" fillId="6" borderId="1" xfId="0" applyFont="1" applyFill="1" applyBorder="1">
      <alignment vertical="center"/>
    </xf>
    <xf numFmtId="165" fontId="39" fillId="6" borderId="1" xfId="0" applyNumberFormat="1" applyFont="1" applyFill="1" applyBorder="1">
      <alignment vertical="center"/>
    </xf>
    <xf numFmtId="168" fontId="5" fillId="13" borderId="1" xfId="0" applyNumberFormat="1" applyFont="1" applyFill="1" applyBorder="1" applyAlignment="1">
      <alignment horizontal="left" vertical="center" shrinkToFit="1"/>
    </xf>
    <xf numFmtId="168" fontId="19" fillId="13" borderId="6" xfId="0" applyNumberFormat="1" applyFont="1" applyFill="1" applyBorder="1" applyAlignment="1">
      <alignment horizontal="center" vertical="center" shrinkToFit="1"/>
    </xf>
    <xf numFmtId="169" fontId="5" fillId="13" borderId="6" xfId="0" applyNumberFormat="1" applyFont="1" applyFill="1" applyBorder="1" applyAlignment="1">
      <alignment vertical="center" shrinkToFit="1"/>
    </xf>
    <xf numFmtId="0" fontId="3" fillId="0" borderId="75" xfId="0" applyFont="1" applyBorder="1" applyAlignment="1">
      <alignment horizontal="center" vertical="center" shrinkToFit="1"/>
    </xf>
    <xf numFmtId="0" fontId="3" fillId="8" borderId="75" xfId="0" applyFont="1" applyFill="1" applyBorder="1" applyAlignment="1">
      <alignment horizontal="center" vertical="center" shrinkToFit="1"/>
    </xf>
    <xf numFmtId="165" fontId="25" fillId="0" borderId="75" xfId="0" applyNumberFormat="1" applyFont="1" applyBorder="1" applyAlignment="1">
      <alignment horizontal="center" vertical="center" shrinkToFit="1"/>
    </xf>
    <xf numFmtId="9" fontId="25" fillId="0" borderId="75" xfId="1" applyFont="1" applyBorder="1" applyAlignment="1">
      <alignment horizontal="center" vertical="center" shrinkToFit="1"/>
    </xf>
    <xf numFmtId="10" fontId="25" fillId="0" borderId="75" xfId="1" applyNumberFormat="1" applyFont="1" applyBorder="1" applyAlignment="1">
      <alignment horizontal="center" vertical="center" shrinkToFit="1"/>
    </xf>
    <xf numFmtId="0" fontId="3" fillId="16" borderId="75" xfId="0" applyFont="1" applyFill="1" applyBorder="1" applyAlignment="1">
      <alignment vertical="center" shrinkToFit="1"/>
    </xf>
    <xf numFmtId="165" fontId="3" fillId="0" borderId="75" xfId="0" applyNumberFormat="1" applyFont="1" applyBorder="1" applyAlignment="1">
      <alignment horizontal="center" vertical="center" shrinkToFit="1"/>
    </xf>
    <xf numFmtId="169" fontId="3" fillId="0" borderId="75" xfId="0" applyNumberFormat="1" applyFont="1" applyBorder="1" applyAlignment="1">
      <alignment horizontal="center" vertical="center" shrinkToFit="1"/>
    </xf>
    <xf numFmtId="169" fontId="3" fillId="16" borderId="75" xfId="0" applyNumberFormat="1" applyFont="1" applyFill="1" applyBorder="1" applyAlignment="1">
      <alignment vertical="center" shrinkToFit="1"/>
    </xf>
    <xf numFmtId="0" fontId="19" fillId="8" borderId="75" xfId="0" applyFont="1" applyFill="1" applyBorder="1" applyAlignment="1">
      <alignment horizontal="center" vertical="center" shrinkToFit="1"/>
    </xf>
    <xf numFmtId="0" fontId="3" fillId="0" borderId="75" xfId="0" applyFont="1" applyBorder="1" applyAlignment="1">
      <alignment vertical="center" shrinkToFit="1"/>
    </xf>
    <xf numFmtId="169" fontId="3" fillId="0" borderId="75" xfId="0" applyNumberFormat="1" applyFont="1" applyBorder="1" applyAlignment="1">
      <alignment vertical="center" shrinkToFit="1"/>
    </xf>
    <xf numFmtId="169" fontId="3" fillId="8" borderId="75" xfId="0" applyNumberFormat="1" applyFont="1" applyFill="1" applyBorder="1" applyAlignment="1">
      <alignment vertical="center" shrinkToFit="1"/>
    </xf>
    <xf numFmtId="166" fontId="3" fillId="0" borderId="75" xfId="0" applyNumberFormat="1" applyFont="1" applyBorder="1" applyAlignment="1">
      <alignment horizontal="center" vertical="center" shrinkToFit="1"/>
    </xf>
    <xf numFmtId="0" fontId="3" fillId="18" borderId="75" xfId="0" applyFont="1" applyFill="1" applyBorder="1" applyAlignment="1">
      <alignment horizontal="center" vertical="center" shrinkToFit="1"/>
    </xf>
    <xf numFmtId="166" fontId="3" fillId="0" borderId="75" xfId="0" applyNumberFormat="1" applyFont="1" applyBorder="1" applyAlignment="1">
      <alignment vertical="center" shrinkToFit="1"/>
    </xf>
    <xf numFmtId="166" fontId="3" fillId="18" borderId="75" xfId="0" applyNumberFormat="1" applyFont="1" applyFill="1" applyBorder="1" applyAlignment="1">
      <alignment vertical="center" shrinkToFit="1"/>
    </xf>
    <xf numFmtId="0" fontId="19" fillId="9" borderId="8" xfId="0" applyFont="1" applyFill="1" applyBorder="1" applyAlignment="1">
      <alignment vertical="center" shrinkToFit="1"/>
    </xf>
    <xf numFmtId="0" fontId="3" fillId="0" borderId="86" xfId="0" applyFont="1" applyBorder="1" applyAlignment="1">
      <alignment vertical="center" shrinkToFit="1"/>
    </xf>
    <xf numFmtId="166" fontId="2" fillId="0" borderId="75" xfId="0" applyNumberFormat="1" applyFont="1" applyBorder="1" applyAlignment="1">
      <alignment horizontal="center" vertical="center" shrinkToFit="1"/>
    </xf>
    <xf numFmtId="0" fontId="2" fillId="0" borderId="75" xfId="0" applyFont="1" applyBorder="1" applyAlignment="1">
      <alignment vertical="center" shrinkToFit="1"/>
    </xf>
    <xf numFmtId="174" fontId="3" fillId="0" borderId="75" xfId="0" applyNumberFormat="1" applyFont="1" applyBorder="1" applyAlignment="1">
      <alignment vertical="center" shrinkToFit="1"/>
    </xf>
    <xf numFmtId="0" fontId="20" fillId="6" borderId="75" xfId="0" applyFont="1" applyFill="1" applyBorder="1" applyAlignment="1">
      <alignment vertical="center" shrinkToFit="1"/>
    </xf>
    <xf numFmtId="174" fontId="18" fillId="6" borderId="75" xfId="0" applyNumberFormat="1" applyFont="1" applyFill="1" applyBorder="1" applyAlignment="1">
      <alignment vertical="center" shrinkToFit="1"/>
    </xf>
    <xf numFmtId="173" fontId="62" fillId="0" borderId="77" xfId="0" applyNumberFormat="1" applyFont="1" applyBorder="1" applyAlignment="1">
      <alignment horizontal="center" vertical="center" shrinkToFit="1"/>
    </xf>
    <xf numFmtId="173" fontId="62" fillId="0" borderId="78" xfId="0" applyNumberFormat="1" applyFont="1" applyBorder="1" applyAlignment="1">
      <alignment horizontal="center" vertical="center" shrinkToFit="1"/>
    </xf>
    <xf numFmtId="0" fontId="61" fillId="6" borderId="79" xfId="0" applyFont="1" applyFill="1" applyBorder="1" applyAlignment="1">
      <alignment horizontal="center" vertical="center" shrinkToFit="1"/>
    </xf>
    <xf numFmtId="169" fontId="9" fillId="0" borderId="80" xfId="0" applyNumberFormat="1" applyFont="1" applyBorder="1" applyAlignment="1">
      <alignment horizontal="center" vertical="center" shrinkToFit="1"/>
    </xf>
    <xf numFmtId="169" fontId="9" fillId="0" borderId="81" xfId="0" applyNumberFormat="1" applyFont="1" applyBorder="1" applyAlignment="1">
      <alignment horizontal="center" vertical="center" shrinkToFit="1"/>
    </xf>
    <xf numFmtId="169" fontId="61" fillId="6" borderId="82" xfId="0" applyNumberFormat="1" applyFont="1" applyFill="1" applyBorder="1" applyAlignment="1">
      <alignment horizontal="center" vertical="center" shrinkToFit="1"/>
    </xf>
    <xf numFmtId="0" fontId="3" fillId="0" borderId="88" xfId="0" applyFont="1" applyBorder="1" applyAlignment="1">
      <alignment vertical="center" shrinkToFit="1"/>
    </xf>
    <xf numFmtId="0" fontId="3" fillId="0" borderId="89" xfId="0" applyFont="1" applyBorder="1" applyAlignment="1">
      <alignment vertical="center" shrinkToFit="1"/>
    </xf>
    <xf numFmtId="0" fontId="3" fillId="19" borderId="75" xfId="0" applyFont="1" applyFill="1" applyBorder="1" applyAlignment="1">
      <alignment horizontal="center" vertical="center" shrinkToFit="1"/>
    </xf>
    <xf numFmtId="166" fontId="3" fillId="19" borderId="75" xfId="0" applyNumberFormat="1" applyFont="1" applyFill="1" applyBorder="1" applyAlignment="1">
      <alignment vertical="center" shrinkToFit="1"/>
    </xf>
    <xf numFmtId="0" fontId="3" fillId="25" borderId="75" xfId="0" applyFont="1" applyFill="1" applyBorder="1" applyAlignment="1">
      <alignment horizontal="center" vertical="center" shrinkToFit="1"/>
    </xf>
    <xf numFmtId="166" fontId="3" fillId="25" borderId="75" xfId="0" applyNumberFormat="1" applyFont="1" applyFill="1" applyBorder="1" applyAlignment="1">
      <alignment vertical="center" shrinkToFit="1"/>
    </xf>
    <xf numFmtId="169" fontId="3" fillId="0" borderId="90" xfId="0" applyNumberFormat="1" applyFont="1" applyBorder="1" applyAlignment="1">
      <alignment horizontal="center" vertical="center" shrinkToFit="1"/>
    </xf>
    <xf numFmtId="169" fontId="3" fillId="0" borderId="90" xfId="0" applyNumberFormat="1" applyFont="1" applyBorder="1" applyAlignment="1">
      <alignment vertical="center" shrinkToFit="1"/>
    </xf>
    <xf numFmtId="169" fontId="3" fillId="8" borderId="90" xfId="0" applyNumberFormat="1" applyFont="1" applyFill="1" applyBorder="1" applyAlignment="1">
      <alignment vertical="center" shrinkToFit="1"/>
    </xf>
    <xf numFmtId="0" fontId="19" fillId="0" borderId="75" xfId="0" applyFont="1" applyBorder="1" applyAlignment="1">
      <alignment horizontal="center" vertical="center" shrinkToFit="1"/>
    </xf>
    <xf numFmtId="0" fontId="5" fillId="0" borderId="75" xfId="0" applyFont="1" applyBorder="1" applyAlignment="1">
      <alignment vertical="center" shrinkToFit="1"/>
    </xf>
    <xf numFmtId="0" fontId="19" fillId="0" borderId="75" xfId="0" applyFont="1" applyBorder="1" applyAlignment="1">
      <alignment vertical="center" shrinkToFit="1"/>
    </xf>
    <xf numFmtId="14" fontId="28" fillId="7" borderId="6" xfId="0" applyNumberFormat="1" applyFont="1" applyFill="1" applyBorder="1" applyAlignment="1">
      <alignment vertical="center" shrinkToFit="1"/>
    </xf>
    <xf numFmtId="0" fontId="3" fillId="7" borderId="8" xfId="0" applyFont="1" applyFill="1" applyBorder="1" applyAlignment="1">
      <alignment vertical="center" shrinkToFit="1"/>
    </xf>
    <xf numFmtId="169" fontId="3" fillId="7" borderId="90" xfId="0" applyNumberFormat="1" applyFont="1" applyFill="1" applyBorder="1" applyAlignment="1">
      <alignment vertical="center" shrinkToFit="1"/>
    </xf>
    <xf numFmtId="169" fontId="3" fillId="7" borderId="75" xfId="0" applyNumberFormat="1" applyFont="1" applyFill="1" applyBorder="1" applyAlignment="1">
      <alignment horizontal="center" vertical="center" shrinkToFit="1"/>
    </xf>
    <xf numFmtId="0" fontId="19" fillId="0" borderId="92" xfId="0" applyFont="1" applyBorder="1" applyAlignment="1">
      <alignment vertical="center" shrinkToFit="1"/>
    </xf>
    <xf numFmtId="0" fontId="3" fillId="0" borderId="92" xfId="0" applyFont="1" applyBorder="1" applyAlignment="1">
      <alignment vertical="center" shrinkToFit="1"/>
    </xf>
    <xf numFmtId="169" fontId="5" fillId="0" borderId="75" xfId="0" applyNumberFormat="1" applyFont="1" applyBorder="1" applyAlignment="1">
      <alignment vertical="center" shrinkToFit="1"/>
    </xf>
    <xf numFmtId="14" fontId="28" fillId="27" borderId="1" xfId="0" applyNumberFormat="1" applyFont="1" applyFill="1" applyBorder="1" applyAlignment="1">
      <alignment vertical="center" shrinkToFit="1"/>
    </xf>
    <xf numFmtId="0" fontId="3" fillId="27" borderId="1" xfId="0" applyFont="1" applyFill="1" applyBorder="1" applyAlignment="1">
      <alignment vertical="center" shrinkToFit="1"/>
    </xf>
    <xf numFmtId="169" fontId="9" fillId="27" borderId="1" xfId="0" applyNumberFormat="1" applyFont="1" applyFill="1" applyBorder="1" applyAlignment="1">
      <alignment vertical="center" shrinkToFit="1"/>
    </xf>
    <xf numFmtId="169" fontId="5" fillId="27" borderId="1" xfId="0" applyNumberFormat="1" applyFont="1" applyFill="1" applyBorder="1" applyAlignment="1">
      <alignment vertical="center" shrinkToFit="1"/>
    </xf>
    <xf numFmtId="14" fontId="28" fillId="0" borderId="1" xfId="0" applyNumberFormat="1" applyFont="1" applyBorder="1" applyAlignment="1">
      <alignment vertical="center" shrinkToFit="1"/>
    </xf>
    <xf numFmtId="0" fontId="19" fillId="0" borderId="1" xfId="0" applyFont="1" applyBorder="1" applyAlignment="1">
      <alignment vertical="center" shrinkToFit="1"/>
    </xf>
    <xf numFmtId="169" fontId="3" fillId="32" borderId="75" xfId="0" applyNumberFormat="1" applyFont="1" applyFill="1" applyBorder="1" applyAlignment="1">
      <alignment horizontal="center" vertical="center" shrinkToFit="1"/>
    </xf>
    <xf numFmtId="169" fontId="3" fillId="32" borderId="90" xfId="0" applyNumberFormat="1" applyFont="1" applyFill="1" applyBorder="1" applyAlignment="1">
      <alignment vertical="center" shrinkToFit="1"/>
    </xf>
    <xf numFmtId="169" fontId="3" fillId="32" borderId="75" xfId="0" applyNumberFormat="1" applyFont="1" applyFill="1" applyBorder="1" applyAlignment="1">
      <alignment vertical="center" shrinkToFit="1"/>
    </xf>
    <xf numFmtId="14" fontId="3" fillId="0" borderId="1" xfId="0" applyNumberFormat="1" applyFont="1" applyBorder="1" applyAlignment="1">
      <alignment horizontal="center" vertical="center" shrinkToFit="1"/>
    </xf>
    <xf numFmtId="0" fontId="19" fillId="0" borderId="0" xfId="0" applyFont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51" fillId="16" borderId="90" xfId="0" applyFont="1" applyFill="1" applyBorder="1" applyAlignment="1">
      <alignment horizontal="center" vertical="center" shrinkToFit="1"/>
    </xf>
    <xf numFmtId="0" fontId="3" fillId="0" borderId="92" xfId="0" applyFont="1" applyBorder="1" applyAlignment="1">
      <alignment horizontal="center" vertical="center" shrinkToFit="1"/>
    </xf>
    <xf numFmtId="0" fontId="69" fillId="27" borderId="0" xfId="0" applyFont="1" applyFill="1" applyAlignment="1">
      <alignment horizontal="center" vertical="center" shrinkToFit="1"/>
    </xf>
    <xf numFmtId="0" fontId="70" fillId="0" borderId="0" xfId="0" applyFont="1" applyAlignment="1">
      <alignment shrinkToFit="1"/>
    </xf>
    <xf numFmtId="169" fontId="75" fillId="33" borderId="75" xfId="0" applyNumberFormat="1" applyFont="1" applyFill="1" applyBorder="1" applyAlignment="1">
      <alignment vertical="center" shrinkToFit="1"/>
    </xf>
    <xf numFmtId="0" fontId="75" fillId="34" borderId="75" xfId="0" applyFont="1" applyFill="1" applyBorder="1" applyAlignment="1">
      <alignment vertical="center" shrinkToFit="1"/>
    </xf>
    <xf numFmtId="169" fontId="75" fillId="34" borderId="75" xfId="0" applyNumberFormat="1" applyFont="1" applyFill="1" applyBorder="1" applyAlignment="1">
      <alignment vertical="center" shrinkToFit="1"/>
    </xf>
    <xf numFmtId="0" fontId="19" fillId="19" borderId="75" xfId="0" applyFont="1" applyFill="1" applyBorder="1" applyAlignment="1">
      <alignment horizontal="center" vertical="center" shrinkToFit="1"/>
    </xf>
    <xf numFmtId="169" fontId="19" fillId="19" borderId="75" xfId="0" applyNumberFormat="1" applyFont="1" applyFill="1" applyBorder="1" applyAlignment="1">
      <alignment horizontal="center" vertical="center" shrinkToFit="1"/>
    </xf>
    <xf numFmtId="165" fontId="82" fillId="39" borderId="1" xfId="0" applyNumberFormat="1" applyFont="1" applyFill="1" applyBorder="1" applyAlignment="1">
      <alignment vertical="center" shrinkToFit="1"/>
    </xf>
    <xf numFmtId="169" fontId="80" fillId="27" borderId="1" xfId="0" applyNumberFormat="1" applyFont="1" applyFill="1" applyBorder="1" applyAlignment="1">
      <alignment vertical="center" shrinkToFit="1"/>
    </xf>
    <xf numFmtId="0" fontId="19" fillId="20" borderId="75" xfId="0" applyFont="1" applyFill="1" applyBorder="1" applyAlignment="1">
      <alignment horizontal="center" vertical="center" shrinkToFit="1"/>
    </xf>
    <xf numFmtId="166" fontId="19" fillId="20" borderId="75" xfId="0" applyNumberFormat="1" applyFont="1" applyFill="1" applyBorder="1" applyAlignment="1">
      <alignment vertical="center" shrinkToFit="1"/>
    </xf>
    <xf numFmtId="174" fontId="3" fillId="0" borderId="0" xfId="0" applyNumberFormat="1" applyFont="1" applyAlignment="1">
      <alignment vertical="center" shrinkToFit="1"/>
    </xf>
    <xf numFmtId="10" fontId="3" fillId="0" borderId="0" xfId="0" applyNumberFormat="1" applyFont="1" applyAlignment="1">
      <alignment vertical="center" shrinkToFit="1"/>
    </xf>
    <xf numFmtId="166" fontId="63" fillId="7" borderId="75" xfId="0" applyNumberFormat="1" applyFont="1" applyFill="1" applyBorder="1" applyAlignment="1">
      <alignment vertical="center" shrinkToFit="1"/>
    </xf>
    <xf numFmtId="0" fontId="85" fillId="7" borderId="75" xfId="0" applyFont="1" applyFill="1" applyBorder="1" applyAlignment="1">
      <alignment horizontal="center" vertical="center" shrinkToFit="1"/>
    </xf>
    <xf numFmtId="0" fontId="3" fillId="0" borderId="93" xfId="0" applyFont="1" applyBorder="1" applyAlignment="1">
      <alignment vertical="center" shrinkToFit="1"/>
    </xf>
    <xf numFmtId="0" fontId="87" fillId="41" borderId="93" xfId="0" applyFont="1" applyFill="1" applyBorder="1" applyAlignment="1">
      <alignment horizontal="center" vertical="center" shrinkToFit="1"/>
    </xf>
    <xf numFmtId="0" fontId="19" fillId="0" borderId="93" xfId="0" applyFont="1" applyBorder="1" applyAlignment="1">
      <alignment vertical="center" shrinkToFit="1"/>
    </xf>
    <xf numFmtId="174" fontId="3" fillId="0" borderId="93" xfId="0" applyNumberFormat="1" applyFont="1" applyBorder="1" applyAlignment="1">
      <alignment vertical="center" shrinkToFit="1"/>
    </xf>
    <xf numFmtId="174" fontId="88" fillId="41" borderId="93" xfId="0" applyNumberFormat="1" applyFont="1" applyFill="1" applyBorder="1" applyAlignment="1">
      <alignment vertical="center" shrinkToFit="1"/>
    </xf>
    <xf numFmtId="10" fontId="89" fillId="42" borderId="93" xfId="0" applyNumberFormat="1" applyFont="1" applyFill="1" applyBorder="1" applyAlignment="1">
      <alignment vertical="center" shrinkToFit="1"/>
    </xf>
    <xf numFmtId="165" fontId="25" fillId="0" borderId="90" xfId="0" applyNumberFormat="1" applyFont="1" applyBorder="1" applyAlignment="1">
      <alignment horizontal="center" vertical="center" shrinkToFit="1"/>
    </xf>
    <xf numFmtId="10" fontId="25" fillId="0" borderId="90" xfId="1" applyNumberFormat="1" applyFont="1" applyBorder="1" applyAlignment="1">
      <alignment horizontal="center" vertical="center" shrinkToFit="1"/>
    </xf>
    <xf numFmtId="169" fontId="3" fillId="7" borderId="90" xfId="0" applyNumberFormat="1" applyFont="1" applyFill="1" applyBorder="1" applyAlignment="1">
      <alignment horizontal="center" vertical="center" shrinkToFit="1"/>
    </xf>
    <xf numFmtId="169" fontId="75" fillId="33" borderId="90" xfId="0" applyNumberFormat="1" applyFont="1" applyFill="1" applyBorder="1" applyAlignment="1">
      <alignment vertical="center" shrinkToFit="1"/>
    </xf>
    <xf numFmtId="0" fontId="3" fillId="0" borderId="90" xfId="0" applyFont="1" applyBorder="1" applyAlignment="1">
      <alignment vertical="center" shrinkToFit="1"/>
    </xf>
    <xf numFmtId="0" fontId="11" fillId="32" borderId="97" xfId="0" applyFont="1" applyFill="1" applyBorder="1" applyAlignment="1">
      <alignment horizontal="center" vertical="center" shrinkToFit="1"/>
    </xf>
    <xf numFmtId="10" fontId="3" fillId="0" borderId="75" xfId="0" applyNumberFormat="1" applyFont="1" applyBorder="1" applyAlignment="1">
      <alignment vertical="center" shrinkToFit="1"/>
    </xf>
    <xf numFmtId="10" fontId="3" fillId="0" borderId="98" xfId="0" applyNumberFormat="1" applyFont="1" applyBorder="1" applyAlignment="1">
      <alignment vertical="center" shrinkToFit="1"/>
    </xf>
    <xf numFmtId="0" fontId="11" fillId="8" borderId="75" xfId="0" applyFont="1" applyFill="1" applyBorder="1" applyAlignment="1">
      <alignment horizontal="center" vertical="center" shrinkToFit="1"/>
    </xf>
    <xf numFmtId="10" fontId="3" fillId="0" borderId="100" xfId="0" applyNumberFormat="1" applyFont="1" applyBorder="1" applyAlignment="1">
      <alignment vertical="center" shrinkToFit="1"/>
    </xf>
    <xf numFmtId="10" fontId="3" fillId="0" borderId="101" xfId="0" applyNumberFormat="1" applyFont="1" applyBorder="1" applyAlignment="1">
      <alignment vertical="center" shrinkToFit="1"/>
    </xf>
    <xf numFmtId="174" fontId="19" fillId="0" borderId="75" xfId="0" applyNumberFormat="1" applyFont="1" applyBorder="1" applyAlignment="1">
      <alignment horizontal="center" vertical="center" shrinkToFit="1"/>
    </xf>
    <xf numFmtId="174" fontId="19" fillId="0" borderId="100" xfId="0" applyNumberFormat="1" applyFont="1" applyBorder="1" applyAlignment="1">
      <alignment horizontal="center" vertical="center" shrinkToFit="1"/>
    </xf>
    <xf numFmtId="0" fontId="84" fillId="32" borderId="97" xfId="0" applyFont="1" applyFill="1" applyBorder="1" applyAlignment="1">
      <alignment vertical="center" shrinkToFit="1"/>
    </xf>
    <xf numFmtId="0" fontId="3" fillId="32" borderId="97" xfId="0" applyFont="1" applyFill="1" applyBorder="1" applyAlignment="1">
      <alignment vertical="center" shrinkToFit="1"/>
    </xf>
    <xf numFmtId="0" fontId="84" fillId="8" borderId="75" xfId="0" applyFont="1" applyFill="1" applyBorder="1" applyAlignment="1">
      <alignment vertical="center" shrinkToFit="1"/>
    </xf>
    <xf numFmtId="0" fontId="19" fillId="8" borderId="75" xfId="0" applyFont="1" applyFill="1" applyBorder="1" applyAlignment="1">
      <alignment vertical="center" shrinkToFit="1"/>
    </xf>
    <xf numFmtId="0" fontId="11" fillId="8" borderId="100" xfId="0" applyFont="1" applyFill="1" applyBorder="1" applyAlignment="1">
      <alignment horizontal="center" vertical="center" shrinkToFit="1"/>
    </xf>
    <xf numFmtId="0" fontId="84" fillId="20" borderId="97" xfId="0" applyFont="1" applyFill="1" applyBorder="1" applyAlignment="1">
      <alignment vertical="center" shrinkToFit="1"/>
    </xf>
    <xf numFmtId="0" fontId="11" fillId="20" borderId="97" xfId="0" applyFont="1" applyFill="1" applyBorder="1" applyAlignment="1">
      <alignment horizontal="center" vertical="center" shrinkToFit="1"/>
    </xf>
    <xf numFmtId="0" fontId="11" fillId="20" borderId="99" xfId="0" applyFont="1" applyFill="1" applyBorder="1" applyAlignment="1">
      <alignment horizontal="center" vertical="center" shrinkToFit="1"/>
    </xf>
    <xf numFmtId="0" fontId="11" fillId="43" borderId="75" xfId="0" applyFont="1" applyFill="1" applyBorder="1" applyAlignment="1">
      <alignment horizontal="center" vertical="center" shrinkToFit="1"/>
    </xf>
    <xf numFmtId="0" fontId="84" fillId="43" borderId="75" xfId="0" applyFont="1" applyFill="1" applyBorder="1" applyAlignment="1">
      <alignment vertical="center" shrinkToFit="1"/>
    </xf>
    <xf numFmtId="0" fontId="3" fillId="35" borderId="92" xfId="0" applyFont="1" applyFill="1" applyBorder="1" applyAlignment="1">
      <alignment horizontal="center" vertical="center" shrinkToFit="1"/>
    </xf>
    <xf numFmtId="165" fontId="3" fillId="35" borderId="92" xfId="0" applyNumberFormat="1" applyFont="1" applyFill="1" applyBorder="1" applyAlignment="1">
      <alignment horizontal="center" vertical="center" shrinkToFit="1"/>
    </xf>
    <xf numFmtId="0" fontId="19" fillId="8" borderId="92" xfId="0" applyFont="1" applyFill="1" applyBorder="1" applyAlignment="1">
      <alignment horizontal="center" vertical="center" shrinkToFit="1"/>
    </xf>
    <xf numFmtId="169" fontId="3" fillId="0" borderId="92" xfId="0" applyNumberFormat="1" applyFont="1" applyBorder="1" applyAlignment="1">
      <alignment vertical="center" shrinkToFit="1"/>
    </xf>
    <xf numFmtId="169" fontId="75" fillId="33" borderId="92" xfId="0" applyNumberFormat="1" applyFont="1" applyFill="1" applyBorder="1" applyAlignment="1">
      <alignment vertical="center" shrinkToFit="1"/>
    </xf>
    <xf numFmtId="169" fontId="3" fillId="8" borderId="92" xfId="0" applyNumberFormat="1" applyFont="1" applyFill="1" applyBorder="1" applyAlignment="1">
      <alignment vertical="center" shrinkToFit="1"/>
    </xf>
    <xf numFmtId="166" fontId="3" fillId="0" borderId="92" xfId="0" applyNumberFormat="1" applyFont="1" applyBorder="1" applyAlignment="1">
      <alignment vertical="center" shrinkToFit="1"/>
    </xf>
    <xf numFmtId="166" fontId="68" fillId="0" borderId="92" xfId="0" applyNumberFormat="1" applyFont="1" applyBorder="1" applyAlignment="1">
      <alignment horizontal="center" vertical="center" shrinkToFit="1"/>
    </xf>
    <xf numFmtId="14" fontId="3" fillId="0" borderId="8" xfId="0" applyNumberFormat="1" applyFont="1" applyBorder="1" applyAlignment="1">
      <alignment horizontal="center" vertical="center" shrinkToFit="1"/>
    </xf>
    <xf numFmtId="0" fontId="68" fillId="35" borderId="1" xfId="0" applyFont="1" applyFill="1" applyBorder="1" applyAlignment="1">
      <alignment horizontal="center" vertical="center" shrinkToFit="1"/>
    </xf>
    <xf numFmtId="174" fontId="3" fillId="0" borderId="1" xfId="0" applyNumberFormat="1" applyFont="1" applyBorder="1" applyAlignment="1">
      <alignment vertical="center" shrinkToFit="1"/>
    </xf>
    <xf numFmtId="174" fontId="3" fillId="23" borderId="1" xfId="0" applyNumberFormat="1" applyFont="1" applyFill="1" applyBorder="1" applyAlignment="1">
      <alignment vertical="center" shrinkToFit="1"/>
    </xf>
    <xf numFmtId="1" fontId="3" fillId="0" borderId="93" xfId="0" applyNumberFormat="1" applyFont="1" applyBorder="1" applyAlignment="1">
      <alignment vertical="center" shrinkToFit="1"/>
    </xf>
    <xf numFmtId="1" fontId="88" fillId="41" borderId="93" xfId="0" applyNumberFormat="1" applyFont="1" applyFill="1" applyBorder="1" applyAlignment="1">
      <alignment vertical="center" shrinkToFit="1"/>
    </xf>
    <xf numFmtId="0" fontId="72" fillId="44" borderId="75" xfId="0" applyFont="1" applyFill="1" applyBorder="1" applyAlignment="1">
      <alignment horizontal="center" vertical="center" shrinkToFit="1"/>
    </xf>
    <xf numFmtId="166" fontId="72" fillId="44" borderId="75" xfId="0" applyNumberFormat="1" applyFont="1" applyFill="1" applyBorder="1" applyAlignment="1">
      <alignment vertical="center" shrinkToFit="1"/>
    </xf>
    <xf numFmtId="0" fontId="19" fillId="32" borderId="97" xfId="0" applyFont="1" applyFill="1" applyBorder="1" applyAlignment="1">
      <alignment vertical="center" shrinkToFit="1"/>
    </xf>
    <xf numFmtId="174" fontId="69" fillId="23" borderId="75" xfId="0" applyNumberFormat="1" applyFont="1" applyFill="1" applyBorder="1" applyAlignment="1">
      <alignment vertical="center" shrinkToFit="1"/>
    </xf>
    <xf numFmtId="174" fontId="69" fillId="29" borderId="92" xfId="0" applyNumberFormat="1" applyFont="1" applyFill="1" applyBorder="1" applyAlignment="1">
      <alignment vertical="center" shrinkToFit="1"/>
    </xf>
    <xf numFmtId="0" fontId="3" fillId="0" borderId="8" xfId="0" applyFont="1" applyBorder="1" applyAlignment="1">
      <alignment horizontal="left" vertical="center" shrinkToFit="1"/>
    </xf>
    <xf numFmtId="0" fontId="93" fillId="0" borderId="0" xfId="0" applyFont="1" applyAlignment="1">
      <alignment shrinkToFit="1"/>
    </xf>
    <xf numFmtId="169" fontId="9" fillId="7" borderId="1" xfId="0" applyNumberFormat="1" applyFont="1" applyFill="1" applyBorder="1" applyAlignment="1">
      <alignment vertical="center" shrinkToFit="1"/>
    </xf>
    <xf numFmtId="169" fontId="9" fillId="6" borderId="1" xfId="0" applyNumberFormat="1" applyFont="1" applyFill="1" applyBorder="1" applyAlignment="1">
      <alignment vertical="center" shrinkToFit="1"/>
    </xf>
    <xf numFmtId="174" fontId="3" fillId="45" borderId="75" xfId="0" applyNumberFormat="1" applyFont="1" applyFill="1" applyBorder="1" applyAlignment="1">
      <alignment vertical="center" shrinkToFit="1"/>
    </xf>
    <xf numFmtId="166" fontId="63" fillId="6" borderId="75" xfId="0" applyNumberFormat="1" applyFont="1" applyFill="1" applyBorder="1" applyAlignment="1">
      <alignment vertical="center" shrinkToFit="1"/>
    </xf>
    <xf numFmtId="166" fontId="3" fillId="6" borderId="75" xfId="0" applyNumberFormat="1" applyFont="1" applyFill="1" applyBorder="1" applyAlignment="1">
      <alignment horizontal="center" vertical="center" shrinkToFit="1"/>
    </xf>
    <xf numFmtId="166" fontId="3" fillId="6" borderId="75" xfId="0" applyNumberFormat="1" applyFont="1" applyFill="1" applyBorder="1" applyAlignment="1">
      <alignment vertical="center" shrinkToFit="1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>
      <alignment vertical="center"/>
    </xf>
    <xf numFmtId="14" fontId="94" fillId="0" borderId="1" xfId="0" applyNumberFormat="1" applyFont="1" applyBorder="1">
      <alignment vertical="center"/>
    </xf>
    <xf numFmtId="174" fontId="95" fillId="6" borderId="1" xfId="0" applyNumberFormat="1" applyFont="1" applyFill="1" applyBorder="1">
      <alignment vertical="center"/>
    </xf>
    <xf numFmtId="174" fontId="94" fillId="11" borderId="1" xfId="0" applyNumberFormat="1" applyFont="1" applyFill="1" applyBorder="1">
      <alignment vertical="center"/>
    </xf>
    <xf numFmtId="0" fontId="48" fillId="9" borderId="1" xfId="0" applyFont="1" applyFill="1" applyBorder="1" applyAlignment="1">
      <alignment vertical="center" shrinkToFit="1"/>
    </xf>
    <xf numFmtId="0" fontId="94" fillId="0" borderId="1" xfId="0" applyFont="1" applyBorder="1" applyAlignment="1">
      <alignment horizontal="center" vertical="center" shrinkToFit="1"/>
    </xf>
    <xf numFmtId="174" fontId="95" fillId="6" borderId="1" xfId="0" applyNumberFormat="1" applyFont="1" applyFill="1" applyBorder="1" applyAlignment="1">
      <alignment vertical="center" shrinkToFit="1"/>
    </xf>
    <xf numFmtId="14" fontId="94" fillId="0" borderId="1" xfId="0" applyNumberFormat="1" applyFont="1" applyBorder="1" applyAlignment="1">
      <alignment vertical="center" shrinkToFit="1"/>
    </xf>
    <xf numFmtId="0" fontId="94" fillId="0" borderId="1" xfId="0" applyFont="1" applyBorder="1" applyAlignment="1">
      <alignment vertical="center" shrinkToFit="1"/>
    </xf>
    <xf numFmtId="174" fontId="94" fillId="0" borderId="1" xfId="0" applyNumberFormat="1" applyFont="1" applyBorder="1" applyAlignment="1">
      <alignment vertical="center" shrinkToFit="1"/>
    </xf>
    <xf numFmtId="9" fontId="94" fillId="0" borderId="1" xfId="1" applyFont="1" applyBorder="1" applyAlignment="1">
      <alignment vertical="center" shrinkToFit="1"/>
    </xf>
    <xf numFmtId="174" fontId="94" fillId="11" borderId="1" xfId="0" applyNumberFormat="1" applyFont="1" applyFill="1" applyBorder="1" applyAlignment="1">
      <alignment vertical="center" shrinkToFit="1"/>
    </xf>
    <xf numFmtId="0" fontId="94" fillId="25" borderId="1" xfId="0" applyFont="1" applyFill="1" applyBorder="1" applyAlignment="1">
      <alignment vertical="center" shrinkToFit="1"/>
    </xf>
    <xf numFmtId="174" fontId="94" fillId="0" borderId="1" xfId="0" applyNumberFormat="1" applyFont="1" applyBorder="1">
      <alignment vertical="center"/>
    </xf>
    <xf numFmtId="9" fontId="94" fillId="0" borderId="1" xfId="1" applyFont="1" applyBorder="1">
      <alignment vertical="center"/>
    </xf>
    <xf numFmtId="0" fontId="96" fillId="46" borderId="1" xfId="0" applyFont="1" applyFill="1" applyBorder="1">
      <alignment vertical="center"/>
    </xf>
    <xf numFmtId="176" fontId="28" fillId="7" borderId="1" xfId="0" applyNumberFormat="1" applyFont="1" applyFill="1" applyBorder="1" applyAlignment="1">
      <alignment vertical="center" shrinkToFit="1"/>
    </xf>
    <xf numFmtId="176" fontId="28" fillId="7" borderId="6" xfId="0" applyNumberFormat="1" applyFont="1" applyFill="1" applyBorder="1" applyAlignment="1">
      <alignment vertical="center" shrinkToFit="1"/>
    </xf>
    <xf numFmtId="176" fontId="3" fillId="0" borderId="0" xfId="0" applyNumberFormat="1" applyFont="1" applyAlignment="1">
      <alignment vertical="center" shrinkToFit="1"/>
    </xf>
    <xf numFmtId="176" fontId="28" fillId="0" borderId="0" xfId="0" applyNumberFormat="1" applyFont="1" applyAlignment="1">
      <alignment vertical="center" shrinkToFit="1"/>
    </xf>
    <xf numFmtId="0" fontId="3" fillId="0" borderId="75" xfId="0" applyFont="1" applyBorder="1" applyAlignment="1">
      <alignment horizontal="center" vertical="center"/>
    </xf>
    <xf numFmtId="0" fontId="3" fillId="9" borderId="75" xfId="0" applyFont="1" applyFill="1" applyBorder="1" applyAlignment="1">
      <alignment horizontal="center" vertical="center"/>
    </xf>
    <xf numFmtId="0" fontId="3" fillId="24" borderId="75" xfId="0" applyFont="1" applyFill="1" applyBorder="1" applyAlignment="1">
      <alignment horizontal="center" vertical="center"/>
    </xf>
    <xf numFmtId="174" fontId="3" fillId="7" borderId="75" xfId="0" applyNumberFormat="1" applyFont="1" applyFill="1" applyBorder="1" applyAlignment="1">
      <alignment horizontal="center" vertical="center" shrinkToFit="1"/>
    </xf>
    <xf numFmtId="169" fontId="9" fillId="13" borderId="1" xfId="0" applyNumberFormat="1" applyFont="1" applyFill="1" applyBorder="1" applyAlignment="1">
      <alignment vertical="center" shrinkToFit="1"/>
    </xf>
    <xf numFmtId="174" fontId="3" fillId="0" borderId="75" xfId="0" applyNumberFormat="1" applyFont="1" applyBorder="1" applyAlignment="1">
      <alignment horizontal="center" vertical="center" shrinkToFit="1"/>
    </xf>
    <xf numFmtId="174" fontId="18" fillId="6" borderId="75" xfId="0" applyNumberFormat="1" applyFont="1" applyFill="1" applyBorder="1" applyAlignment="1">
      <alignment horizontal="center" vertical="center" shrinkToFit="1"/>
    </xf>
    <xf numFmtId="0" fontId="19" fillId="0" borderId="75" xfId="0" applyFont="1" applyBorder="1" applyAlignment="1">
      <alignment horizontal="left" vertical="center" shrinkToFit="1"/>
    </xf>
    <xf numFmtId="166" fontId="19" fillId="0" borderId="75" xfId="0" applyNumberFormat="1" applyFont="1" applyBorder="1" applyAlignment="1">
      <alignment horizontal="left" vertical="center" shrinkToFit="1"/>
    </xf>
    <xf numFmtId="0" fontId="18" fillId="6" borderId="75" xfId="0" applyFont="1" applyFill="1" applyBorder="1" applyAlignment="1">
      <alignment horizontal="left" vertical="center" shrinkToFit="1"/>
    </xf>
    <xf numFmtId="164" fontId="19" fillId="30" borderId="1" xfId="0" applyNumberFormat="1" applyFont="1" applyFill="1" applyBorder="1" applyAlignment="1">
      <alignment horizontal="center" vertical="center" shrinkToFit="1"/>
    </xf>
    <xf numFmtId="168" fontId="19" fillId="30" borderId="6" xfId="0" applyNumberFormat="1" applyFont="1" applyFill="1" applyBorder="1" applyAlignment="1">
      <alignment horizontal="center" vertical="center" shrinkToFit="1"/>
    </xf>
    <xf numFmtId="169" fontId="9" fillId="17" borderId="1" xfId="0" applyNumberFormat="1" applyFont="1" applyFill="1" applyBorder="1" applyAlignment="1">
      <alignment vertical="center" shrinkToFit="1"/>
    </xf>
    <xf numFmtId="0" fontId="100" fillId="6" borderId="97" xfId="0" applyFont="1" applyFill="1" applyBorder="1" applyAlignment="1">
      <alignment horizontal="center" vertical="center" shrinkToFit="1"/>
    </xf>
    <xf numFmtId="0" fontId="101" fillId="6" borderId="97" xfId="0" applyFont="1" applyFill="1" applyBorder="1" applyAlignment="1">
      <alignment horizontal="center" vertical="center" shrinkToFit="1"/>
    </xf>
    <xf numFmtId="171" fontId="19" fillId="0" borderId="75" xfId="0" applyNumberFormat="1" applyFont="1" applyBorder="1" applyAlignment="1">
      <alignment vertical="center" shrinkToFit="1"/>
    </xf>
    <xf numFmtId="0" fontId="101" fillId="6" borderId="99" xfId="0" applyFont="1" applyFill="1" applyBorder="1" applyAlignment="1">
      <alignment horizontal="center" vertical="center" shrinkToFit="1"/>
    </xf>
    <xf numFmtId="171" fontId="19" fillId="0" borderId="100" xfId="0" applyNumberFormat="1" applyFont="1" applyBorder="1" applyAlignment="1">
      <alignment vertical="center" shrinkToFit="1"/>
    </xf>
    <xf numFmtId="0" fontId="68" fillId="0" borderId="75" xfId="0" applyFont="1" applyBorder="1" applyAlignment="1">
      <alignment horizontal="center" vertical="center" shrinkToFit="1"/>
    </xf>
    <xf numFmtId="0" fontId="68" fillId="24" borderId="75" xfId="0" applyFont="1" applyFill="1" applyBorder="1" applyAlignment="1">
      <alignment horizontal="center" vertical="center" shrinkToFit="1"/>
    </xf>
    <xf numFmtId="173" fontId="2" fillId="0" borderId="75" xfId="0" applyNumberFormat="1" applyFont="1" applyBorder="1" applyAlignment="1">
      <alignment horizontal="center" vertical="center" shrinkToFit="1"/>
    </xf>
    <xf numFmtId="174" fontId="3" fillId="24" borderId="75" xfId="0" applyNumberFormat="1" applyFont="1" applyFill="1" applyBorder="1" applyAlignment="1">
      <alignment vertical="center" shrinkToFit="1"/>
    </xf>
    <xf numFmtId="174" fontId="3" fillId="11" borderId="75" xfId="0" applyNumberFormat="1" applyFont="1" applyFill="1" applyBorder="1" applyAlignment="1">
      <alignment vertical="center" shrinkToFit="1"/>
    </xf>
    <xf numFmtId="9" fontId="3" fillId="11" borderId="75" xfId="1" applyFont="1" applyFill="1" applyBorder="1" applyAlignment="1">
      <alignment vertical="center" shrinkToFit="1"/>
    </xf>
    <xf numFmtId="174" fontId="3" fillId="14" borderId="75" xfId="0" applyNumberFormat="1" applyFont="1" applyFill="1" applyBorder="1" applyAlignment="1">
      <alignment vertical="center" shrinkToFit="1"/>
    </xf>
    <xf numFmtId="9" fontId="3" fillId="14" borderId="75" xfId="1" applyFont="1" applyFill="1" applyBorder="1" applyAlignment="1">
      <alignment vertical="center" shrinkToFit="1"/>
    </xf>
    <xf numFmtId="174" fontId="3" fillId="13" borderId="75" xfId="0" applyNumberFormat="1" applyFont="1" applyFill="1" applyBorder="1" applyAlignment="1">
      <alignment vertical="center" shrinkToFit="1"/>
    </xf>
    <xf numFmtId="9" fontId="3" fillId="13" borderId="75" xfId="1" applyFont="1" applyFill="1" applyBorder="1" applyAlignment="1">
      <alignment vertical="center" shrinkToFit="1"/>
    </xf>
    <xf numFmtId="9" fontId="3" fillId="0" borderId="75" xfId="1" applyFont="1" applyBorder="1" applyAlignment="1">
      <alignment vertical="center" shrinkToFit="1"/>
    </xf>
    <xf numFmtId="171" fontId="18" fillId="6" borderId="117" xfId="0" applyNumberFormat="1" applyFont="1" applyFill="1" applyBorder="1" applyAlignment="1">
      <alignment vertical="center" shrinkToFit="1"/>
    </xf>
    <xf numFmtId="171" fontId="102" fillId="0" borderId="75" xfId="0" applyNumberFormat="1" applyFont="1" applyBorder="1" applyAlignment="1">
      <alignment vertical="center" shrinkToFit="1"/>
    </xf>
    <xf numFmtId="171" fontId="102" fillId="0" borderId="100" xfId="0" applyNumberFormat="1" applyFont="1" applyBorder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20" fillId="0" borderId="75" xfId="0" applyFont="1" applyBorder="1" applyAlignment="1">
      <alignment horizontal="center" vertical="center" shrinkToFit="1"/>
    </xf>
    <xf numFmtId="9" fontId="18" fillId="0" borderId="75" xfId="1" applyFont="1" applyFill="1" applyBorder="1" applyAlignment="1">
      <alignment vertical="center" shrinkToFit="1"/>
    </xf>
    <xf numFmtId="174" fontId="18" fillId="0" borderId="75" xfId="0" applyNumberFormat="1" applyFont="1" applyBorder="1" applyAlignment="1">
      <alignment vertical="center" shrinkToFit="1"/>
    </xf>
    <xf numFmtId="174" fontId="19" fillId="0" borderId="75" xfId="0" applyNumberFormat="1" applyFont="1" applyBorder="1" applyAlignment="1">
      <alignment vertical="center" shrinkToFit="1"/>
    </xf>
    <xf numFmtId="0" fontId="19" fillId="2" borderId="75" xfId="0" applyFont="1" applyFill="1" applyBorder="1" applyAlignment="1">
      <alignment vertical="center" shrinkToFit="1"/>
    </xf>
    <xf numFmtId="0" fontId="19" fillId="2" borderId="100" xfId="0" applyFont="1" applyFill="1" applyBorder="1" applyAlignment="1">
      <alignment vertical="center" shrinkToFit="1"/>
    </xf>
    <xf numFmtId="0" fontId="99" fillId="2" borderId="75" xfId="0" applyFont="1" applyFill="1" applyBorder="1" applyAlignment="1">
      <alignment horizontal="center" vertical="center" shrinkToFit="1"/>
    </xf>
    <xf numFmtId="0" fontId="99" fillId="2" borderId="98" xfId="0" applyFont="1" applyFill="1" applyBorder="1" applyAlignment="1">
      <alignment horizontal="center" vertical="center" shrinkToFit="1"/>
    </xf>
    <xf numFmtId="173" fontId="2" fillId="20" borderId="75" xfId="0" applyNumberFormat="1" applyFont="1" applyFill="1" applyBorder="1" applyAlignment="1">
      <alignment horizontal="center" vertical="center" shrinkToFit="1"/>
    </xf>
    <xf numFmtId="174" fontId="3" fillId="20" borderId="75" xfId="0" applyNumberFormat="1" applyFont="1" applyFill="1" applyBorder="1" applyAlignment="1">
      <alignment vertical="center" shrinkToFit="1"/>
    </xf>
    <xf numFmtId="9" fontId="3" fillId="20" borderId="75" xfId="1" applyFont="1" applyFill="1" applyBorder="1" applyAlignment="1">
      <alignment vertical="center" shrinkToFit="1"/>
    </xf>
    <xf numFmtId="174" fontId="19" fillId="20" borderId="75" xfId="0" applyNumberFormat="1" applyFont="1" applyFill="1" applyBorder="1" applyAlignment="1">
      <alignment vertical="center" shrinkToFit="1"/>
    </xf>
    <xf numFmtId="9" fontId="18" fillId="20" borderId="75" xfId="1" applyFont="1" applyFill="1" applyBorder="1" applyAlignment="1">
      <alignment vertical="center" shrinkToFit="1"/>
    </xf>
    <xf numFmtId="166" fontId="63" fillId="0" borderId="75" xfId="0" applyNumberFormat="1" applyFont="1" applyBorder="1" applyAlignment="1">
      <alignment vertical="center" shrinkToFit="1"/>
    </xf>
    <xf numFmtId="0" fontId="12" fillId="0" borderId="0" xfId="0" applyFont="1" applyAlignment="1">
      <alignment vertical="center" shrinkToFit="1"/>
    </xf>
    <xf numFmtId="177" fontId="11" fillId="31" borderId="75" xfId="0" applyNumberFormat="1" applyFont="1" applyFill="1" applyBorder="1" applyAlignment="1">
      <alignment horizontal="center" vertical="center" shrinkToFit="1"/>
    </xf>
    <xf numFmtId="0" fontId="11" fillId="31" borderId="75" xfId="0" applyFont="1" applyFill="1" applyBorder="1" applyAlignment="1">
      <alignment horizontal="center" vertical="center" shrinkToFit="1"/>
    </xf>
    <xf numFmtId="0" fontId="11" fillId="31" borderId="75" xfId="0" applyFont="1" applyFill="1" applyBorder="1" applyAlignment="1">
      <alignment horizontal="right" vertical="center" shrinkToFit="1"/>
    </xf>
    <xf numFmtId="177" fontId="11" fillId="7" borderId="75" xfId="0" applyNumberFormat="1" applyFont="1" applyFill="1" applyBorder="1" applyAlignment="1">
      <alignment horizontal="center" vertical="center" shrinkToFit="1"/>
    </xf>
    <xf numFmtId="171" fontId="5" fillId="7" borderId="75" xfId="0" applyNumberFormat="1" applyFont="1" applyFill="1" applyBorder="1" applyAlignment="1">
      <alignment vertical="center" shrinkToFit="1"/>
    </xf>
    <xf numFmtId="171" fontId="5" fillId="7" borderId="75" xfId="0" applyNumberFormat="1" applyFont="1" applyFill="1" applyBorder="1" applyAlignment="1">
      <alignment horizontal="center" vertical="center" shrinkToFit="1"/>
    </xf>
    <xf numFmtId="171" fontId="103" fillId="7" borderId="75" xfId="0" applyNumberFormat="1" applyFont="1" applyFill="1" applyBorder="1" applyAlignment="1">
      <alignment horizontal="center" vertical="center" shrinkToFit="1"/>
    </xf>
    <xf numFmtId="0" fontId="66" fillId="7" borderId="75" xfId="0" applyFont="1" applyFill="1" applyBorder="1" applyAlignment="1">
      <alignment horizontal="right" vertical="center" shrinkToFit="1"/>
    </xf>
    <xf numFmtId="0" fontId="11" fillId="0" borderId="75" xfId="0" applyFont="1" applyBorder="1" applyAlignment="1">
      <alignment horizontal="center" vertical="center" shrinkToFit="1"/>
    </xf>
    <xf numFmtId="177" fontId="12" fillId="0" borderId="75" xfId="0" applyNumberFormat="1" applyFont="1" applyBorder="1" applyAlignment="1">
      <alignment horizontal="center" vertical="center" shrinkToFit="1"/>
    </xf>
    <xf numFmtId="171" fontId="12" fillId="0" borderId="75" xfId="0" applyNumberFormat="1" applyFont="1" applyBorder="1" applyAlignment="1">
      <alignment vertical="center" shrinkToFit="1"/>
    </xf>
    <xf numFmtId="175" fontId="12" fillId="0" borderId="75" xfId="0" applyNumberFormat="1" applyFont="1" applyBorder="1" applyAlignment="1">
      <alignment horizontal="right" vertical="center" shrinkToFit="1"/>
    </xf>
    <xf numFmtId="174" fontId="12" fillId="0" borderId="75" xfId="0" applyNumberFormat="1" applyFont="1" applyBorder="1" applyAlignment="1">
      <alignment vertical="center" shrinkToFit="1"/>
    </xf>
    <xf numFmtId="0" fontId="12" fillId="0" borderId="75" xfId="0" applyFont="1" applyBorder="1" applyAlignment="1">
      <alignment vertical="center" shrinkToFit="1"/>
    </xf>
    <xf numFmtId="0" fontId="12" fillId="0" borderId="109" xfId="0" applyFont="1" applyBorder="1" applyAlignment="1">
      <alignment vertical="center" shrinkToFit="1"/>
    </xf>
    <xf numFmtId="171" fontId="12" fillId="47" borderId="75" xfId="0" applyNumberFormat="1" applyFont="1" applyFill="1" applyBorder="1" applyAlignment="1">
      <alignment vertical="center" shrinkToFit="1"/>
    </xf>
    <xf numFmtId="171" fontId="12" fillId="7" borderId="75" xfId="0" applyNumberFormat="1" applyFont="1" applyFill="1" applyBorder="1" applyAlignment="1">
      <alignment vertical="center" shrinkToFit="1"/>
    </xf>
    <xf numFmtId="171" fontId="65" fillId="7" borderId="75" xfId="0" applyNumberFormat="1" applyFont="1" applyFill="1" applyBorder="1" applyAlignment="1">
      <alignment vertical="center" shrinkToFit="1"/>
    </xf>
    <xf numFmtId="175" fontId="12" fillId="7" borderId="75" xfId="0" applyNumberFormat="1" applyFont="1" applyFill="1" applyBorder="1" applyAlignment="1">
      <alignment horizontal="right" vertical="center" shrinkToFit="1"/>
    </xf>
    <xf numFmtId="171" fontId="65" fillId="47" borderId="75" xfId="0" applyNumberFormat="1" applyFont="1" applyFill="1" applyBorder="1" applyAlignment="1">
      <alignment vertical="center" shrinkToFit="1"/>
    </xf>
    <xf numFmtId="174" fontId="98" fillId="0" borderId="75" xfId="0" applyNumberFormat="1" applyFont="1" applyBorder="1" applyAlignment="1">
      <alignment vertical="center" shrinkToFit="1"/>
    </xf>
    <xf numFmtId="171" fontId="37" fillId="7" borderId="75" xfId="0" applyNumberFormat="1" applyFont="1" applyFill="1" applyBorder="1" applyAlignment="1">
      <alignment vertical="center" shrinkToFit="1"/>
    </xf>
    <xf numFmtId="175" fontId="37" fillId="0" borderId="75" xfId="0" applyNumberFormat="1" applyFont="1" applyBorder="1" applyAlignment="1">
      <alignment horizontal="right" vertical="center" shrinkToFit="1"/>
    </xf>
    <xf numFmtId="177" fontId="12" fillId="0" borderId="111" xfId="0" applyNumberFormat="1" applyFont="1" applyBorder="1" applyAlignment="1">
      <alignment horizontal="center" vertical="center" shrinkToFit="1"/>
    </xf>
    <xf numFmtId="171" fontId="65" fillId="7" borderId="111" xfId="0" applyNumberFormat="1" applyFont="1" applyFill="1" applyBorder="1" applyAlignment="1">
      <alignment vertical="center" shrinkToFit="1"/>
    </xf>
    <xf numFmtId="171" fontId="12" fillId="7" borderId="111" xfId="0" applyNumberFormat="1" applyFont="1" applyFill="1" applyBorder="1" applyAlignment="1">
      <alignment vertical="center" shrinkToFit="1"/>
    </xf>
    <xf numFmtId="175" fontId="12" fillId="7" borderId="111" xfId="0" applyNumberFormat="1" applyFont="1" applyFill="1" applyBorder="1" applyAlignment="1">
      <alignment horizontal="right" vertical="center" shrinkToFit="1"/>
    </xf>
    <xf numFmtId="174" fontId="12" fillId="0" borderId="111" xfId="0" applyNumberFormat="1" applyFont="1" applyBorder="1" applyAlignment="1">
      <alignment vertical="center" shrinkToFit="1"/>
    </xf>
    <xf numFmtId="0" fontId="12" fillId="0" borderId="111" xfId="0" applyFont="1" applyBorder="1" applyAlignment="1">
      <alignment vertical="center" shrinkToFit="1"/>
    </xf>
    <xf numFmtId="0" fontId="12" fillId="0" borderId="112" xfId="0" applyFont="1" applyBorder="1" applyAlignment="1">
      <alignment vertical="center" shrinkToFit="1"/>
    </xf>
    <xf numFmtId="177" fontId="12" fillId="0" borderId="0" xfId="0" applyNumberFormat="1" applyFont="1" applyAlignment="1">
      <alignment horizontal="center" vertical="center" shrinkToFit="1"/>
    </xf>
    <xf numFmtId="0" fontId="12" fillId="0" borderId="0" xfId="0" applyFont="1" applyAlignment="1">
      <alignment horizontal="right" vertical="center" shrinkToFit="1"/>
    </xf>
    <xf numFmtId="169" fontId="80" fillId="0" borderId="1" xfId="0" applyNumberFormat="1" applyFont="1" applyBorder="1" applyAlignment="1">
      <alignment vertical="center" shrinkToFit="1"/>
    </xf>
    <xf numFmtId="171" fontId="12" fillId="7" borderId="100" xfId="0" applyNumberFormat="1" applyFont="1" applyFill="1" applyBorder="1" applyAlignment="1">
      <alignment vertical="center" shrinkToFit="1"/>
    </xf>
    <xf numFmtId="0" fontId="5" fillId="2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21" borderId="6" xfId="0" applyFont="1" applyFill="1" applyBorder="1" applyAlignment="1">
      <alignment horizontal="center" vertical="center"/>
    </xf>
    <xf numFmtId="0" fontId="5" fillId="21" borderId="8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66" fontId="37" fillId="6" borderId="1" xfId="0" applyNumberFormat="1" applyFont="1" applyFill="1" applyBorder="1" applyAlignment="1">
      <alignment horizontal="center" vertical="center"/>
    </xf>
    <xf numFmtId="172" fontId="57" fillId="15" borderId="1" xfId="0" applyNumberFormat="1" applyFont="1" applyFill="1" applyBorder="1" applyAlignment="1">
      <alignment horizontal="center" vertical="center"/>
    </xf>
    <xf numFmtId="166" fontId="58" fillId="22" borderId="2" xfId="0" applyNumberFormat="1" applyFont="1" applyFill="1" applyBorder="1" applyAlignment="1">
      <alignment horizontal="center" vertical="center"/>
    </xf>
    <xf numFmtId="166" fontId="58" fillId="22" borderId="4" xfId="0" applyNumberFormat="1" applyFont="1" applyFill="1" applyBorder="1" applyAlignment="1">
      <alignment horizontal="center" vertical="center"/>
    </xf>
    <xf numFmtId="166" fontId="58" fillId="22" borderId="3" xfId="0" applyNumberFormat="1" applyFont="1" applyFill="1" applyBorder="1" applyAlignment="1">
      <alignment horizontal="center" vertical="center"/>
    </xf>
    <xf numFmtId="166" fontId="56" fillId="3" borderId="0" xfId="0" applyNumberFormat="1" applyFont="1" applyFill="1" applyAlignment="1">
      <alignment horizontal="center" vertical="center"/>
    </xf>
    <xf numFmtId="0" fontId="18" fillId="15" borderId="1" xfId="0" applyFont="1" applyFill="1" applyBorder="1" applyAlignment="1">
      <alignment horizontal="center" vertical="center" shrinkToFit="1"/>
    </xf>
    <xf numFmtId="0" fontId="19" fillId="14" borderId="1" xfId="0" applyFont="1" applyFill="1" applyBorder="1" applyAlignment="1">
      <alignment horizontal="center" vertical="center" shrinkToFit="1"/>
    </xf>
    <xf numFmtId="0" fontId="51" fillId="16" borderId="74" xfId="0" applyFont="1" applyFill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14" fontId="18" fillId="6" borderId="6" xfId="0" applyNumberFormat="1" applyFont="1" applyFill="1" applyBorder="1" applyAlignment="1">
      <alignment horizontal="center" vertical="center" shrinkToFit="1"/>
    </xf>
    <xf numFmtId="14" fontId="18" fillId="6" borderId="8" xfId="0" applyNumberFormat="1" applyFont="1" applyFill="1" applyBorder="1" applyAlignment="1">
      <alignment horizontal="center" vertical="center" shrinkToFit="1"/>
    </xf>
    <xf numFmtId="0" fontId="3" fillId="0" borderId="71" xfId="0" applyFont="1" applyBorder="1" applyAlignment="1">
      <alignment horizontal="center" vertical="center" shrinkToFit="1"/>
    </xf>
    <xf numFmtId="0" fontId="3" fillId="0" borderId="72" xfId="0" applyFont="1" applyBorder="1" applyAlignment="1">
      <alignment horizontal="center" vertical="center" shrinkToFit="1"/>
    </xf>
    <xf numFmtId="0" fontId="3" fillId="0" borderId="73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50" fillId="3" borderId="0" xfId="0" applyFont="1" applyFill="1" applyAlignment="1">
      <alignment horizontal="center" vertical="center" shrinkToFit="1"/>
    </xf>
    <xf numFmtId="0" fontId="50" fillId="3" borderId="27" xfId="0" applyFont="1" applyFill="1" applyBorder="1" applyAlignment="1">
      <alignment horizontal="center" vertical="center" shrinkToFit="1"/>
    </xf>
    <xf numFmtId="165" fontId="25" fillId="8" borderId="28" xfId="0" applyNumberFormat="1" applyFont="1" applyFill="1" applyBorder="1" applyAlignment="1">
      <alignment horizontal="center" vertical="center" shrinkToFit="1"/>
    </xf>
    <xf numFmtId="165" fontId="25" fillId="8" borderId="36" xfId="0" applyNumberFormat="1" applyFont="1" applyFill="1" applyBorder="1" applyAlignment="1">
      <alignment horizontal="center" vertical="center" shrinkToFit="1"/>
    </xf>
    <xf numFmtId="165" fontId="25" fillId="0" borderId="1" xfId="0" applyNumberFormat="1" applyFont="1" applyBorder="1" applyAlignment="1">
      <alignment horizontal="center" vertical="center" shrinkToFit="1"/>
    </xf>
    <xf numFmtId="10" fontId="25" fillId="0" borderId="1" xfId="1" applyNumberFormat="1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27" xfId="0" applyFont="1" applyBorder="1" applyAlignment="1">
      <alignment horizontal="center" vertical="center" shrinkToFit="1"/>
    </xf>
    <xf numFmtId="0" fontId="3" fillId="8" borderId="54" xfId="0" applyFont="1" applyFill="1" applyBorder="1" applyAlignment="1">
      <alignment horizontal="center" vertical="center" shrinkToFit="1"/>
    </xf>
    <xf numFmtId="0" fontId="3" fillId="8" borderId="58" xfId="0" applyFont="1" applyFill="1" applyBorder="1" applyAlignment="1">
      <alignment horizontal="center" vertical="center" shrinkToFit="1"/>
    </xf>
    <xf numFmtId="165" fontId="3" fillId="8" borderId="50" xfId="0" applyNumberFormat="1" applyFont="1" applyFill="1" applyBorder="1" applyAlignment="1">
      <alignment horizontal="center" vertical="center" shrinkToFit="1"/>
    </xf>
    <xf numFmtId="165" fontId="3" fillId="8" borderId="69" xfId="0" applyNumberFormat="1" applyFont="1" applyFill="1" applyBorder="1" applyAlignment="1">
      <alignment horizontal="center" vertical="center" shrinkToFit="1"/>
    </xf>
    <xf numFmtId="165" fontId="46" fillId="6" borderId="70" xfId="0" applyNumberFormat="1" applyFont="1" applyFill="1" applyBorder="1" applyAlignment="1">
      <alignment horizontal="center" vertical="center" shrinkToFit="1"/>
    </xf>
    <xf numFmtId="165" fontId="46" fillId="6" borderId="0" xfId="0" applyNumberFormat="1" applyFont="1" applyFill="1" applyAlignment="1">
      <alignment horizontal="center" vertical="center" shrinkToFit="1"/>
    </xf>
    <xf numFmtId="165" fontId="46" fillId="6" borderId="11" xfId="0" applyNumberFormat="1" applyFont="1" applyFill="1" applyBorder="1" applyAlignment="1">
      <alignment horizontal="center" vertical="center" shrinkToFit="1"/>
    </xf>
    <xf numFmtId="165" fontId="46" fillId="6" borderId="12" xfId="0" applyNumberFormat="1" applyFont="1" applyFill="1" applyBorder="1" applyAlignment="1">
      <alignment horizontal="center" vertical="center" shrinkToFit="1"/>
    </xf>
    <xf numFmtId="166" fontId="39" fillId="17" borderId="1" xfId="0" applyNumberFormat="1" applyFont="1" applyFill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0" fontId="3" fillId="0" borderId="43" xfId="0" applyFont="1" applyBorder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5" fillId="0" borderId="49" xfId="0" applyFont="1" applyBorder="1" applyAlignment="1">
      <alignment horizontal="center" vertical="center"/>
    </xf>
    <xf numFmtId="0" fontId="31" fillId="12" borderId="6" xfId="0" applyFont="1" applyFill="1" applyBorder="1" applyAlignment="1">
      <alignment horizontal="center" vertical="center"/>
    </xf>
    <xf numFmtId="0" fontId="31" fillId="12" borderId="7" xfId="0" applyFont="1" applyFill="1" applyBorder="1" applyAlignment="1">
      <alignment horizontal="center" vertical="center"/>
    </xf>
    <xf numFmtId="0" fontId="34" fillId="10" borderId="6" xfId="0" applyFont="1" applyFill="1" applyBorder="1" applyAlignment="1">
      <alignment horizontal="left" vertical="center"/>
    </xf>
    <xf numFmtId="0" fontId="34" fillId="10" borderId="7" xfId="0" applyFont="1" applyFill="1" applyBorder="1" applyAlignment="1">
      <alignment horizontal="left" vertical="center"/>
    </xf>
    <xf numFmtId="0" fontId="34" fillId="10" borderId="44" xfId="0" applyFont="1" applyFill="1" applyBorder="1" applyAlignment="1">
      <alignment horizontal="left" vertical="center"/>
    </xf>
    <xf numFmtId="0" fontId="11" fillId="8" borderId="6" xfId="0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31" fillId="12" borderId="8" xfId="0" applyFont="1" applyFill="1" applyBorder="1" applyAlignment="1">
      <alignment horizontal="center" vertical="center"/>
    </xf>
    <xf numFmtId="0" fontId="31" fillId="8" borderId="6" xfId="0" applyFont="1" applyFill="1" applyBorder="1" applyAlignment="1">
      <alignment horizontal="center" vertical="center"/>
    </xf>
    <xf numFmtId="0" fontId="31" fillId="8" borderId="8" xfId="0" applyFont="1" applyFill="1" applyBorder="1" applyAlignment="1">
      <alignment horizontal="center" vertical="center"/>
    </xf>
    <xf numFmtId="0" fontId="31" fillId="3" borderId="6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44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164" fontId="3" fillId="0" borderId="2" xfId="0" applyNumberFormat="1" applyFont="1" applyBorder="1">
      <alignment vertical="center"/>
    </xf>
    <xf numFmtId="164" fontId="3" fillId="0" borderId="4" xfId="0" applyNumberFormat="1" applyFont="1" applyBorder="1">
      <alignment vertical="center"/>
    </xf>
    <xf numFmtId="164" fontId="3" fillId="0" borderId="2" xfId="0" applyNumberFormat="1" applyFont="1" applyBorder="1" applyAlignment="1">
      <alignment horizontal="center" vertical="center" shrinkToFit="1"/>
    </xf>
    <xf numFmtId="164" fontId="3" fillId="0" borderId="4" xfId="0" applyNumberFormat="1" applyFont="1" applyBorder="1" applyAlignment="1">
      <alignment horizontal="center" vertical="center" shrinkToFit="1"/>
    </xf>
    <xf numFmtId="14" fontId="3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>
      <alignment vertical="center"/>
    </xf>
    <xf numFmtId="164" fontId="3" fillId="0" borderId="3" xfId="0" applyNumberFormat="1" applyFont="1" applyBorder="1" applyAlignment="1">
      <alignment horizontal="center" vertical="center" shrinkToFit="1"/>
    </xf>
    <xf numFmtId="0" fontId="3" fillId="0" borderId="4" xfId="0" applyFont="1" applyBorder="1">
      <alignment vertical="center"/>
    </xf>
    <xf numFmtId="0" fontId="3" fillId="0" borderId="3" xfId="0" applyFont="1" applyBorder="1">
      <alignment vertical="center"/>
    </xf>
    <xf numFmtId="164" fontId="4" fillId="0" borderId="2" xfId="0" applyNumberFormat="1" applyFont="1" applyBorder="1">
      <alignment vertical="center"/>
    </xf>
    <xf numFmtId="164" fontId="4" fillId="0" borderId="3" xfId="0" applyNumberFormat="1" applyFont="1" applyBorder="1">
      <alignment vertical="center"/>
    </xf>
    <xf numFmtId="14" fontId="2" fillId="0" borderId="6" xfId="0" applyNumberFormat="1" applyFont="1" applyBorder="1" applyAlignment="1">
      <alignment horizontal="center" vertical="center" shrinkToFit="1"/>
    </xf>
    <xf numFmtId="14" fontId="2" fillId="0" borderId="7" xfId="0" applyNumberFormat="1" applyFont="1" applyBorder="1" applyAlignment="1">
      <alignment horizontal="center" vertical="center" shrinkToFit="1"/>
    </xf>
    <xf numFmtId="14" fontId="2" fillId="0" borderId="8" xfId="0" applyNumberFormat="1" applyFont="1" applyBorder="1" applyAlignment="1">
      <alignment horizontal="center" vertical="center" shrinkToFit="1"/>
    </xf>
    <xf numFmtId="14" fontId="2" fillId="0" borderId="2" xfId="0" applyNumberFormat="1" applyFont="1" applyBorder="1" applyAlignment="1">
      <alignment horizontal="center" vertical="center" shrinkToFit="1"/>
    </xf>
    <xf numFmtId="14" fontId="2" fillId="0" borderId="4" xfId="0" applyNumberFormat="1" applyFont="1" applyBorder="1" applyAlignment="1">
      <alignment horizontal="center" vertical="center" shrinkToFit="1"/>
    </xf>
    <xf numFmtId="14" fontId="2" fillId="0" borderId="3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165" fontId="10" fillId="0" borderId="2" xfId="0" applyNumberFormat="1" applyFont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3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165" fontId="10" fillId="0" borderId="4" xfId="0" applyNumberFormat="1" applyFont="1" applyBorder="1" applyAlignment="1">
      <alignment horizontal="center" vertical="center" shrinkToFit="1"/>
    </xf>
    <xf numFmtId="165" fontId="10" fillId="0" borderId="3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164" fontId="3" fillId="0" borderId="5" xfId="0" applyNumberFormat="1" applyFont="1" applyBorder="1" applyAlignment="1">
      <alignment horizontal="center" vertical="center" shrinkToFit="1"/>
    </xf>
    <xf numFmtId="164" fontId="3" fillId="0" borderId="0" xfId="0" applyNumberFormat="1" applyFont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center" shrinkToFit="1"/>
    </xf>
    <xf numFmtId="14" fontId="2" fillId="0" borderId="1" xfId="0" applyNumberFormat="1" applyFont="1" applyBorder="1" applyAlignment="1">
      <alignment horizontal="center" vertical="center" shrinkToFit="1"/>
    </xf>
    <xf numFmtId="0" fontId="16" fillId="4" borderId="1" xfId="0" applyFont="1" applyFill="1" applyBorder="1" applyAlignment="1">
      <alignment horizontal="center" vertical="center" shrinkToFit="1"/>
    </xf>
    <xf numFmtId="164" fontId="6" fillId="0" borderId="5" xfId="0" applyNumberFormat="1" applyFont="1" applyBorder="1" applyAlignment="1">
      <alignment horizontal="center" vertical="center" shrinkToFit="1"/>
    </xf>
    <xf numFmtId="164" fontId="6" fillId="0" borderId="0" xfId="0" applyNumberFormat="1" applyFont="1" applyAlignment="1">
      <alignment horizontal="center" vertical="center" shrinkToFit="1"/>
    </xf>
    <xf numFmtId="0" fontId="15" fillId="5" borderId="1" xfId="0" applyFont="1" applyFill="1" applyBorder="1" applyAlignment="1">
      <alignment horizontal="center" vertical="center" shrinkToFit="1"/>
    </xf>
    <xf numFmtId="0" fontId="14" fillId="3" borderId="1" xfId="0" applyFont="1" applyFill="1" applyBorder="1" applyAlignment="1">
      <alignment horizontal="center" vertical="center" shrinkToFit="1"/>
    </xf>
    <xf numFmtId="14" fontId="0" fillId="2" borderId="6" xfId="0" applyNumberFormat="1" applyFill="1" applyBorder="1" applyAlignment="1">
      <alignment horizontal="center" vertical="center" shrinkToFit="1"/>
    </xf>
    <xf numFmtId="14" fontId="0" fillId="2" borderId="7" xfId="0" applyNumberFormat="1" applyFill="1" applyBorder="1" applyAlignment="1">
      <alignment horizontal="center" vertical="center" shrinkToFit="1"/>
    </xf>
    <xf numFmtId="14" fontId="0" fillId="2" borderId="8" xfId="0" applyNumberFormat="1" applyFill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 shrinkToFit="1"/>
    </xf>
    <xf numFmtId="165" fontId="19" fillId="0" borderId="1" xfId="0" applyNumberFormat="1" applyFont="1" applyBorder="1" applyAlignment="1">
      <alignment horizontal="center" vertical="center" shrinkToFit="1"/>
    </xf>
    <xf numFmtId="166" fontId="10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165" fontId="0" fillId="0" borderId="1" xfId="0" applyNumberFormat="1" applyBorder="1" applyAlignment="1">
      <alignment horizontal="center" vertical="center" shrinkToFit="1"/>
    </xf>
    <xf numFmtId="164" fontId="18" fillId="6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6" borderId="1" xfId="0" applyNumberFormat="1" applyFont="1" applyFill="1" applyBorder="1" applyAlignment="1">
      <alignment horizontal="center" vertical="center"/>
    </xf>
    <xf numFmtId="164" fontId="18" fillId="7" borderId="1" xfId="0" applyNumberFormat="1" applyFont="1" applyFill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 shrinkToFit="1"/>
    </xf>
    <xf numFmtId="0" fontId="3" fillId="0" borderId="18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shrinkToFit="1"/>
    </xf>
    <xf numFmtId="0" fontId="3" fillId="0" borderId="15" xfId="0" applyFont="1" applyBorder="1" applyAlignment="1">
      <alignment horizontal="center" vertical="center" shrinkToFit="1"/>
    </xf>
    <xf numFmtId="0" fontId="3" fillId="0" borderId="12" xfId="0" applyFont="1" applyBorder="1" applyAlignment="1">
      <alignment horizontal="center" vertical="center" shrinkToFit="1"/>
    </xf>
    <xf numFmtId="0" fontId="3" fillId="0" borderId="4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42" xfId="0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/>
    </xf>
    <xf numFmtId="14" fontId="19" fillId="2" borderId="6" xfId="0" applyNumberFormat="1" applyFont="1" applyFill="1" applyBorder="1" applyAlignment="1">
      <alignment horizontal="center" vertical="center" shrinkToFit="1"/>
    </xf>
    <xf numFmtId="14" fontId="19" fillId="2" borderId="8" xfId="0" applyNumberFormat="1" applyFont="1" applyFill="1" applyBorder="1" applyAlignment="1">
      <alignment horizontal="center" vertical="center" shrinkToFit="1"/>
    </xf>
    <xf numFmtId="0" fontId="19" fillId="0" borderId="0" xfId="0" applyFont="1" applyAlignment="1">
      <alignment horizontal="center" vertical="center" shrinkToFit="1"/>
    </xf>
    <xf numFmtId="0" fontId="19" fillId="0" borderId="27" xfId="0" applyFont="1" applyBorder="1" applyAlignment="1">
      <alignment horizontal="center" vertical="center" shrinkToFit="1"/>
    </xf>
    <xf numFmtId="9" fontId="25" fillId="0" borderId="1" xfId="1" applyFont="1" applyBorder="1" applyAlignment="1">
      <alignment horizontal="center" vertical="center" shrinkToFit="1"/>
    </xf>
    <xf numFmtId="0" fontId="19" fillId="0" borderId="30" xfId="0" applyFont="1" applyBorder="1" applyAlignment="1">
      <alignment horizontal="center" vertical="center" shrinkToFit="1"/>
    </xf>
    <xf numFmtId="0" fontId="19" fillId="0" borderId="43" xfId="0" applyFont="1" applyBorder="1" applyAlignment="1">
      <alignment horizontal="center" vertical="center" shrinkToFit="1"/>
    </xf>
    <xf numFmtId="0" fontId="19" fillId="0" borderId="31" xfId="0" applyFont="1" applyBorder="1" applyAlignment="1">
      <alignment horizontal="center" vertical="center" shrinkToFit="1"/>
    </xf>
    <xf numFmtId="169" fontId="3" fillId="0" borderId="30" xfId="0" applyNumberFormat="1" applyFont="1" applyBorder="1" applyAlignment="1">
      <alignment horizontal="center" vertical="center" shrinkToFit="1"/>
    </xf>
    <xf numFmtId="0" fontId="3" fillId="0" borderId="51" xfId="0" applyFont="1" applyBorder="1" applyAlignment="1">
      <alignment horizontal="center" vertical="center" shrinkToFit="1"/>
    </xf>
    <xf numFmtId="169" fontId="3" fillId="0" borderId="1" xfId="0" applyNumberFormat="1" applyFont="1" applyBorder="1" applyAlignment="1">
      <alignment horizontal="center" vertical="center" shrinkToFit="1"/>
    </xf>
    <xf numFmtId="0" fontId="3" fillId="0" borderId="67" xfId="0" applyFont="1" applyBorder="1" applyAlignment="1">
      <alignment horizontal="center" vertical="center" shrinkToFit="1"/>
    </xf>
    <xf numFmtId="169" fontId="3" fillId="0" borderId="56" xfId="0" applyNumberFormat="1" applyFont="1" applyBorder="1" applyAlignment="1">
      <alignment horizontal="center" vertical="center" shrinkToFit="1"/>
    </xf>
    <xf numFmtId="169" fontId="3" fillId="0" borderId="57" xfId="0" applyNumberFormat="1" applyFont="1" applyBorder="1" applyAlignment="1">
      <alignment horizontal="center" vertical="center" shrinkToFit="1"/>
    </xf>
    <xf numFmtId="169" fontId="3" fillId="0" borderId="60" xfId="0" applyNumberFormat="1" applyFont="1" applyBorder="1" applyAlignment="1">
      <alignment horizontal="center" vertical="center" shrinkToFit="1"/>
    </xf>
    <xf numFmtId="169" fontId="3" fillId="8" borderId="61" xfId="0" applyNumberFormat="1" applyFont="1" applyFill="1" applyBorder="1" applyAlignment="1">
      <alignment horizontal="center" vertical="center" shrinkToFit="1"/>
    </xf>
    <xf numFmtId="169" fontId="3" fillId="8" borderId="62" xfId="0" applyNumberFormat="1" applyFont="1" applyFill="1" applyBorder="1" applyAlignment="1">
      <alignment horizontal="center" vertical="center" shrinkToFit="1"/>
    </xf>
    <xf numFmtId="169" fontId="3" fillId="8" borderId="63" xfId="0" applyNumberFormat="1" applyFont="1" applyFill="1" applyBorder="1" applyAlignment="1">
      <alignment horizontal="center" vertical="center" shrinkToFit="1"/>
    </xf>
    <xf numFmtId="0" fontId="3" fillId="0" borderId="64" xfId="0" applyFont="1" applyBorder="1" applyAlignment="1">
      <alignment horizontal="center" vertical="center" shrinkToFit="1"/>
    </xf>
    <xf numFmtId="0" fontId="3" fillId="0" borderId="65" xfId="0" applyFont="1" applyBorder="1" applyAlignment="1">
      <alignment horizontal="center" vertical="center" shrinkToFit="1"/>
    </xf>
    <xf numFmtId="0" fontId="3" fillId="0" borderId="66" xfId="0" applyFont="1" applyBorder="1" applyAlignment="1">
      <alignment horizontal="center" vertical="center" shrinkToFit="1"/>
    </xf>
    <xf numFmtId="165" fontId="3" fillId="0" borderId="1" xfId="0" applyNumberFormat="1" applyFont="1" applyBorder="1" applyAlignment="1">
      <alignment horizontal="center" vertical="center" shrinkToFit="1"/>
    </xf>
    <xf numFmtId="0" fontId="3" fillId="0" borderId="54" xfId="0" applyFont="1" applyBorder="1" applyAlignment="1">
      <alignment horizontal="center" vertical="center" shrinkToFit="1"/>
    </xf>
    <xf numFmtId="0" fontId="3" fillId="0" borderId="55" xfId="0" applyFont="1" applyBorder="1" applyAlignment="1">
      <alignment horizontal="center" vertical="center" shrinkToFit="1"/>
    </xf>
    <xf numFmtId="0" fontId="3" fillId="0" borderId="58" xfId="0" applyFont="1" applyBorder="1" applyAlignment="1">
      <alignment horizontal="center" vertical="center" shrinkToFit="1"/>
    </xf>
    <xf numFmtId="165" fontId="3" fillId="0" borderId="54" xfId="0" applyNumberFormat="1" applyFont="1" applyBorder="1" applyAlignment="1">
      <alignment horizontal="center" vertical="center" shrinkToFit="1"/>
    </xf>
    <xf numFmtId="165" fontId="3" fillId="0" borderId="55" xfId="0" applyNumberFormat="1" applyFont="1" applyBorder="1" applyAlignment="1">
      <alignment horizontal="center" vertical="center" shrinkToFit="1"/>
    </xf>
    <xf numFmtId="0" fontId="3" fillId="0" borderId="59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165" fontId="25" fillId="0" borderId="6" xfId="0" applyNumberFormat="1" applyFont="1" applyBorder="1" applyAlignment="1">
      <alignment horizontal="center" vertical="center" shrinkToFit="1"/>
    </xf>
    <xf numFmtId="165" fontId="25" fillId="0" borderId="8" xfId="0" applyNumberFormat="1" applyFont="1" applyBorder="1" applyAlignment="1">
      <alignment horizontal="center" vertical="center" shrinkToFit="1"/>
    </xf>
    <xf numFmtId="10" fontId="25" fillId="0" borderId="50" xfId="1" applyNumberFormat="1" applyFont="1" applyBorder="1" applyAlignment="1">
      <alignment horizontal="center" vertical="center" shrinkToFit="1"/>
    </xf>
    <xf numFmtId="10" fontId="25" fillId="0" borderId="53" xfId="1" applyNumberFormat="1" applyFont="1" applyBorder="1" applyAlignment="1">
      <alignment horizontal="center" vertical="center" shrinkToFit="1"/>
    </xf>
    <xf numFmtId="0" fontId="51" fillId="18" borderId="74" xfId="0" applyFont="1" applyFill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14" fontId="57" fillId="15" borderId="1" xfId="0" applyNumberFormat="1" applyFont="1" applyFill="1" applyBorder="1" applyAlignment="1">
      <alignment horizontal="center" vertical="center"/>
    </xf>
    <xf numFmtId="166" fontId="58" fillId="22" borderId="46" xfId="0" applyNumberFormat="1" applyFont="1" applyFill="1" applyBorder="1" applyAlignment="1">
      <alignment horizontal="center" vertical="center"/>
    </xf>
    <xf numFmtId="166" fontId="58" fillId="22" borderId="5" xfId="0" applyNumberFormat="1" applyFont="1" applyFill="1" applyBorder="1" applyAlignment="1">
      <alignment horizontal="center" vertical="center"/>
    </xf>
    <xf numFmtId="166" fontId="53" fillId="3" borderId="0" xfId="0" applyNumberFormat="1" applyFont="1" applyFill="1" applyAlignment="1">
      <alignment horizontal="center" vertical="center"/>
    </xf>
    <xf numFmtId="0" fontId="11" fillId="27" borderId="75" xfId="0" applyFont="1" applyFill="1" applyBorder="1" applyAlignment="1">
      <alignment horizontal="center" vertical="center" shrinkToFit="1"/>
    </xf>
    <xf numFmtId="165" fontId="46" fillId="6" borderId="75" xfId="0" applyNumberFormat="1" applyFont="1" applyFill="1" applyBorder="1" applyAlignment="1">
      <alignment horizontal="center" vertical="center" shrinkToFit="1"/>
    </xf>
    <xf numFmtId="0" fontId="3" fillId="0" borderId="83" xfId="0" applyFont="1" applyBorder="1" applyAlignment="1">
      <alignment horizontal="center" vertical="center" shrinkToFit="1"/>
    </xf>
    <xf numFmtId="0" fontId="3" fillId="0" borderId="84" xfId="0" applyFont="1" applyBorder="1" applyAlignment="1">
      <alignment horizontal="center" vertical="center" shrinkToFit="1"/>
    </xf>
    <xf numFmtId="0" fontId="3" fillId="0" borderId="85" xfId="0" applyFont="1" applyBorder="1" applyAlignment="1">
      <alignment horizontal="center" vertical="center" shrinkToFit="1"/>
    </xf>
    <xf numFmtId="0" fontId="3" fillId="0" borderId="87" xfId="0" applyFont="1" applyBorder="1" applyAlignment="1">
      <alignment horizontal="center" vertical="center" shrinkToFit="1"/>
    </xf>
    <xf numFmtId="0" fontId="3" fillId="0" borderId="88" xfId="0" applyFont="1" applyBorder="1" applyAlignment="1">
      <alignment horizontal="center" vertical="center" shrinkToFit="1"/>
    </xf>
    <xf numFmtId="0" fontId="3" fillId="0" borderId="89" xfId="0" applyFont="1" applyBorder="1" applyAlignment="1">
      <alignment horizontal="center" vertical="center" shrinkToFit="1"/>
    </xf>
    <xf numFmtId="0" fontId="3" fillId="0" borderId="75" xfId="0" applyFont="1" applyBorder="1" applyAlignment="1">
      <alignment horizontal="center" vertical="center" shrinkToFit="1"/>
    </xf>
    <xf numFmtId="0" fontId="63" fillId="19" borderId="83" xfId="0" applyFont="1" applyFill="1" applyBorder="1" applyAlignment="1">
      <alignment horizontal="center" vertical="center" shrinkToFit="1"/>
    </xf>
    <xf numFmtId="0" fontId="63" fillId="19" borderId="84" xfId="0" applyFont="1" applyFill="1" applyBorder="1" applyAlignment="1">
      <alignment horizontal="center" vertical="center" shrinkToFit="1"/>
    </xf>
    <xf numFmtId="0" fontId="63" fillId="19" borderId="85" xfId="0" applyFont="1" applyFill="1" applyBorder="1" applyAlignment="1">
      <alignment horizontal="center" vertical="center" shrinkToFit="1"/>
    </xf>
    <xf numFmtId="0" fontId="18" fillId="15" borderId="75" xfId="0" applyFont="1" applyFill="1" applyBorder="1" applyAlignment="1">
      <alignment horizontal="center" vertical="center" shrinkToFit="1"/>
    </xf>
    <xf numFmtId="165" fontId="25" fillId="8" borderId="75" xfId="0" applyNumberFormat="1" applyFont="1" applyFill="1" applyBorder="1" applyAlignment="1">
      <alignment horizontal="center" vertical="center" shrinkToFit="1"/>
    </xf>
    <xf numFmtId="165" fontId="25" fillId="0" borderId="75" xfId="0" applyNumberFormat="1" applyFont="1" applyBorder="1" applyAlignment="1">
      <alignment horizontal="center" vertical="center" shrinkToFit="1"/>
    </xf>
    <xf numFmtId="10" fontId="25" fillId="0" borderId="75" xfId="1" applyNumberFormat="1" applyFont="1" applyBorder="1" applyAlignment="1">
      <alignment horizontal="center" vertical="center" shrinkToFit="1"/>
    </xf>
    <xf numFmtId="0" fontId="3" fillId="8" borderId="75" xfId="0" applyFont="1" applyFill="1" applyBorder="1" applyAlignment="1">
      <alignment horizontal="center" vertical="center" shrinkToFit="1"/>
    </xf>
    <xf numFmtId="165" fontId="3" fillId="8" borderId="75" xfId="0" applyNumberFormat="1" applyFont="1" applyFill="1" applyBorder="1" applyAlignment="1">
      <alignment horizontal="center" vertical="center" shrinkToFit="1"/>
    </xf>
    <xf numFmtId="0" fontId="50" fillId="3" borderId="75" xfId="0" applyFont="1" applyFill="1" applyBorder="1" applyAlignment="1">
      <alignment horizontal="center" vertical="center" shrinkToFit="1"/>
    </xf>
    <xf numFmtId="0" fontId="19" fillId="14" borderId="75" xfId="0" applyFont="1" applyFill="1" applyBorder="1" applyAlignment="1">
      <alignment horizontal="center" vertical="center" shrinkToFit="1"/>
    </xf>
    <xf numFmtId="166" fontId="39" fillId="17" borderId="75" xfId="0" applyNumberFormat="1" applyFont="1" applyFill="1" applyBorder="1" applyAlignment="1">
      <alignment horizontal="center" vertical="center" shrinkToFit="1"/>
    </xf>
    <xf numFmtId="0" fontId="51" fillId="16" borderId="75" xfId="0" applyFont="1" applyFill="1" applyBorder="1" applyAlignment="1">
      <alignment horizontal="center" vertical="center" shrinkToFit="1"/>
    </xf>
    <xf numFmtId="0" fontId="51" fillId="18" borderId="75" xfId="0" applyFont="1" applyFill="1" applyBorder="1" applyAlignment="1">
      <alignment horizontal="center" vertical="center" shrinkToFit="1"/>
    </xf>
    <xf numFmtId="14" fontId="28" fillId="7" borderId="46" xfId="0" applyNumberFormat="1" applyFont="1" applyFill="1" applyBorder="1" applyAlignment="1">
      <alignment horizontal="center" vertical="center" shrinkToFit="1"/>
    </xf>
    <xf numFmtId="14" fontId="28" fillId="7" borderId="76" xfId="0" applyNumberFormat="1" applyFont="1" applyFill="1" applyBorder="1" applyAlignment="1">
      <alignment horizontal="center" vertical="center" shrinkToFit="1"/>
    </xf>
    <xf numFmtId="0" fontId="67" fillId="20" borderId="75" xfId="0" applyFont="1" applyFill="1" applyBorder="1" applyAlignment="1">
      <alignment horizontal="center" vertical="center" shrinkToFit="1"/>
    </xf>
    <xf numFmtId="166" fontId="39" fillId="17" borderId="90" xfId="0" applyNumberFormat="1" applyFont="1" applyFill="1" applyBorder="1" applyAlignment="1">
      <alignment horizontal="center" vertical="center" shrinkToFit="1"/>
    </xf>
    <xf numFmtId="0" fontId="51" fillId="16" borderId="90" xfId="0" applyFont="1" applyFill="1" applyBorder="1" applyAlignment="1">
      <alignment horizontal="center" vertical="center" shrinkToFit="1"/>
    </xf>
    <xf numFmtId="0" fontId="19" fillId="0" borderId="75" xfId="0" applyFont="1" applyBorder="1" applyAlignment="1">
      <alignment horizontal="center" vertical="center" shrinkToFit="1"/>
    </xf>
    <xf numFmtId="0" fontId="18" fillId="15" borderId="90" xfId="0" applyFont="1" applyFill="1" applyBorder="1" applyAlignment="1">
      <alignment horizontal="center" vertical="center" shrinkToFit="1"/>
    </xf>
    <xf numFmtId="0" fontId="3" fillId="0" borderId="75" xfId="0" applyFont="1" applyBorder="1" applyAlignment="1">
      <alignment horizontal="left" vertical="center" shrinkToFit="1"/>
    </xf>
    <xf numFmtId="0" fontId="5" fillId="0" borderId="75" xfId="0" applyFont="1" applyBorder="1" applyAlignment="1">
      <alignment horizontal="center" vertical="center" shrinkToFit="1"/>
    </xf>
    <xf numFmtId="0" fontId="19" fillId="0" borderId="83" xfId="0" applyFont="1" applyBorder="1" applyAlignment="1">
      <alignment horizontal="center" vertical="center" shrinkToFit="1"/>
    </xf>
    <xf numFmtId="0" fontId="19" fillId="0" borderId="84" xfId="0" applyFont="1" applyBorder="1" applyAlignment="1">
      <alignment horizontal="center" vertical="center" shrinkToFit="1"/>
    </xf>
    <xf numFmtId="0" fontId="19" fillId="0" borderId="90" xfId="0" applyFont="1" applyBorder="1" applyAlignment="1">
      <alignment horizontal="center" vertical="center" shrinkToFit="1"/>
    </xf>
    <xf numFmtId="0" fontId="19" fillId="0" borderId="92" xfId="0" applyFont="1" applyBorder="1" applyAlignment="1">
      <alignment horizontal="center" vertical="center" shrinkToFit="1"/>
    </xf>
    <xf numFmtId="0" fontId="19" fillId="0" borderId="91" xfId="0" applyFont="1" applyBorder="1" applyAlignment="1">
      <alignment horizontal="center" vertical="center" shrinkToFit="1"/>
    </xf>
    <xf numFmtId="0" fontId="3" fillId="0" borderId="90" xfId="0" applyFont="1" applyBorder="1" applyAlignment="1">
      <alignment horizontal="center" vertical="center" shrinkToFit="1"/>
    </xf>
    <xf numFmtId="0" fontId="3" fillId="0" borderId="92" xfId="0" applyFont="1" applyBorder="1" applyAlignment="1">
      <alignment horizontal="center" vertical="center" shrinkToFit="1"/>
    </xf>
    <xf numFmtId="0" fontId="61" fillId="3" borderId="90" xfId="0" applyFont="1" applyFill="1" applyBorder="1" applyAlignment="1">
      <alignment horizontal="center" vertical="center" shrinkToFit="1"/>
    </xf>
    <xf numFmtId="0" fontId="61" fillId="3" borderId="91" xfId="0" applyFont="1" applyFill="1" applyBorder="1" applyAlignment="1">
      <alignment horizontal="center" vertical="center" shrinkToFit="1"/>
    </xf>
    <xf numFmtId="0" fontId="73" fillId="22" borderId="75" xfId="0" applyFont="1" applyFill="1" applyBorder="1" applyAlignment="1">
      <alignment horizontal="center" vertical="center" shrinkToFit="1"/>
    </xf>
    <xf numFmtId="0" fontId="69" fillId="27" borderId="1" xfId="0" applyFont="1" applyFill="1" applyBorder="1" applyAlignment="1">
      <alignment horizontal="center" vertical="center" shrinkToFit="1"/>
    </xf>
    <xf numFmtId="0" fontId="70" fillId="0" borderId="1" xfId="0" applyFont="1" applyBorder="1" applyAlignment="1">
      <alignment shrinkToFit="1"/>
    </xf>
    <xf numFmtId="169" fontId="3" fillId="0" borderId="90" xfId="0" applyNumberFormat="1" applyFont="1" applyBorder="1" applyAlignment="1">
      <alignment horizontal="center" vertical="center" shrinkToFit="1"/>
    </xf>
    <xf numFmtId="169" fontId="3" fillId="0" borderId="91" xfId="0" applyNumberFormat="1" applyFont="1" applyBorder="1" applyAlignment="1">
      <alignment horizontal="center" vertical="center" shrinkToFit="1"/>
    </xf>
    <xf numFmtId="169" fontId="3" fillId="0" borderId="92" xfId="0" applyNumberFormat="1" applyFont="1" applyBorder="1" applyAlignment="1">
      <alignment horizontal="center" vertical="center" shrinkToFit="1"/>
    </xf>
    <xf numFmtId="0" fontId="72" fillId="22" borderId="75" xfId="0" applyFont="1" applyFill="1" applyBorder="1" applyAlignment="1">
      <alignment horizontal="center" vertical="center" shrinkToFit="1"/>
    </xf>
    <xf numFmtId="0" fontId="74" fillId="6" borderId="1" xfId="0" applyFont="1" applyFill="1" applyBorder="1" applyAlignment="1">
      <alignment shrinkToFit="1"/>
    </xf>
    <xf numFmtId="0" fontId="54" fillId="22" borderId="75" xfId="0" applyFont="1" applyFill="1" applyBorder="1" applyAlignment="1">
      <alignment horizontal="center" vertical="center" shrinkToFit="1"/>
    </xf>
    <xf numFmtId="14" fontId="81" fillId="39" borderId="6" xfId="0" applyNumberFormat="1" applyFont="1" applyFill="1" applyBorder="1" applyAlignment="1">
      <alignment horizontal="center" vertical="center" shrinkToFit="1"/>
    </xf>
    <xf numFmtId="14" fontId="81" fillId="39" borderId="8" xfId="0" applyNumberFormat="1" applyFont="1" applyFill="1" applyBorder="1" applyAlignment="1">
      <alignment horizontal="center" vertical="center" shrinkToFit="1"/>
    </xf>
    <xf numFmtId="0" fontId="83" fillId="0" borderId="0" xfId="0" applyFont="1" applyAlignment="1">
      <alignment horizontal="center" vertical="center" shrinkToFit="1"/>
    </xf>
    <xf numFmtId="0" fontId="68" fillId="26" borderId="5" xfId="0" applyFont="1" applyFill="1" applyBorder="1" applyAlignment="1">
      <alignment horizontal="center" vertical="center" shrinkToFit="1"/>
    </xf>
    <xf numFmtId="0" fontId="90" fillId="42" borderId="94" xfId="0" applyFont="1" applyFill="1" applyBorder="1" applyAlignment="1">
      <alignment horizontal="center" vertical="center" shrinkToFit="1"/>
    </xf>
    <xf numFmtId="0" fontId="90" fillId="42" borderId="95" xfId="0" applyFont="1" applyFill="1" applyBorder="1" applyAlignment="1">
      <alignment horizontal="center" vertical="center" shrinkToFit="1"/>
    </xf>
    <xf numFmtId="0" fontId="90" fillId="42" borderId="96" xfId="0" applyFont="1" applyFill="1" applyBorder="1" applyAlignment="1">
      <alignment horizontal="center" vertical="center" shrinkToFit="1"/>
    </xf>
    <xf numFmtId="0" fontId="69" fillId="23" borderId="97" xfId="0" applyFont="1" applyFill="1" applyBorder="1" applyAlignment="1">
      <alignment horizontal="center" vertical="center" shrinkToFit="1"/>
    </xf>
    <xf numFmtId="0" fontId="69" fillId="23" borderId="75" xfId="0" applyFont="1" applyFill="1" applyBorder="1" applyAlignment="1">
      <alignment horizontal="center" vertical="center" shrinkToFit="1"/>
    </xf>
    <xf numFmtId="10" fontId="69" fillId="40" borderId="75" xfId="0" applyNumberFormat="1" applyFont="1" applyFill="1" applyBorder="1" applyAlignment="1">
      <alignment horizontal="center" vertical="center" shrinkToFit="1"/>
    </xf>
    <xf numFmtId="0" fontId="69" fillId="40" borderId="98" xfId="0" applyFont="1" applyFill="1" applyBorder="1" applyAlignment="1">
      <alignment horizontal="center" vertical="center" shrinkToFit="1"/>
    </xf>
    <xf numFmtId="0" fontId="3" fillId="25" borderId="90" xfId="0" applyFont="1" applyFill="1" applyBorder="1" applyAlignment="1">
      <alignment horizontal="center" vertical="center" shrinkToFit="1"/>
    </xf>
    <xf numFmtId="0" fontId="3" fillId="25" borderId="91" xfId="0" applyFont="1" applyFill="1" applyBorder="1" applyAlignment="1">
      <alignment horizontal="center" vertical="center" shrinkToFit="1"/>
    </xf>
    <xf numFmtId="166" fontId="3" fillId="25" borderId="90" xfId="0" applyNumberFormat="1" applyFont="1" applyFill="1" applyBorder="1" applyAlignment="1">
      <alignment horizontal="center" vertical="center" shrinkToFit="1"/>
    </xf>
    <xf numFmtId="166" fontId="3" fillId="25" borderId="91" xfId="0" applyNumberFormat="1" applyFont="1" applyFill="1" applyBorder="1" applyAlignment="1">
      <alignment horizontal="center" vertical="center" shrinkToFit="1"/>
    </xf>
    <xf numFmtId="0" fontId="51" fillId="18" borderId="91" xfId="0" applyFont="1" applyFill="1" applyBorder="1" applyAlignment="1">
      <alignment horizontal="center" vertical="center" shrinkToFit="1"/>
    </xf>
    <xf numFmtId="0" fontId="51" fillId="16" borderId="92" xfId="0" applyFont="1" applyFill="1" applyBorder="1" applyAlignment="1">
      <alignment horizontal="center" vertical="center" shrinkToFit="1"/>
    </xf>
    <xf numFmtId="0" fontId="69" fillId="27" borderId="8" xfId="0" applyFont="1" applyFill="1" applyBorder="1" applyAlignment="1">
      <alignment horizontal="center" vertical="center" shrinkToFit="1"/>
    </xf>
    <xf numFmtId="0" fontId="3" fillId="19" borderId="90" xfId="0" applyFont="1" applyFill="1" applyBorder="1" applyAlignment="1">
      <alignment horizontal="center" vertical="center" shrinkToFit="1"/>
    </xf>
    <xf numFmtId="0" fontId="3" fillId="19" borderId="92" xfId="0" applyFont="1" applyFill="1" applyBorder="1" applyAlignment="1">
      <alignment horizontal="center" vertical="center" shrinkToFit="1"/>
    </xf>
    <xf numFmtId="166" fontId="3" fillId="19" borderId="90" xfId="0" applyNumberFormat="1" applyFont="1" applyFill="1" applyBorder="1" applyAlignment="1">
      <alignment horizontal="center" vertical="center" shrinkToFit="1"/>
    </xf>
    <xf numFmtId="166" fontId="3" fillId="19" borderId="92" xfId="0" applyNumberFormat="1" applyFont="1" applyFill="1" applyBorder="1" applyAlignment="1">
      <alignment horizontal="center" vertical="center" shrinkToFit="1"/>
    </xf>
    <xf numFmtId="0" fontId="83" fillId="23" borderId="102" xfId="0" applyFont="1" applyFill="1" applyBorder="1" applyAlignment="1">
      <alignment horizontal="center" vertical="center" shrinkToFit="1"/>
    </xf>
    <xf numFmtId="0" fontId="83" fillId="23" borderId="11" xfId="0" applyFont="1" applyFill="1" applyBorder="1" applyAlignment="1">
      <alignment horizontal="center" vertical="center" shrinkToFit="1"/>
    </xf>
    <xf numFmtId="0" fontId="83" fillId="23" borderId="103" xfId="0" applyFont="1" applyFill="1" applyBorder="1" applyAlignment="1">
      <alignment horizontal="center" vertical="center" shrinkToFit="1"/>
    </xf>
    <xf numFmtId="0" fontId="83" fillId="23" borderId="104" xfId="0" applyFont="1" applyFill="1" applyBorder="1" applyAlignment="1">
      <alignment horizontal="center" vertical="center" shrinkToFit="1"/>
    </xf>
    <xf numFmtId="0" fontId="19" fillId="14" borderId="92" xfId="0" applyFont="1" applyFill="1" applyBorder="1" applyAlignment="1">
      <alignment horizontal="center" vertical="center" shrinkToFit="1"/>
    </xf>
    <xf numFmtId="166" fontId="39" fillId="17" borderId="91" xfId="0" applyNumberFormat="1" applyFont="1" applyFill="1" applyBorder="1" applyAlignment="1">
      <alignment horizontal="center" vertical="center" shrinkToFit="1"/>
    </xf>
    <xf numFmtId="0" fontId="69" fillId="29" borderId="97" xfId="0" applyFont="1" applyFill="1" applyBorder="1" applyAlignment="1">
      <alignment horizontal="center" vertical="center" shrinkToFit="1"/>
    </xf>
    <xf numFmtId="0" fontId="69" fillId="29" borderId="75" xfId="0" applyFont="1" applyFill="1" applyBorder="1" applyAlignment="1">
      <alignment horizontal="center" vertical="center" shrinkToFit="1"/>
    </xf>
    <xf numFmtId="0" fontId="77" fillId="37" borderId="91" xfId="0" applyFont="1" applyFill="1" applyBorder="1" applyAlignment="1">
      <alignment horizontal="center" vertical="center" shrinkToFit="1"/>
    </xf>
    <xf numFmtId="0" fontId="76" fillId="36" borderId="90" xfId="0" applyFont="1" applyFill="1" applyBorder="1" applyAlignment="1">
      <alignment horizontal="center" vertical="center" shrinkToFit="1"/>
    </xf>
    <xf numFmtId="0" fontId="76" fillId="36" borderId="91" xfId="0" applyFont="1" applyFill="1" applyBorder="1" applyAlignment="1">
      <alignment horizontal="center" vertical="center" shrinkToFit="1"/>
    </xf>
    <xf numFmtId="165" fontId="76" fillId="36" borderId="90" xfId="0" applyNumberFormat="1" applyFont="1" applyFill="1" applyBorder="1" applyAlignment="1">
      <alignment horizontal="center" vertical="center" shrinkToFit="1"/>
    </xf>
    <xf numFmtId="165" fontId="76" fillId="36" borderId="91" xfId="0" applyNumberFormat="1" applyFont="1" applyFill="1" applyBorder="1" applyAlignment="1">
      <alignment horizontal="center" vertical="center" shrinkToFit="1"/>
    </xf>
    <xf numFmtId="0" fontId="79" fillId="15" borderId="91" xfId="0" applyFont="1" applyFill="1" applyBorder="1" applyAlignment="1">
      <alignment horizontal="center" vertical="center" shrinkToFit="1"/>
    </xf>
    <xf numFmtId="0" fontId="50" fillId="3" borderId="91" xfId="0" applyFont="1" applyFill="1" applyBorder="1" applyAlignment="1">
      <alignment horizontal="center" vertical="center" shrinkToFit="1"/>
    </xf>
    <xf numFmtId="0" fontId="76" fillId="38" borderId="91" xfId="0" applyFont="1" applyFill="1" applyBorder="1" applyAlignment="1">
      <alignment horizontal="center" vertical="center" shrinkToFit="1"/>
    </xf>
    <xf numFmtId="168" fontId="19" fillId="40" borderId="0" xfId="0" applyNumberFormat="1" applyFont="1" applyFill="1" applyAlignment="1">
      <alignment horizontal="center" vertical="center" shrinkToFit="1"/>
    </xf>
    <xf numFmtId="0" fontId="86" fillId="14" borderId="93" xfId="0" applyFont="1" applyFill="1" applyBorder="1" applyAlignment="1">
      <alignment horizontal="center" vertical="center" shrinkToFit="1"/>
    </xf>
    <xf numFmtId="174" fontId="68" fillId="0" borderId="93" xfId="0" applyNumberFormat="1" applyFont="1" applyBorder="1" applyAlignment="1">
      <alignment horizontal="center" vertical="center" shrinkToFit="1"/>
    </xf>
    <xf numFmtId="0" fontId="11" fillId="32" borderId="97" xfId="0" applyFont="1" applyFill="1" applyBorder="1" applyAlignment="1">
      <alignment horizontal="center" vertical="center" shrinkToFit="1"/>
    </xf>
    <xf numFmtId="0" fontId="11" fillId="32" borderId="75" xfId="0" applyFont="1" applyFill="1" applyBorder="1" applyAlignment="1">
      <alignment horizontal="center" vertical="center" shrinkToFit="1"/>
    </xf>
    <xf numFmtId="0" fontId="11" fillId="43" borderId="75" xfId="0" applyFont="1" applyFill="1" applyBorder="1" applyAlignment="1">
      <alignment horizontal="center" vertical="center" shrinkToFit="1"/>
    </xf>
    <xf numFmtId="0" fontId="11" fillId="43" borderId="98" xfId="0" applyFont="1" applyFill="1" applyBorder="1" applyAlignment="1">
      <alignment horizontal="center" vertical="center" shrinkToFit="1"/>
    </xf>
    <xf numFmtId="0" fontId="11" fillId="8" borderId="75" xfId="0" applyFont="1" applyFill="1" applyBorder="1" applyAlignment="1">
      <alignment horizontal="center" vertical="center" shrinkToFit="1"/>
    </xf>
    <xf numFmtId="0" fontId="11" fillId="8" borderId="98" xfId="0" applyFont="1" applyFill="1" applyBorder="1" applyAlignment="1">
      <alignment horizontal="center" vertical="center" shrinkToFit="1"/>
    </xf>
    <xf numFmtId="0" fontId="11" fillId="20" borderId="97" xfId="0" applyFont="1" applyFill="1" applyBorder="1" applyAlignment="1">
      <alignment horizontal="center" vertical="center" shrinkToFit="1"/>
    </xf>
    <xf numFmtId="0" fontId="11" fillId="20" borderId="75" xfId="0" applyFont="1" applyFill="1" applyBorder="1" applyAlignment="1">
      <alignment horizontal="center" vertical="center" shrinkToFit="1"/>
    </xf>
    <xf numFmtId="10" fontId="91" fillId="26" borderId="11" xfId="1" applyNumberFormat="1" applyFont="1" applyFill="1" applyBorder="1" applyAlignment="1">
      <alignment horizontal="center" vertical="center" shrinkToFit="1"/>
    </xf>
    <xf numFmtId="10" fontId="91" fillId="26" borderId="104" xfId="1" applyNumberFormat="1" applyFont="1" applyFill="1" applyBorder="1" applyAlignment="1">
      <alignment horizontal="center" vertical="center" shrinkToFit="1"/>
    </xf>
    <xf numFmtId="0" fontId="78" fillId="22" borderId="84" xfId="0" applyFont="1" applyFill="1" applyBorder="1" applyAlignment="1">
      <alignment horizontal="center" vertical="center" shrinkToFit="1"/>
    </xf>
    <xf numFmtId="0" fontId="3" fillId="0" borderId="91" xfId="0" applyFont="1" applyBorder="1" applyAlignment="1">
      <alignment horizontal="center" vertical="center" shrinkToFit="1"/>
    </xf>
    <xf numFmtId="0" fontId="69" fillId="23" borderId="91" xfId="0" applyFont="1" applyFill="1" applyBorder="1" applyAlignment="1">
      <alignment horizontal="center" vertical="center" shrinkToFit="1"/>
    </xf>
    <xf numFmtId="0" fontId="69" fillId="23" borderId="92" xfId="0" applyFont="1" applyFill="1" applyBorder="1" applyAlignment="1">
      <alignment horizontal="center" vertical="center" shrinkToFit="1"/>
    </xf>
    <xf numFmtId="165" fontId="69" fillId="23" borderId="84" xfId="0" applyNumberFormat="1" applyFont="1" applyFill="1" applyBorder="1" applyAlignment="1">
      <alignment horizontal="center" vertical="center" shrinkToFit="1"/>
    </xf>
    <xf numFmtId="165" fontId="69" fillId="23" borderId="85" xfId="0" applyNumberFormat="1" applyFont="1" applyFill="1" applyBorder="1" applyAlignment="1">
      <alignment horizontal="center" vertical="center" shrinkToFit="1"/>
    </xf>
    <xf numFmtId="165" fontId="69" fillId="23" borderId="88" xfId="0" applyNumberFormat="1" applyFont="1" applyFill="1" applyBorder="1" applyAlignment="1">
      <alignment horizontal="center" vertical="center" shrinkToFit="1"/>
    </xf>
    <xf numFmtId="165" fontId="69" fillId="23" borderId="89" xfId="0" applyNumberFormat="1" applyFont="1" applyFill="1" applyBorder="1" applyAlignment="1">
      <alignment horizontal="center" vertical="center" shrinkToFit="1"/>
    </xf>
    <xf numFmtId="165" fontId="46" fillId="6" borderId="90" xfId="0" applyNumberFormat="1" applyFont="1" applyFill="1" applyBorder="1" applyAlignment="1">
      <alignment horizontal="center" vertical="center" shrinkToFit="1"/>
    </xf>
    <xf numFmtId="165" fontId="46" fillId="6" borderId="91" xfId="0" applyNumberFormat="1" applyFont="1" applyFill="1" applyBorder="1" applyAlignment="1">
      <alignment horizontal="center" vertical="center" shrinkToFit="1"/>
    </xf>
    <xf numFmtId="0" fontId="78" fillId="29" borderId="0" xfId="0" applyFont="1" applyFill="1" applyAlignment="1">
      <alignment horizontal="center" vertical="center" shrinkToFit="1"/>
    </xf>
    <xf numFmtId="0" fontId="69" fillId="23" borderId="113" xfId="0" applyFont="1" applyFill="1" applyBorder="1" applyAlignment="1">
      <alignment horizontal="center" vertical="center" shrinkToFit="1"/>
    </xf>
    <xf numFmtId="0" fontId="69" fillId="29" borderId="113" xfId="0" applyFont="1" applyFill="1" applyBorder="1" applyAlignment="1">
      <alignment horizontal="center" vertical="center" shrinkToFit="1"/>
    </xf>
    <xf numFmtId="0" fontId="69" fillId="29" borderId="91" xfId="0" applyFont="1" applyFill="1" applyBorder="1" applyAlignment="1">
      <alignment horizontal="center" vertical="center" shrinkToFit="1"/>
    </xf>
    <xf numFmtId="0" fontId="69" fillId="29" borderId="92" xfId="0" applyFont="1" applyFill="1" applyBorder="1" applyAlignment="1">
      <alignment horizontal="center" vertical="center" shrinkToFit="1"/>
    </xf>
    <xf numFmtId="0" fontId="93" fillId="6" borderId="1" xfId="0" applyFont="1" applyFill="1" applyBorder="1" applyAlignment="1">
      <alignment shrinkToFit="1"/>
    </xf>
    <xf numFmtId="0" fontId="74" fillId="0" borderId="1" xfId="0" applyFont="1" applyBorder="1" applyAlignment="1">
      <alignment shrinkToFit="1"/>
    </xf>
    <xf numFmtId="0" fontId="93" fillId="0" borderId="1" xfId="0" applyFont="1" applyBorder="1" applyAlignment="1">
      <alignment shrinkToFit="1"/>
    </xf>
    <xf numFmtId="0" fontId="3" fillId="19" borderId="91" xfId="0" applyFont="1" applyFill="1" applyBorder="1" applyAlignment="1">
      <alignment horizontal="center" vertical="center" shrinkToFit="1"/>
    </xf>
    <xf numFmtId="166" fontId="3" fillId="19" borderId="91" xfId="0" applyNumberFormat="1" applyFont="1" applyFill="1" applyBorder="1" applyAlignment="1">
      <alignment horizontal="center" vertical="center" shrinkToFit="1"/>
    </xf>
    <xf numFmtId="0" fontId="70" fillId="0" borderId="6" xfId="0" applyFont="1" applyBorder="1" applyAlignment="1">
      <alignment horizontal="left" shrinkToFit="1"/>
    </xf>
    <xf numFmtId="0" fontId="70" fillId="0" borderId="7" xfId="0" applyFont="1" applyBorder="1" applyAlignment="1">
      <alignment horizontal="left" shrinkToFit="1"/>
    </xf>
    <xf numFmtId="0" fontId="70" fillId="0" borderId="8" xfId="0" applyFont="1" applyBorder="1" applyAlignment="1">
      <alignment horizontal="left" shrinkToFit="1"/>
    </xf>
    <xf numFmtId="174" fontId="19" fillId="15" borderId="6" xfId="0" applyNumberFormat="1" applyFont="1" applyFill="1" applyBorder="1" applyAlignment="1">
      <alignment horizontal="right" shrinkToFit="1"/>
    </xf>
    <xf numFmtId="174" fontId="19" fillId="15" borderId="8" xfId="0" applyNumberFormat="1" applyFont="1" applyFill="1" applyBorder="1" applyAlignment="1">
      <alignment horizontal="right" shrinkToFit="1"/>
    </xf>
    <xf numFmtId="0" fontId="94" fillId="9" borderId="1" xfId="0" applyFont="1" applyFill="1" applyBorder="1" applyAlignment="1">
      <alignment horizontal="center" vertical="center" shrinkToFit="1"/>
    </xf>
    <xf numFmtId="174" fontId="94" fillId="9" borderId="1" xfId="0" applyNumberFormat="1" applyFont="1" applyFill="1" applyBorder="1" applyAlignment="1">
      <alignment horizontal="center" vertical="center" shrinkToFit="1"/>
    </xf>
    <xf numFmtId="0" fontId="96" fillId="0" borderId="1" xfId="0" applyFont="1" applyBorder="1" applyAlignment="1">
      <alignment horizontal="center" vertical="center"/>
    </xf>
    <xf numFmtId="0" fontId="96" fillId="0" borderId="1" xfId="0" applyFont="1" applyBorder="1" applyAlignment="1">
      <alignment horizontal="center" vertical="center" shrinkToFit="1"/>
    </xf>
    <xf numFmtId="9" fontId="94" fillId="9" borderId="1" xfId="1" applyFont="1" applyFill="1" applyBorder="1" applyAlignment="1">
      <alignment horizontal="center" vertical="center" shrinkToFit="1"/>
    </xf>
    <xf numFmtId="0" fontId="94" fillId="9" borderId="1" xfId="0" applyFont="1" applyFill="1" applyBorder="1" applyAlignment="1">
      <alignment horizontal="center" vertical="center"/>
    </xf>
    <xf numFmtId="174" fontId="94" fillId="9" borderId="1" xfId="0" applyNumberFormat="1" applyFont="1" applyFill="1" applyBorder="1" applyAlignment="1">
      <alignment horizontal="center" vertical="center"/>
    </xf>
    <xf numFmtId="164" fontId="19" fillId="0" borderId="46" xfId="0" applyNumberFormat="1" applyFont="1" applyBorder="1" applyAlignment="1">
      <alignment horizontal="center" vertical="center" shrinkToFit="1"/>
    </xf>
    <xf numFmtId="164" fontId="19" fillId="0" borderId="74" xfId="0" applyNumberFormat="1" applyFont="1" applyBorder="1" applyAlignment="1">
      <alignment horizontal="center" vertical="center" shrinkToFit="1"/>
    </xf>
    <xf numFmtId="164" fontId="19" fillId="0" borderId="114" xfId="0" applyNumberFormat="1" applyFont="1" applyBorder="1" applyAlignment="1">
      <alignment horizontal="center" vertical="center" shrinkToFit="1"/>
    </xf>
    <xf numFmtId="0" fontId="19" fillId="20" borderId="90" xfId="0" applyFont="1" applyFill="1" applyBorder="1" applyAlignment="1">
      <alignment horizontal="center" vertical="center" shrinkToFit="1"/>
    </xf>
    <xf numFmtId="0" fontId="19" fillId="20" borderId="91" xfId="0" applyFont="1" applyFill="1" applyBorder="1" applyAlignment="1">
      <alignment horizontal="center" vertical="center" shrinkToFit="1"/>
    </xf>
    <xf numFmtId="0" fontId="19" fillId="20" borderId="92" xfId="0" applyFont="1" applyFill="1" applyBorder="1" applyAlignment="1">
      <alignment horizontal="center" vertical="center" shrinkToFit="1"/>
    </xf>
    <xf numFmtId="0" fontId="85" fillId="7" borderId="90" xfId="0" applyFont="1" applyFill="1" applyBorder="1" applyAlignment="1">
      <alignment horizontal="center" vertical="center" shrinkToFit="1"/>
    </xf>
    <xf numFmtId="0" fontId="85" fillId="7" borderId="92" xfId="0" applyFont="1" applyFill="1" applyBorder="1" applyAlignment="1">
      <alignment horizontal="center" vertical="center" shrinkToFit="1"/>
    </xf>
    <xf numFmtId="10" fontId="25" fillId="0" borderId="90" xfId="1" applyNumberFormat="1" applyFont="1" applyBorder="1" applyAlignment="1">
      <alignment horizontal="center" vertical="center" shrinkToFit="1"/>
    </xf>
    <xf numFmtId="10" fontId="25" fillId="0" borderId="92" xfId="1" applyNumberFormat="1" applyFont="1" applyBorder="1" applyAlignment="1">
      <alignment horizontal="center" vertical="center" shrinkToFit="1"/>
    </xf>
    <xf numFmtId="169" fontId="19" fillId="20" borderId="90" xfId="0" applyNumberFormat="1" applyFont="1" applyFill="1" applyBorder="1" applyAlignment="1">
      <alignment horizontal="center" vertical="center" shrinkToFit="1"/>
    </xf>
    <xf numFmtId="169" fontId="19" fillId="20" borderId="92" xfId="0" applyNumberFormat="1" applyFont="1" applyFill="1" applyBorder="1" applyAlignment="1">
      <alignment horizontal="center" vertical="center" shrinkToFit="1"/>
    </xf>
    <xf numFmtId="0" fontId="3" fillId="35" borderId="91" xfId="0" applyFont="1" applyFill="1" applyBorder="1" applyAlignment="1">
      <alignment horizontal="center" vertical="center" shrinkToFit="1"/>
    </xf>
    <xf numFmtId="0" fontId="3" fillId="35" borderId="92" xfId="0" applyFont="1" applyFill="1" applyBorder="1" applyAlignment="1">
      <alignment horizontal="center" vertical="center" shrinkToFit="1"/>
    </xf>
    <xf numFmtId="165" fontId="3" fillId="35" borderId="91" xfId="0" applyNumberFormat="1" applyFont="1" applyFill="1" applyBorder="1" applyAlignment="1">
      <alignment horizontal="center" vertical="center" shrinkToFit="1"/>
    </xf>
    <xf numFmtId="165" fontId="3" fillId="35" borderId="92" xfId="0" applyNumberFormat="1" applyFont="1" applyFill="1" applyBorder="1" applyAlignment="1">
      <alignment horizontal="center" vertical="center" shrinkToFit="1"/>
    </xf>
    <xf numFmtId="0" fontId="75" fillId="34" borderId="90" xfId="0" applyFont="1" applyFill="1" applyBorder="1" applyAlignment="1">
      <alignment horizontal="center" vertical="center" shrinkToFit="1"/>
    </xf>
    <xf numFmtId="0" fontId="75" fillId="34" borderId="92" xfId="0" applyFont="1" applyFill="1" applyBorder="1" applyAlignment="1">
      <alignment horizontal="center" vertical="center" shrinkToFit="1"/>
    </xf>
    <xf numFmtId="169" fontId="75" fillId="34" borderId="90" xfId="0" applyNumberFormat="1" applyFont="1" applyFill="1" applyBorder="1" applyAlignment="1">
      <alignment horizontal="center" vertical="center" shrinkToFit="1"/>
    </xf>
    <xf numFmtId="169" fontId="75" fillId="34" borderId="92" xfId="0" applyNumberFormat="1" applyFont="1" applyFill="1" applyBorder="1" applyAlignment="1">
      <alignment horizontal="center" vertical="center" shrinkToFit="1"/>
    </xf>
    <xf numFmtId="165" fontId="46" fillId="6" borderId="118" xfId="0" applyNumberFormat="1" applyFont="1" applyFill="1" applyBorder="1" applyAlignment="1">
      <alignment horizontal="center" vertical="center" shrinkToFit="1"/>
    </xf>
    <xf numFmtId="165" fontId="25" fillId="0" borderId="90" xfId="0" applyNumberFormat="1" applyFont="1" applyBorder="1" applyAlignment="1">
      <alignment horizontal="center" vertical="center" shrinkToFit="1"/>
    </xf>
    <xf numFmtId="165" fontId="25" fillId="0" borderId="92" xfId="0" applyNumberFormat="1" applyFont="1" applyBorder="1" applyAlignment="1">
      <alignment horizontal="center" vertical="center" shrinkToFit="1"/>
    </xf>
    <xf numFmtId="0" fontId="3" fillId="0" borderId="118" xfId="0" applyFont="1" applyBorder="1" applyAlignment="1">
      <alignment horizontal="center" vertical="center" shrinkToFit="1"/>
    </xf>
    <xf numFmtId="165" fontId="25" fillId="0" borderId="118" xfId="0" applyNumberFormat="1" applyFont="1" applyBorder="1" applyAlignment="1">
      <alignment horizontal="center" vertical="center" shrinkToFit="1"/>
    </xf>
    <xf numFmtId="10" fontId="25" fillId="0" borderId="118" xfId="1" applyNumberFormat="1" applyFont="1" applyBorder="1" applyAlignment="1">
      <alignment horizontal="center" vertical="center" shrinkToFit="1"/>
    </xf>
    <xf numFmtId="0" fontId="19" fillId="30" borderId="1" xfId="0" applyFont="1" applyFill="1" applyBorder="1" applyAlignment="1">
      <alignment horizontal="center" vertical="center" shrinkToFit="1"/>
    </xf>
    <xf numFmtId="164" fontId="19" fillId="30" borderId="46" xfId="0" applyNumberFormat="1" applyFont="1" applyFill="1" applyBorder="1" applyAlignment="1">
      <alignment horizontal="center" vertical="center" shrinkToFit="1"/>
    </xf>
    <xf numFmtId="164" fontId="19" fillId="30" borderId="74" xfId="0" applyNumberFormat="1" applyFont="1" applyFill="1" applyBorder="1" applyAlignment="1">
      <alignment horizontal="center" vertical="center" shrinkToFit="1"/>
    </xf>
    <xf numFmtId="164" fontId="19" fillId="30" borderId="114" xfId="0" applyNumberFormat="1" applyFont="1" applyFill="1" applyBorder="1" applyAlignment="1">
      <alignment horizontal="center" vertical="center" shrinkToFit="1"/>
    </xf>
    <xf numFmtId="0" fontId="68" fillId="11" borderId="90" xfId="0" applyFont="1" applyFill="1" applyBorder="1" applyAlignment="1">
      <alignment horizontal="center" vertical="center" shrinkToFit="1"/>
    </xf>
    <xf numFmtId="0" fontId="68" fillId="11" borderId="92" xfId="0" applyFont="1" applyFill="1" applyBorder="1" applyAlignment="1">
      <alignment horizontal="center" vertical="center" shrinkToFit="1"/>
    </xf>
    <xf numFmtId="0" fontId="68" fillId="14" borderId="90" xfId="0" applyFont="1" applyFill="1" applyBorder="1" applyAlignment="1">
      <alignment horizontal="center" vertical="center" shrinkToFit="1"/>
    </xf>
    <xf numFmtId="0" fontId="68" fillId="14" borderId="92" xfId="0" applyFont="1" applyFill="1" applyBorder="1" applyAlignment="1">
      <alignment horizontal="center" vertical="center" shrinkToFit="1"/>
    </xf>
    <xf numFmtId="0" fontId="68" fillId="13" borderId="90" xfId="0" applyFont="1" applyFill="1" applyBorder="1" applyAlignment="1">
      <alignment horizontal="center" vertical="center" shrinkToFit="1"/>
    </xf>
    <xf numFmtId="0" fontId="68" fillId="13" borderId="92" xfId="0" applyFont="1" applyFill="1" applyBorder="1" applyAlignment="1">
      <alignment horizontal="center" vertical="center" shrinkToFit="1"/>
    </xf>
    <xf numFmtId="0" fontId="68" fillId="0" borderId="90" xfId="0" applyFont="1" applyBorder="1" applyAlignment="1">
      <alignment horizontal="center" vertical="center" shrinkToFit="1"/>
    </xf>
    <xf numFmtId="0" fontId="68" fillId="0" borderId="92" xfId="0" applyFont="1" applyBorder="1" applyAlignment="1">
      <alignment horizontal="center" vertical="center" shrinkToFit="1"/>
    </xf>
    <xf numFmtId="0" fontId="99" fillId="0" borderId="115" xfId="0" applyFont="1" applyBorder="1" applyAlignment="1">
      <alignment horizontal="center" vertical="center" shrinkToFit="1"/>
    </xf>
    <xf numFmtId="0" fontId="99" fillId="0" borderId="88" xfId="0" applyFont="1" applyBorder="1" applyAlignment="1">
      <alignment horizontal="center" vertical="center" shrinkToFit="1"/>
    </xf>
    <xf numFmtId="0" fontId="37" fillId="6" borderId="116" xfId="0" applyFont="1" applyFill="1" applyBorder="1" applyAlignment="1">
      <alignment horizontal="center" vertical="center" shrinkToFit="1"/>
    </xf>
    <xf numFmtId="0" fontId="37" fillId="6" borderId="117" xfId="0" applyFont="1" applyFill="1" applyBorder="1" applyAlignment="1">
      <alignment horizontal="center" vertical="center" shrinkToFit="1"/>
    </xf>
    <xf numFmtId="0" fontId="12" fillId="28" borderId="108" xfId="0" applyFont="1" applyFill="1" applyBorder="1" applyAlignment="1">
      <alignment horizontal="center" vertical="center" shrinkToFit="1"/>
    </xf>
    <xf numFmtId="0" fontId="12" fillId="28" borderId="110" xfId="0" applyFont="1" applyFill="1" applyBorder="1" applyAlignment="1">
      <alignment horizontal="center" vertical="center" shrinkToFit="1"/>
    </xf>
    <xf numFmtId="0" fontId="12" fillId="32" borderId="108" xfId="0" applyFont="1" applyFill="1" applyBorder="1" applyAlignment="1">
      <alignment horizontal="center" vertical="center" shrinkToFit="1"/>
    </xf>
    <xf numFmtId="0" fontId="12" fillId="32" borderId="110" xfId="0" applyFont="1" applyFill="1" applyBorder="1" applyAlignment="1">
      <alignment horizontal="center" vertical="center" shrinkToFit="1"/>
    </xf>
    <xf numFmtId="174" fontId="71" fillId="19" borderId="107" xfId="0" applyNumberFormat="1" applyFont="1" applyFill="1" applyBorder="1" applyAlignment="1">
      <alignment horizontal="center" vertical="center" shrinkToFit="1"/>
    </xf>
    <xf numFmtId="0" fontId="71" fillId="19" borderId="109" xfId="0" applyFont="1" applyFill="1" applyBorder="1" applyAlignment="1">
      <alignment horizontal="center" vertical="center" shrinkToFit="1"/>
    </xf>
    <xf numFmtId="0" fontId="54" fillId="3" borderId="106" xfId="0" applyFont="1" applyFill="1" applyBorder="1" applyAlignment="1">
      <alignment horizontal="center" vertical="center" shrinkToFit="1"/>
    </xf>
    <xf numFmtId="0" fontId="54" fillId="3" borderId="75" xfId="0" applyFont="1" applyFill="1" applyBorder="1" applyAlignment="1">
      <alignment horizontal="center" vertical="center" shrinkToFit="1"/>
    </xf>
    <xf numFmtId="0" fontId="11" fillId="0" borderId="75" xfId="0" applyFont="1" applyBorder="1" applyAlignment="1">
      <alignment horizontal="center" vertical="center" shrinkToFit="1"/>
    </xf>
    <xf numFmtId="0" fontId="11" fillId="0" borderId="109" xfId="0" applyFont="1" applyBorder="1" applyAlignment="1">
      <alignment horizontal="center" vertical="center" shrinkToFit="1"/>
    </xf>
    <xf numFmtId="0" fontId="12" fillId="29" borderId="108" xfId="0" applyFont="1" applyFill="1" applyBorder="1" applyAlignment="1">
      <alignment horizontal="center" vertical="center" shrinkToFit="1"/>
    </xf>
    <xf numFmtId="0" fontId="12" fillId="30" borderId="108" xfId="0" applyFont="1" applyFill="1" applyBorder="1" applyAlignment="1">
      <alignment horizontal="center" vertical="center" shrinkToFit="1"/>
    </xf>
    <xf numFmtId="0" fontId="45" fillId="6" borderId="105" xfId="0" applyFont="1" applyFill="1" applyBorder="1" applyAlignment="1">
      <alignment horizontal="center" vertical="center" shrinkToFit="1"/>
    </xf>
    <xf numFmtId="0" fontId="45" fillId="6" borderId="106" xfId="0" applyFont="1" applyFill="1" applyBorder="1" applyAlignment="1">
      <alignment horizontal="center" vertical="center" shrinkToFit="1"/>
    </xf>
    <xf numFmtId="0" fontId="12" fillId="0" borderId="108" xfId="0" applyFont="1" applyBorder="1" applyAlignment="1">
      <alignment horizontal="center" vertical="center" shrinkToFit="1"/>
    </xf>
  </cellXfs>
  <cellStyles count="3">
    <cellStyle name="Normal" xfId="0" builtinId="0"/>
    <cellStyle name="Normal 2" xfId="2" xr:uid="{8E77FFE1-54F8-4845-8C7D-3905977BD675}"/>
    <cellStyle name="Percent" xfId="1" builtinId="5"/>
  </cellStyles>
  <dxfs count="1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DE4B10"/>
      <color rgb="FFCCECFF"/>
      <color rgb="FFFFFFFF"/>
      <color rgb="FF66CCFF"/>
      <color rgb="FFFF66CC"/>
      <color rgb="FF3366FF"/>
      <color rgb="FF910101"/>
      <color rgb="FF08B2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8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microsoft.com/office/2017/10/relationships/person" Target="persons/person0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6E32E-3220-E64A-A13C-AFEB1144802E}">
  <sheetPr codeName="Sheet2"/>
  <dimension ref="A1:D27"/>
  <sheetViews>
    <sheetView topLeftCell="A13" workbookViewId="0">
      <selection activeCell="E16" sqref="E16"/>
    </sheetView>
  </sheetViews>
  <sheetFormatPr defaultColWidth="10.6328125" defaultRowHeight="15.6"/>
  <cols>
    <col min="1" max="1" width="20.6328125" style="117" customWidth="1"/>
    <col min="2" max="2" width="14.08984375" style="117" customWidth="1"/>
    <col min="3" max="3" width="10.6328125" style="117"/>
    <col min="4" max="4" width="14.36328125" style="117" customWidth="1"/>
    <col min="5" max="16384" width="10.6328125" style="117"/>
  </cols>
  <sheetData>
    <row r="1" spans="1:4" ht="22.5" customHeight="1">
      <c r="A1" s="208" t="s">
        <v>507</v>
      </c>
      <c r="B1" s="208"/>
      <c r="C1" s="462"/>
      <c r="D1" s="463"/>
    </row>
    <row r="2" spans="1:4" ht="27.75" customHeight="1">
      <c r="A2" s="214" t="s">
        <v>631</v>
      </c>
      <c r="B2" s="193">
        <v>1581640</v>
      </c>
      <c r="C2" s="464" t="s">
        <v>250</v>
      </c>
      <c r="D2" s="465"/>
    </row>
    <row r="3" spans="1:4" ht="27.75" customHeight="1">
      <c r="A3" s="214" t="s">
        <v>630</v>
      </c>
      <c r="B3" s="193">
        <v>0</v>
      </c>
      <c r="C3" s="210" t="s">
        <v>508</v>
      </c>
      <c r="D3" s="4" t="s">
        <v>509</v>
      </c>
    </row>
    <row r="4" spans="1:4" ht="27.75" customHeight="1">
      <c r="A4" s="212" t="s">
        <v>629</v>
      </c>
      <c r="B4" s="213">
        <f>SUM(B2:B3)</f>
        <v>1581640</v>
      </c>
      <c r="C4" s="211"/>
      <c r="D4" s="4"/>
    </row>
    <row r="5" spans="1:4" ht="27.75" customHeight="1">
      <c r="A5" s="215" t="s">
        <v>628</v>
      </c>
      <c r="B5" s="216">
        <v>0</v>
      </c>
      <c r="C5" s="211"/>
      <c r="D5" s="59"/>
    </row>
    <row r="6" spans="1:4" ht="27.75" customHeight="1">
      <c r="A6" s="215" t="s">
        <v>632</v>
      </c>
      <c r="B6" s="216">
        <v>0</v>
      </c>
      <c r="C6" s="211"/>
      <c r="D6" s="59"/>
    </row>
    <row r="7" spans="1:4" ht="27.75" customHeight="1">
      <c r="A7" s="215" t="s">
        <v>633</v>
      </c>
      <c r="B7" s="216">
        <v>0</v>
      </c>
      <c r="C7" s="211"/>
      <c r="D7" s="59"/>
    </row>
    <row r="8" spans="1:4" ht="27.75" customHeight="1">
      <c r="A8" s="215" t="s">
        <v>634</v>
      </c>
      <c r="B8" s="216">
        <v>0</v>
      </c>
      <c r="C8" s="211"/>
      <c r="D8" s="59"/>
    </row>
    <row r="9" spans="1:4" ht="27.75" customHeight="1">
      <c r="A9" s="215" t="s">
        <v>626</v>
      </c>
      <c r="B9" s="216">
        <f>SUM(C4:C12)</f>
        <v>0</v>
      </c>
      <c r="C9" s="211"/>
      <c r="D9" s="59"/>
    </row>
    <row r="10" spans="1:4" ht="27.75" customHeight="1">
      <c r="A10" s="208" t="s">
        <v>635</v>
      </c>
      <c r="B10" s="209">
        <v>0</v>
      </c>
      <c r="C10" s="211"/>
      <c r="D10" s="59"/>
    </row>
    <row r="11" spans="1:4" ht="27.75" customHeight="1">
      <c r="A11" s="155" t="s">
        <v>627</v>
      </c>
      <c r="B11" s="58">
        <v>0</v>
      </c>
      <c r="C11" s="211"/>
      <c r="D11" s="59"/>
    </row>
    <row r="12" spans="1:4" ht="27.75" customHeight="1">
      <c r="A12" s="217" t="s">
        <v>484</v>
      </c>
      <c r="B12" s="218">
        <f>B4-B5-B6-B7-B8-B9-B10-B11</f>
        <v>1581640</v>
      </c>
      <c r="C12" s="211"/>
      <c r="D12" s="59"/>
    </row>
    <row r="13" spans="1:4" ht="27.75" customHeight="1"/>
    <row r="14" spans="1:4" ht="3.75" customHeight="1"/>
    <row r="15" spans="1:4" ht="23.25" customHeight="1">
      <c r="A15" s="208" t="s">
        <v>507</v>
      </c>
      <c r="B15" s="208"/>
      <c r="C15" s="459"/>
      <c r="D15" s="459"/>
    </row>
    <row r="16" spans="1:4" ht="27.75" customHeight="1">
      <c r="A16" s="214" t="s">
        <v>631</v>
      </c>
      <c r="B16" s="193"/>
      <c r="C16" s="460" t="s">
        <v>250</v>
      </c>
      <c r="D16" s="461"/>
    </row>
    <row r="17" spans="1:4" ht="27.75" customHeight="1">
      <c r="A17" s="214" t="s">
        <v>630</v>
      </c>
      <c r="B17" s="193"/>
      <c r="C17" s="210" t="s">
        <v>508</v>
      </c>
      <c r="D17" s="4" t="s">
        <v>509</v>
      </c>
    </row>
    <row r="18" spans="1:4" ht="27.75" customHeight="1">
      <c r="A18" s="212" t="s">
        <v>629</v>
      </c>
      <c r="B18" s="213"/>
      <c r="C18" s="211"/>
      <c r="D18" s="4"/>
    </row>
    <row r="19" spans="1:4" ht="27.75" customHeight="1">
      <c r="A19" s="215" t="s">
        <v>628</v>
      </c>
      <c r="B19" s="216"/>
      <c r="C19" s="211"/>
      <c r="D19" s="59"/>
    </row>
    <row r="20" spans="1:4" ht="27.75" customHeight="1">
      <c r="A20" s="215" t="s">
        <v>632</v>
      </c>
      <c r="B20" s="216"/>
      <c r="C20" s="211"/>
      <c r="D20" s="59"/>
    </row>
    <row r="21" spans="1:4" ht="27.75" customHeight="1">
      <c r="A21" s="215" t="s">
        <v>633</v>
      </c>
      <c r="B21" s="216"/>
      <c r="C21" s="211"/>
      <c r="D21" s="59"/>
    </row>
    <row r="22" spans="1:4" ht="27.75" customHeight="1">
      <c r="A22" s="215" t="s">
        <v>634</v>
      </c>
      <c r="B22" s="216"/>
      <c r="C22" s="211"/>
      <c r="D22" s="59"/>
    </row>
    <row r="23" spans="1:4" ht="27.75" customHeight="1">
      <c r="A23" s="215" t="s">
        <v>626</v>
      </c>
      <c r="B23" s="216"/>
      <c r="C23" s="211"/>
      <c r="D23" s="59"/>
    </row>
    <row r="24" spans="1:4" ht="27.75" customHeight="1">
      <c r="A24" s="208" t="s">
        <v>635</v>
      </c>
      <c r="B24" s="209"/>
      <c r="C24" s="211"/>
      <c r="D24" s="59"/>
    </row>
    <row r="25" spans="1:4" ht="27.75" customHeight="1">
      <c r="A25" s="155" t="s">
        <v>627</v>
      </c>
      <c r="B25" s="58"/>
      <c r="C25" s="211"/>
      <c r="D25" s="59"/>
    </row>
    <row r="26" spans="1:4" ht="27.75" customHeight="1">
      <c r="A26" s="217" t="s">
        <v>484</v>
      </c>
      <c r="B26" s="218"/>
      <c r="C26" s="211"/>
      <c r="D26" s="59"/>
    </row>
    <row r="27" spans="1:4" ht="27.75" customHeight="1"/>
  </sheetData>
  <mergeCells count="4">
    <mergeCell ref="C15:D15"/>
    <mergeCell ref="C16:D16"/>
    <mergeCell ref="C1:D1"/>
    <mergeCell ref="C2:D2"/>
  </mergeCells>
  <phoneticPr fontId="1"/>
  <pageMargins left="0.7" right="0.7" top="0.75" bottom="0.75" header="0.3" footer="0.3"/>
  <pageSetup paperSize="9" orientation="portrait" horizontalDpi="300" verticalDpi="300" copies="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246C-7489-C348-A683-EEB7EA72136B}">
  <dimension ref="A1:G8"/>
  <sheetViews>
    <sheetView workbookViewId="0">
      <selection activeCell="A2" sqref="A2:C2"/>
    </sheetView>
  </sheetViews>
  <sheetFormatPr defaultColWidth="10.6328125" defaultRowHeight="36.9" customHeight="1"/>
  <cols>
    <col min="1" max="1" width="12.6328125" style="203" bestFit="1" customWidth="1"/>
    <col min="2" max="2" width="21.36328125" style="203" customWidth="1"/>
    <col min="3" max="5" width="10.6328125" style="203"/>
    <col min="6" max="6" width="15.6328125" style="203" customWidth="1"/>
    <col min="7" max="7" width="18" style="203" customWidth="1"/>
    <col min="8" max="16384" width="10.6328125" style="203"/>
  </cols>
  <sheetData>
    <row r="1" spans="1:7" ht="36.9" customHeight="1">
      <c r="A1" s="202" t="s">
        <v>510</v>
      </c>
      <c r="B1" s="202" t="s">
        <v>511</v>
      </c>
      <c r="C1" s="202" t="s">
        <v>512</v>
      </c>
      <c r="E1" s="466" t="s">
        <v>519</v>
      </c>
      <c r="F1" s="466"/>
      <c r="G1" s="466"/>
    </row>
    <row r="2" spans="1:7" ht="36.9" customHeight="1">
      <c r="A2" s="467">
        <v>45231</v>
      </c>
      <c r="B2" s="467"/>
      <c r="C2" s="467"/>
      <c r="E2" s="204" t="s">
        <v>528</v>
      </c>
      <c r="F2" s="205">
        <f>SUMIF($C$3:$C$165,"=食材",$A$3:$A$165)</f>
        <v>0</v>
      </c>
      <c r="G2" s="468">
        <f>SUM(F2:F8)</f>
        <v>0</v>
      </c>
    </row>
    <row r="3" spans="1:7" ht="36.9" customHeight="1">
      <c r="A3" s="206"/>
      <c r="B3" s="206"/>
      <c r="C3" s="206"/>
      <c r="E3" s="204" t="s">
        <v>529</v>
      </c>
      <c r="F3" s="205">
        <f>SUMIF($C$3:$C$165,"=消耗品",$A$3:$A$165)</f>
        <v>0</v>
      </c>
      <c r="G3" s="469"/>
    </row>
    <row r="4" spans="1:7" ht="36.9" customHeight="1">
      <c r="A4" s="206"/>
      <c r="B4" s="206"/>
      <c r="C4" s="206"/>
      <c r="E4" s="204" t="s">
        <v>530</v>
      </c>
      <c r="F4" s="205">
        <f>SUMIF($C$3:$C$165,"=家賃",$A$3:$A$165)</f>
        <v>0</v>
      </c>
      <c r="G4" s="469"/>
    </row>
    <row r="5" spans="1:7" ht="36.9" customHeight="1">
      <c r="A5" s="206"/>
      <c r="B5" s="206"/>
      <c r="C5" s="206"/>
      <c r="E5" s="204" t="s">
        <v>531</v>
      </c>
      <c r="F5" s="205">
        <f>SUMIF($C$3:$C$165,"=水代",$A$3:$A$165)</f>
        <v>0</v>
      </c>
      <c r="G5" s="469"/>
    </row>
    <row r="6" spans="1:7" ht="36.9" customHeight="1">
      <c r="A6" s="206"/>
      <c r="B6" s="206"/>
      <c r="C6" s="206"/>
      <c r="E6" s="204" t="s">
        <v>532</v>
      </c>
      <c r="F6" s="205">
        <f>SUMIF($C$3:$C$165,"=電気代",$A$3:$A$165)</f>
        <v>0</v>
      </c>
      <c r="G6" s="469"/>
    </row>
    <row r="7" spans="1:7" ht="36.9" customHeight="1">
      <c r="A7" s="206"/>
      <c r="B7" s="206"/>
      <c r="C7" s="206"/>
      <c r="E7" s="204" t="s">
        <v>533</v>
      </c>
      <c r="F7" s="205">
        <f>SUMIF($C$3:$C$165,"=米",$A$3:$A$165)</f>
        <v>0</v>
      </c>
      <c r="G7" s="469"/>
    </row>
    <row r="8" spans="1:7" ht="36.9" customHeight="1">
      <c r="A8" s="471">
        <f>SUM(A3:A7)</f>
        <v>0</v>
      </c>
      <c r="B8" s="471"/>
      <c r="C8" s="471"/>
      <c r="E8" s="204" t="s">
        <v>534</v>
      </c>
      <c r="F8" s="205">
        <f>SUMIF($C$3:$C$165,"=その他",$A$3:$A$165)</f>
        <v>0</v>
      </c>
      <c r="G8" s="470"/>
    </row>
  </sheetData>
  <mergeCells count="4">
    <mergeCell ref="E1:G1"/>
    <mergeCell ref="A2:C2"/>
    <mergeCell ref="G2:G8"/>
    <mergeCell ref="A8:C8"/>
  </mergeCells>
  <phoneticPr fontId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481D8-A999-8949-9160-B10C7F91AD91}">
  <dimension ref="A1:Q55"/>
  <sheetViews>
    <sheetView zoomScaleNormal="100" workbookViewId="0">
      <selection activeCell="A10" sqref="A10"/>
    </sheetView>
  </sheetViews>
  <sheetFormatPr defaultColWidth="10.6328125" defaultRowHeight="18"/>
  <cols>
    <col min="1" max="1" width="3" style="180" customWidth="1"/>
    <col min="2" max="2" width="2.90625" style="69" customWidth="1"/>
    <col min="3" max="3" width="8.08984375" style="69" customWidth="1"/>
    <col min="4" max="4" width="10" style="69" customWidth="1"/>
    <col min="5" max="5" width="8.08984375" style="69" customWidth="1"/>
    <col min="6" max="6" width="3.453125" style="69" customWidth="1"/>
    <col min="7" max="7" width="4.36328125" style="69" customWidth="1"/>
    <col min="8" max="8" width="11.6328125" style="69" customWidth="1"/>
    <col min="9" max="9" width="4.90625" style="69" customWidth="1"/>
    <col min="10" max="10" width="3.36328125" style="127" customWidth="1"/>
    <col min="11" max="11" width="6" style="69" customWidth="1"/>
    <col min="12" max="17" width="11.453125" style="69" customWidth="1"/>
    <col min="18" max="16384" width="10.6328125" style="69"/>
  </cols>
  <sheetData>
    <row r="1" spans="1:17" ht="24" customHeight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133" t="s">
        <v>463</v>
      </c>
      <c r="H1" s="151" t="s">
        <v>464</v>
      </c>
      <c r="I1" s="133" t="s">
        <v>465</v>
      </c>
      <c r="J1" s="138" t="s">
        <v>466</v>
      </c>
      <c r="K1" s="501"/>
      <c r="L1" s="502" t="s">
        <v>248</v>
      </c>
      <c r="M1" s="503"/>
      <c r="N1" s="503"/>
      <c r="O1" s="503"/>
      <c r="P1" s="503"/>
      <c r="Q1" s="504"/>
    </row>
    <row r="2" spans="1:17" ht="30.9" customHeight="1">
      <c r="A2" s="176">
        <v>45139</v>
      </c>
      <c r="B2" s="177" t="s">
        <v>470</v>
      </c>
      <c r="C2" s="165">
        <v>388063</v>
      </c>
      <c r="D2" s="165">
        <v>91821</v>
      </c>
      <c r="E2" s="165">
        <f>C2-D2</f>
        <v>296242</v>
      </c>
      <c r="F2" s="165">
        <v>-420</v>
      </c>
      <c r="G2" s="165">
        <v>31072</v>
      </c>
      <c r="H2" s="152">
        <f>E2+F2</f>
        <v>295822</v>
      </c>
      <c r="I2" s="165">
        <v>124532</v>
      </c>
      <c r="J2" s="166">
        <v>11</v>
      </c>
      <c r="K2" s="501"/>
      <c r="L2" s="478" t="s">
        <v>249</v>
      </c>
      <c r="M2" s="479"/>
      <c r="N2" s="479"/>
      <c r="O2" s="479"/>
      <c r="P2" s="479"/>
      <c r="Q2" s="480"/>
    </row>
    <row r="3" spans="1:17" ht="30.9" customHeight="1">
      <c r="A3" s="176">
        <v>45140</v>
      </c>
      <c r="B3" s="177" t="s">
        <v>471</v>
      </c>
      <c r="C3" s="165">
        <v>224971</v>
      </c>
      <c r="D3" s="165">
        <v>350405</v>
      </c>
      <c r="E3" s="165">
        <f t="shared" ref="E3:E32" si="0">C3-D3</f>
        <v>-125434</v>
      </c>
      <c r="F3" s="165">
        <v>-202</v>
      </c>
      <c r="G3" s="165">
        <v>0</v>
      </c>
      <c r="H3" s="152">
        <f>H2+E3+F3</f>
        <v>170186</v>
      </c>
      <c r="I3" s="166">
        <v>0</v>
      </c>
      <c r="J3" s="166">
        <v>0</v>
      </c>
      <c r="K3" s="501"/>
      <c r="L3" s="105" t="s">
        <v>247</v>
      </c>
      <c r="M3" s="71" t="s">
        <v>251</v>
      </c>
      <c r="N3" s="134" t="s">
        <v>252</v>
      </c>
      <c r="O3" s="134" t="s">
        <v>449</v>
      </c>
      <c r="P3" s="481" t="s">
        <v>415</v>
      </c>
      <c r="Q3" s="481"/>
    </row>
    <row r="4" spans="1:17" ht="30.9" customHeight="1">
      <c r="A4" s="176">
        <v>45141</v>
      </c>
      <c r="B4" s="177" t="s">
        <v>472</v>
      </c>
      <c r="C4" s="165">
        <v>208043</v>
      </c>
      <c r="D4" s="165">
        <v>330427</v>
      </c>
      <c r="E4" s="165">
        <f t="shared" si="0"/>
        <v>-122384</v>
      </c>
      <c r="F4" s="165">
        <v>-108</v>
      </c>
      <c r="G4" s="165">
        <v>12412</v>
      </c>
      <c r="H4" s="152">
        <f t="shared" ref="H4:H32" si="1">H3+E4+F4</f>
        <v>47694</v>
      </c>
      <c r="I4" s="165">
        <v>96212</v>
      </c>
      <c r="J4" s="166">
        <v>8</v>
      </c>
      <c r="K4" s="501"/>
      <c r="L4" s="484">
        <f>C33</f>
        <v>12758842</v>
      </c>
      <c r="M4" s="90">
        <f>G33</f>
        <v>559742</v>
      </c>
      <c r="N4" s="135">
        <f>I33</f>
        <v>5015906</v>
      </c>
      <c r="O4" s="135">
        <f>F33</f>
        <v>-5934</v>
      </c>
      <c r="P4" s="486">
        <v>48431</v>
      </c>
      <c r="Q4" s="486"/>
    </row>
    <row r="5" spans="1:17" ht="30.9" customHeight="1" thickBot="1">
      <c r="A5" s="176">
        <v>45142</v>
      </c>
      <c r="B5" s="178" t="s">
        <v>473</v>
      </c>
      <c r="C5" s="165">
        <v>602364</v>
      </c>
      <c r="D5" s="165">
        <v>355522</v>
      </c>
      <c r="E5" s="165">
        <f t="shared" si="0"/>
        <v>246842</v>
      </c>
      <c r="F5" s="165">
        <v>-417</v>
      </c>
      <c r="G5" s="165">
        <v>26408</v>
      </c>
      <c r="H5" s="152">
        <f t="shared" si="1"/>
        <v>294119</v>
      </c>
      <c r="I5" s="165">
        <v>103472</v>
      </c>
      <c r="J5" s="166">
        <v>7</v>
      </c>
      <c r="K5" s="501"/>
      <c r="L5" s="485"/>
      <c r="M5" s="98">
        <f>M4/L4</f>
        <v>4.3870909287849161E-2</v>
      </c>
      <c r="N5" s="136">
        <f>N4/L4</f>
        <v>0.3931317591361348</v>
      </c>
      <c r="O5" s="173">
        <f>O4/L4</f>
        <v>-4.6508922988465566E-4</v>
      </c>
      <c r="P5" s="487">
        <f>P4/L4</f>
        <v>3.7958774001590426E-3</v>
      </c>
      <c r="Q5" s="487"/>
    </row>
    <row r="6" spans="1:17" ht="30.9" customHeight="1" thickBot="1">
      <c r="A6" s="176">
        <v>45143</v>
      </c>
      <c r="B6" s="178" t="s">
        <v>474</v>
      </c>
      <c r="C6" s="165">
        <v>464001</v>
      </c>
      <c r="D6" s="165">
        <v>89070</v>
      </c>
      <c r="E6" s="165">
        <f t="shared" si="0"/>
        <v>374931</v>
      </c>
      <c r="F6" s="165">
        <v>-17</v>
      </c>
      <c r="G6" s="165">
        <v>0</v>
      </c>
      <c r="H6" s="152">
        <f t="shared" si="1"/>
        <v>669033</v>
      </c>
      <c r="I6" s="165">
        <v>154763</v>
      </c>
      <c r="J6" s="166">
        <v>8</v>
      </c>
      <c r="K6" s="501"/>
      <c r="L6" s="488" t="s">
        <v>250</v>
      </c>
      <c r="M6" s="489"/>
      <c r="N6" s="489"/>
      <c r="O6" s="489"/>
      <c r="P6" s="490"/>
      <c r="Q6" s="491"/>
    </row>
    <row r="7" spans="1:17" ht="30.9" customHeight="1" thickTop="1">
      <c r="A7" s="176">
        <v>45144</v>
      </c>
      <c r="B7" s="178" t="s">
        <v>475</v>
      </c>
      <c r="C7" s="165">
        <v>288421</v>
      </c>
      <c r="D7" s="165">
        <v>33681</v>
      </c>
      <c r="E7" s="165">
        <f t="shared" si="0"/>
        <v>254740</v>
      </c>
      <c r="F7" s="165">
        <v>-457</v>
      </c>
      <c r="G7" s="165">
        <v>0</v>
      </c>
      <c r="H7" s="152">
        <f t="shared" si="1"/>
        <v>923316</v>
      </c>
      <c r="I7" s="165">
        <v>167530</v>
      </c>
      <c r="J7" s="166">
        <v>18</v>
      </c>
      <c r="K7" s="501"/>
      <c r="L7" s="100" t="s">
        <v>241</v>
      </c>
      <c r="M7" s="72" t="s">
        <v>253</v>
      </c>
      <c r="N7" s="171" t="s">
        <v>255</v>
      </c>
      <c r="O7" s="71" t="s">
        <v>469</v>
      </c>
      <c r="P7" s="492" t="s">
        <v>247</v>
      </c>
      <c r="Q7" s="493"/>
    </row>
    <row r="8" spans="1:17" ht="30.9" customHeight="1" thickBot="1">
      <c r="A8" s="176">
        <v>45145</v>
      </c>
      <c r="B8" s="177" t="s">
        <v>476</v>
      </c>
      <c r="C8" s="165">
        <v>232104</v>
      </c>
      <c r="D8" s="165">
        <v>854538</v>
      </c>
      <c r="E8" s="165">
        <f t="shared" si="0"/>
        <v>-622434</v>
      </c>
      <c r="F8" s="165">
        <v>-729</v>
      </c>
      <c r="G8" s="166">
        <v>14272</v>
      </c>
      <c r="H8" s="152">
        <f t="shared" si="1"/>
        <v>300153</v>
      </c>
      <c r="I8" s="165">
        <v>382120</v>
      </c>
      <c r="J8" s="166">
        <v>42</v>
      </c>
      <c r="K8" s="501"/>
      <c r="L8" s="101">
        <f>D33</f>
        <v>11155239</v>
      </c>
      <c r="M8" s="102">
        <f>O16</f>
        <v>0</v>
      </c>
      <c r="N8" s="172">
        <f>Q19</f>
        <v>0</v>
      </c>
      <c r="O8" s="175">
        <f>M4*0.065</f>
        <v>36383.230000000003</v>
      </c>
      <c r="P8" s="494">
        <f>SUM(L8:O8)</f>
        <v>11191622.23</v>
      </c>
      <c r="Q8" s="495"/>
    </row>
    <row r="9" spans="1:17" ht="30.9" customHeight="1" thickBot="1">
      <c r="A9" s="176">
        <v>45146</v>
      </c>
      <c r="B9" s="177" t="s">
        <v>470</v>
      </c>
      <c r="C9" s="165">
        <v>353798</v>
      </c>
      <c r="D9" s="165">
        <v>197748</v>
      </c>
      <c r="E9" s="165">
        <f t="shared" si="0"/>
        <v>156050</v>
      </c>
      <c r="F9" s="165">
        <v>-477</v>
      </c>
      <c r="G9" s="166">
        <v>12247</v>
      </c>
      <c r="H9" s="152">
        <f t="shared" si="1"/>
        <v>455726</v>
      </c>
      <c r="I9" s="165">
        <v>112403</v>
      </c>
      <c r="J9" s="166">
        <v>6</v>
      </c>
      <c r="K9" s="501"/>
      <c r="L9" s="108" t="s">
        <v>266</v>
      </c>
      <c r="M9" s="496">
        <f>L4-P8</f>
        <v>1567219.7699999996</v>
      </c>
      <c r="N9" s="497"/>
      <c r="O9" s="497"/>
      <c r="P9" s="498"/>
      <c r="Q9" s="499"/>
    </row>
    <row r="10" spans="1:17" ht="30.9" customHeight="1">
      <c r="A10" s="176">
        <v>45147</v>
      </c>
      <c r="B10" s="177" t="s">
        <v>471</v>
      </c>
      <c r="C10" s="165">
        <v>277820</v>
      </c>
      <c r="D10" s="165">
        <v>451545</v>
      </c>
      <c r="E10" s="165">
        <f t="shared" si="0"/>
        <v>-173725</v>
      </c>
      <c r="F10" s="165">
        <v>-327</v>
      </c>
      <c r="G10" s="165">
        <v>0</v>
      </c>
      <c r="H10" s="152">
        <f t="shared" si="1"/>
        <v>281674</v>
      </c>
      <c r="I10" s="166">
        <v>0</v>
      </c>
      <c r="J10" s="166">
        <v>0</v>
      </c>
      <c r="K10" s="501"/>
      <c r="L10" s="482" t="s">
        <v>257</v>
      </c>
      <c r="M10" s="482"/>
      <c r="N10" s="482"/>
      <c r="O10" s="482"/>
      <c r="P10" s="482"/>
      <c r="Q10" s="483"/>
    </row>
    <row r="11" spans="1:17" ht="30.9" customHeight="1">
      <c r="A11" s="176">
        <v>45148</v>
      </c>
      <c r="B11" s="177" t="s">
        <v>472</v>
      </c>
      <c r="C11" s="165">
        <v>516600</v>
      </c>
      <c r="D11" s="165">
        <v>315292</v>
      </c>
      <c r="E11" s="165">
        <f t="shared" si="0"/>
        <v>201308</v>
      </c>
      <c r="F11" s="165">
        <v>-410</v>
      </c>
      <c r="G11" s="165">
        <v>24720</v>
      </c>
      <c r="H11" s="152">
        <f>H10+E11+F11</f>
        <v>482572</v>
      </c>
      <c r="I11" s="165">
        <v>87650</v>
      </c>
      <c r="J11" s="166">
        <v>8</v>
      </c>
      <c r="K11" s="501"/>
      <c r="L11" s="472" t="s">
        <v>477</v>
      </c>
      <c r="M11" s="472"/>
      <c r="N11" s="472"/>
      <c r="O11" s="472"/>
      <c r="P11" s="472"/>
      <c r="Q11" s="472"/>
    </row>
    <row r="12" spans="1:17" ht="30.9" customHeight="1">
      <c r="A12" s="176">
        <v>45149</v>
      </c>
      <c r="B12" s="178" t="s">
        <v>473</v>
      </c>
      <c r="C12" s="165">
        <v>889181</v>
      </c>
      <c r="D12" s="165">
        <v>215562</v>
      </c>
      <c r="E12" s="165">
        <f t="shared" si="0"/>
        <v>673619</v>
      </c>
      <c r="F12" s="165">
        <v>-472</v>
      </c>
      <c r="G12" s="165">
        <v>10722</v>
      </c>
      <c r="H12" s="152">
        <f t="shared" si="1"/>
        <v>1155719</v>
      </c>
      <c r="I12" s="165">
        <v>254690</v>
      </c>
      <c r="J12" s="166">
        <v>16</v>
      </c>
      <c r="K12" s="501"/>
      <c r="L12" s="171" t="s">
        <v>478</v>
      </c>
      <c r="M12" s="175" t="s">
        <v>479</v>
      </c>
      <c r="N12" s="175" t="s">
        <v>480</v>
      </c>
      <c r="O12" s="175" t="s">
        <v>455</v>
      </c>
      <c r="P12" s="175" t="s">
        <v>468</v>
      </c>
      <c r="Q12" s="175" t="s">
        <v>230</v>
      </c>
    </row>
    <row r="13" spans="1:17" ht="30.9" customHeight="1">
      <c r="A13" s="176">
        <v>45150</v>
      </c>
      <c r="B13" s="178" t="s">
        <v>474</v>
      </c>
      <c r="C13" s="165">
        <v>783523</v>
      </c>
      <c r="D13" s="165">
        <v>224503</v>
      </c>
      <c r="E13" s="165">
        <f t="shared" si="0"/>
        <v>559020</v>
      </c>
      <c r="F13" s="165">
        <v>-311</v>
      </c>
      <c r="G13" s="166">
        <v>37489</v>
      </c>
      <c r="H13" s="152">
        <f t="shared" si="1"/>
        <v>1714428</v>
      </c>
      <c r="I13" s="165">
        <v>210320</v>
      </c>
      <c r="J13" s="166">
        <v>15</v>
      </c>
      <c r="K13" s="501"/>
      <c r="L13" s="171"/>
      <c r="M13" s="71"/>
      <c r="N13" s="71"/>
      <c r="O13" s="174"/>
      <c r="P13" s="481"/>
      <c r="Q13" s="481"/>
    </row>
    <row r="14" spans="1:17" ht="30.9" customHeight="1">
      <c r="A14" s="176">
        <v>45151</v>
      </c>
      <c r="B14" s="178" t="s">
        <v>475</v>
      </c>
      <c r="C14" s="165">
        <v>370475</v>
      </c>
      <c r="D14" s="165">
        <v>365034</v>
      </c>
      <c r="E14" s="165">
        <f t="shared" si="0"/>
        <v>5441</v>
      </c>
      <c r="F14" s="165">
        <v>-774</v>
      </c>
      <c r="G14" s="165">
        <v>0</v>
      </c>
      <c r="H14" s="152">
        <f t="shared" si="1"/>
        <v>1719095</v>
      </c>
      <c r="I14" s="165">
        <v>186542</v>
      </c>
      <c r="J14" s="166">
        <v>12</v>
      </c>
      <c r="K14" s="501"/>
      <c r="L14" s="472" t="s">
        <v>481</v>
      </c>
      <c r="M14" s="472"/>
      <c r="N14" s="472"/>
      <c r="O14" s="472"/>
      <c r="P14" s="472"/>
      <c r="Q14" s="472"/>
    </row>
    <row r="15" spans="1:17" ht="30.9" customHeight="1">
      <c r="A15" s="176">
        <v>45152</v>
      </c>
      <c r="B15" s="177" t="s">
        <v>476</v>
      </c>
      <c r="C15" s="165">
        <v>456932</v>
      </c>
      <c r="D15" s="165">
        <v>982251</v>
      </c>
      <c r="E15" s="165">
        <f t="shared" si="0"/>
        <v>-525319</v>
      </c>
      <c r="F15" s="165">
        <v>-702</v>
      </c>
      <c r="G15" s="165">
        <v>17243</v>
      </c>
      <c r="H15" s="152">
        <f t="shared" si="1"/>
        <v>1193074</v>
      </c>
      <c r="I15" s="165">
        <v>423412</v>
      </c>
      <c r="J15" s="166">
        <v>34</v>
      </c>
      <c r="K15" s="501"/>
      <c r="L15" s="182"/>
      <c r="M15" s="182"/>
      <c r="N15" s="182"/>
      <c r="O15" s="182"/>
      <c r="P15" s="182"/>
      <c r="Q15" s="182"/>
    </row>
    <row r="16" spans="1:17" ht="30.9" customHeight="1">
      <c r="A16" s="176">
        <v>45153</v>
      </c>
      <c r="B16" s="177" t="s">
        <v>470</v>
      </c>
      <c r="C16" s="165">
        <v>430715</v>
      </c>
      <c r="D16" s="165">
        <v>81780</v>
      </c>
      <c r="E16" s="165">
        <f t="shared" si="0"/>
        <v>348935</v>
      </c>
      <c r="F16" s="165">
        <v>-107</v>
      </c>
      <c r="G16" s="166">
        <v>15205</v>
      </c>
      <c r="H16" s="152">
        <f t="shared" si="1"/>
        <v>1541902</v>
      </c>
      <c r="I16" s="165">
        <v>124328</v>
      </c>
      <c r="J16" s="166">
        <v>10</v>
      </c>
      <c r="K16" s="501"/>
      <c r="L16" s="473" t="s">
        <v>247</v>
      </c>
      <c r="M16" s="473"/>
      <c r="N16" s="473"/>
      <c r="O16" s="500">
        <f>SUM(L13:Q13)+SUM(L15:Q15)</f>
        <v>0</v>
      </c>
      <c r="P16" s="500"/>
      <c r="Q16" s="500"/>
    </row>
    <row r="17" spans="1:17" ht="30.9" customHeight="1">
      <c r="A17" s="176">
        <v>45154</v>
      </c>
      <c r="B17" s="177" t="s">
        <v>471</v>
      </c>
      <c r="C17" s="165">
        <v>463579</v>
      </c>
      <c r="D17" s="165">
        <v>78340</v>
      </c>
      <c r="E17" s="165">
        <f t="shared" si="0"/>
        <v>385239</v>
      </c>
      <c r="F17" s="165">
        <v>0</v>
      </c>
      <c r="G17" s="165">
        <v>45137</v>
      </c>
      <c r="H17" s="152">
        <f t="shared" si="1"/>
        <v>1927141</v>
      </c>
      <c r="I17" s="166">
        <v>0</v>
      </c>
      <c r="J17" s="166">
        <v>0</v>
      </c>
      <c r="K17" s="501"/>
      <c r="L17" s="474" t="s">
        <v>482</v>
      </c>
      <c r="M17" s="474"/>
      <c r="N17" s="474"/>
      <c r="O17" s="474"/>
      <c r="P17" s="474"/>
      <c r="Q17" s="474"/>
    </row>
    <row r="18" spans="1:17" ht="30.9" customHeight="1">
      <c r="A18" s="176">
        <v>45155</v>
      </c>
      <c r="B18" s="177" t="s">
        <v>472</v>
      </c>
      <c r="C18" s="165">
        <v>296872</v>
      </c>
      <c r="D18" s="165">
        <v>106660</v>
      </c>
      <c r="E18" s="165">
        <f t="shared" si="0"/>
        <v>190212</v>
      </c>
      <c r="F18" s="165">
        <v>0</v>
      </c>
      <c r="G18" s="165">
        <v>8882</v>
      </c>
      <c r="H18" s="152">
        <f t="shared" si="1"/>
        <v>2117353</v>
      </c>
      <c r="I18" s="165">
        <v>192012</v>
      </c>
      <c r="J18" s="166">
        <v>12</v>
      </c>
      <c r="L18" s="171" t="s">
        <v>255</v>
      </c>
      <c r="M18" s="171" t="s">
        <v>483</v>
      </c>
      <c r="N18" s="171" t="s">
        <v>484</v>
      </c>
      <c r="O18" s="171"/>
      <c r="P18" s="171"/>
      <c r="Q18" s="171" t="s">
        <v>247</v>
      </c>
    </row>
    <row r="19" spans="1:17" ht="30.9" customHeight="1">
      <c r="A19" s="176">
        <v>45156</v>
      </c>
      <c r="B19" s="178" t="s">
        <v>473</v>
      </c>
      <c r="C19" s="165">
        <v>584882</v>
      </c>
      <c r="D19" s="165">
        <v>768292</v>
      </c>
      <c r="E19" s="165">
        <f t="shared" si="0"/>
        <v>-183410</v>
      </c>
      <c r="F19" s="165">
        <v>0</v>
      </c>
      <c r="G19" s="166">
        <v>38477</v>
      </c>
      <c r="H19" s="152">
        <f t="shared" si="1"/>
        <v>1933943</v>
      </c>
      <c r="I19" s="165">
        <v>186312</v>
      </c>
      <c r="J19" s="166">
        <v>14</v>
      </c>
      <c r="L19" s="171"/>
      <c r="M19" s="171"/>
      <c r="N19" s="171"/>
      <c r="O19" s="171"/>
      <c r="P19" s="171"/>
      <c r="Q19" s="181">
        <f>SUM(L19:P19)</f>
        <v>0</v>
      </c>
    </row>
    <row r="20" spans="1:17" ht="30.9" customHeight="1">
      <c r="A20" s="176">
        <v>45157</v>
      </c>
      <c r="B20" s="178" t="s">
        <v>474</v>
      </c>
      <c r="C20" s="165">
        <v>445331</v>
      </c>
      <c r="D20" s="165">
        <v>888408</v>
      </c>
      <c r="E20" s="165">
        <f t="shared" si="0"/>
        <v>-443077</v>
      </c>
      <c r="F20" s="165">
        <v>0</v>
      </c>
      <c r="G20" s="165">
        <v>12712</v>
      </c>
      <c r="H20" s="152">
        <f t="shared" si="1"/>
        <v>1490866</v>
      </c>
      <c r="I20" s="165">
        <v>146312</v>
      </c>
      <c r="J20" s="166">
        <v>11</v>
      </c>
    </row>
    <row r="21" spans="1:17" ht="30.9" customHeight="1">
      <c r="A21" s="176">
        <v>45158</v>
      </c>
      <c r="B21" s="178" t="s">
        <v>475</v>
      </c>
      <c r="C21" s="165">
        <v>240602</v>
      </c>
      <c r="D21" s="165">
        <v>755010</v>
      </c>
      <c r="E21" s="165">
        <f t="shared" si="0"/>
        <v>-514408</v>
      </c>
      <c r="F21" s="165">
        <v>0</v>
      </c>
      <c r="G21" s="165">
        <v>0</v>
      </c>
      <c r="H21" s="152">
        <f t="shared" si="1"/>
        <v>976458</v>
      </c>
      <c r="I21" s="165">
        <v>78932</v>
      </c>
      <c r="J21" s="166">
        <v>8</v>
      </c>
    </row>
    <row r="22" spans="1:17" ht="30.9" customHeight="1">
      <c r="A22" s="176">
        <v>45159</v>
      </c>
      <c r="B22" s="177" t="s">
        <v>476</v>
      </c>
      <c r="C22" s="165">
        <v>269988</v>
      </c>
      <c r="D22" s="165">
        <v>302465</v>
      </c>
      <c r="E22" s="165">
        <f t="shared" si="0"/>
        <v>-32477</v>
      </c>
      <c r="F22" s="165">
        <v>0</v>
      </c>
      <c r="G22" s="166">
        <v>30904</v>
      </c>
      <c r="H22" s="152">
        <f t="shared" si="1"/>
        <v>943981</v>
      </c>
      <c r="I22" s="165">
        <v>321267</v>
      </c>
      <c r="J22" s="166">
        <v>34</v>
      </c>
    </row>
    <row r="23" spans="1:17" ht="30.9" customHeight="1">
      <c r="A23" s="176">
        <v>45160</v>
      </c>
      <c r="B23" s="177" t="s">
        <v>470</v>
      </c>
      <c r="C23" s="165">
        <v>320194</v>
      </c>
      <c r="D23" s="165">
        <v>115580</v>
      </c>
      <c r="E23" s="165">
        <f t="shared" si="0"/>
        <v>204614</v>
      </c>
      <c r="F23" s="165">
        <v>100</v>
      </c>
      <c r="G23" s="165">
        <v>12720</v>
      </c>
      <c r="H23" s="152">
        <f t="shared" si="1"/>
        <v>1148695</v>
      </c>
      <c r="I23" s="165">
        <v>182712</v>
      </c>
      <c r="J23" s="166">
        <v>11</v>
      </c>
    </row>
    <row r="24" spans="1:17" ht="30.9" customHeight="1">
      <c r="A24" s="176">
        <v>45161</v>
      </c>
      <c r="B24" s="177" t="s">
        <v>471</v>
      </c>
      <c r="C24" s="165">
        <v>227495</v>
      </c>
      <c r="D24" s="165">
        <v>268780</v>
      </c>
      <c r="E24" s="165">
        <f t="shared" si="0"/>
        <v>-41285</v>
      </c>
      <c r="F24" s="165">
        <v>-17</v>
      </c>
      <c r="G24" s="166">
        <v>0</v>
      </c>
      <c r="H24" s="152">
        <f t="shared" si="1"/>
        <v>1107393</v>
      </c>
      <c r="I24" s="166">
        <v>0</v>
      </c>
      <c r="J24" s="166">
        <v>0</v>
      </c>
    </row>
    <row r="25" spans="1:17" ht="30.9" customHeight="1">
      <c r="A25" s="176">
        <v>45162</v>
      </c>
      <c r="B25" s="177" t="s">
        <v>472</v>
      </c>
      <c r="C25" s="165">
        <v>320540</v>
      </c>
      <c r="D25" s="165">
        <v>191482</v>
      </c>
      <c r="E25" s="165">
        <f t="shared" si="0"/>
        <v>129058</v>
      </c>
      <c r="F25" s="165">
        <v>-26</v>
      </c>
      <c r="G25" s="165">
        <v>42160</v>
      </c>
      <c r="H25" s="152">
        <f t="shared" si="1"/>
        <v>1236425</v>
      </c>
      <c r="I25" s="165">
        <v>65901</v>
      </c>
      <c r="J25" s="166">
        <v>7</v>
      </c>
    </row>
    <row r="26" spans="1:17" ht="30.9" customHeight="1">
      <c r="A26" s="176">
        <v>45163</v>
      </c>
      <c r="B26" s="178" t="s">
        <v>473</v>
      </c>
      <c r="C26" s="165">
        <v>870189</v>
      </c>
      <c r="D26" s="165">
        <v>590164</v>
      </c>
      <c r="E26" s="165">
        <f t="shared" si="0"/>
        <v>280025</v>
      </c>
      <c r="F26" s="165">
        <v>-3</v>
      </c>
      <c r="G26" s="166">
        <v>22711</v>
      </c>
      <c r="H26" s="152">
        <f t="shared" si="1"/>
        <v>1516447</v>
      </c>
      <c r="I26" s="165">
        <v>234518</v>
      </c>
      <c r="J26" s="166">
        <v>16</v>
      </c>
    </row>
    <row r="27" spans="1:17" ht="30.9" customHeight="1">
      <c r="A27" s="176">
        <v>45164</v>
      </c>
      <c r="B27" s="178" t="s">
        <v>474</v>
      </c>
      <c r="C27" s="165">
        <v>584302</v>
      </c>
      <c r="D27" s="165">
        <v>258720</v>
      </c>
      <c r="E27" s="165">
        <f t="shared" si="0"/>
        <v>325582</v>
      </c>
      <c r="F27" s="165">
        <v>-42</v>
      </c>
      <c r="G27" s="165">
        <v>28802</v>
      </c>
      <c r="H27" s="152">
        <f t="shared" si="1"/>
        <v>1841987</v>
      </c>
      <c r="I27" s="165">
        <v>154302</v>
      </c>
      <c r="J27" s="166">
        <v>12</v>
      </c>
    </row>
    <row r="28" spans="1:17" ht="30.9" customHeight="1">
      <c r="A28" s="176">
        <v>45165</v>
      </c>
      <c r="B28" s="178" t="s">
        <v>475</v>
      </c>
      <c r="C28" s="165">
        <v>586819</v>
      </c>
      <c r="D28" s="165">
        <v>839672</v>
      </c>
      <c r="E28" s="165">
        <f t="shared" si="0"/>
        <v>-252853</v>
      </c>
      <c r="F28" s="165">
        <v>12</v>
      </c>
      <c r="G28" s="165">
        <v>0</v>
      </c>
      <c r="H28" s="152">
        <f t="shared" si="1"/>
        <v>1589146</v>
      </c>
      <c r="I28" s="165">
        <v>183621</v>
      </c>
      <c r="J28" s="166">
        <v>12</v>
      </c>
    </row>
    <row r="29" spans="1:17" ht="30.9" customHeight="1">
      <c r="A29" s="176">
        <v>45166</v>
      </c>
      <c r="B29" s="177" t="s">
        <v>476</v>
      </c>
      <c r="C29" s="165">
        <v>239366</v>
      </c>
      <c r="D29" s="165">
        <v>302670</v>
      </c>
      <c r="E29" s="165">
        <f t="shared" si="0"/>
        <v>-63304</v>
      </c>
      <c r="F29" s="165">
        <v>0</v>
      </c>
      <c r="G29" s="165">
        <v>27720</v>
      </c>
      <c r="H29" s="152">
        <f t="shared" si="1"/>
        <v>1525842</v>
      </c>
      <c r="I29" s="165">
        <v>532102</v>
      </c>
      <c r="J29" s="166">
        <v>44</v>
      </c>
    </row>
    <row r="30" spans="1:17" ht="30.9" customHeight="1">
      <c r="A30" s="176">
        <v>45167</v>
      </c>
      <c r="B30" s="177" t="s">
        <v>470</v>
      </c>
      <c r="C30" s="165">
        <v>219358</v>
      </c>
      <c r="D30" s="165">
        <v>195331</v>
      </c>
      <c r="E30" s="165">
        <f t="shared" si="0"/>
        <v>24027</v>
      </c>
      <c r="F30" s="165">
        <v>-12</v>
      </c>
      <c r="G30" s="166">
        <v>40007</v>
      </c>
      <c r="H30" s="152">
        <f t="shared" si="1"/>
        <v>1549857</v>
      </c>
      <c r="I30" s="165">
        <v>117621</v>
      </c>
      <c r="J30" s="166">
        <v>10</v>
      </c>
    </row>
    <row r="31" spans="1:17" ht="30.9" customHeight="1">
      <c r="A31" s="176">
        <v>45168</v>
      </c>
      <c r="B31" s="177" t="s">
        <v>471</v>
      </c>
      <c r="C31" s="165">
        <v>245142</v>
      </c>
      <c r="D31" s="165">
        <v>224636</v>
      </c>
      <c r="E31" s="165">
        <f t="shared" si="0"/>
        <v>20506</v>
      </c>
      <c r="F31" s="165">
        <v>-7</v>
      </c>
      <c r="G31" s="165">
        <v>0</v>
      </c>
      <c r="H31" s="152">
        <f t="shared" si="1"/>
        <v>1570356</v>
      </c>
      <c r="I31" s="166">
        <v>0</v>
      </c>
      <c r="J31" s="166">
        <v>0</v>
      </c>
    </row>
    <row r="32" spans="1:17" ht="30.9" customHeight="1">
      <c r="A32" s="176">
        <v>45169</v>
      </c>
      <c r="B32" s="177" t="s">
        <v>472</v>
      </c>
      <c r="C32" s="166">
        <v>357172</v>
      </c>
      <c r="D32" s="165">
        <v>329850</v>
      </c>
      <c r="E32" s="165">
        <f t="shared" si="0"/>
        <v>27322</v>
      </c>
      <c r="F32" s="165">
        <v>-9</v>
      </c>
      <c r="G32" s="165">
        <v>47720</v>
      </c>
      <c r="H32" s="152">
        <f t="shared" si="1"/>
        <v>1597669</v>
      </c>
      <c r="I32" s="166">
        <v>192320</v>
      </c>
      <c r="J32" s="179">
        <v>17</v>
      </c>
    </row>
    <row r="33" spans="1:10" ht="45" customHeight="1">
      <c r="A33" s="476" t="s">
        <v>247</v>
      </c>
      <c r="B33" s="477"/>
      <c r="C33" s="145">
        <f>SUM(C2:C32)</f>
        <v>12758842</v>
      </c>
      <c r="D33" s="145">
        <f>SUM(D2:D32)</f>
        <v>11155239</v>
      </c>
      <c r="E33" s="145">
        <f>SUM(E2:E32)</f>
        <v>1603603</v>
      </c>
      <c r="F33" s="145">
        <f>SUM(F2:F32)</f>
        <v>-5934</v>
      </c>
      <c r="G33" s="145">
        <f>SUM(G2:G32)</f>
        <v>559742</v>
      </c>
      <c r="H33" s="145">
        <f>H32</f>
        <v>1597669</v>
      </c>
      <c r="I33" s="145">
        <f>SUM(I2:I32)</f>
        <v>5015906</v>
      </c>
      <c r="J33" s="146">
        <f>SUM(J2:J32)</f>
        <v>403</v>
      </c>
    </row>
    <row r="34" spans="1:10">
      <c r="A34" s="69"/>
      <c r="J34" s="69"/>
    </row>
    <row r="35" spans="1:10">
      <c r="A35" s="69"/>
      <c r="J35" s="69"/>
    </row>
    <row r="36" spans="1:10">
      <c r="A36" s="69"/>
      <c r="J36" s="69"/>
    </row>
    <row r="37" spans="1:10">
      <c r="A37" s="69"/>
      <c r="J37" s="69"/>
    </row>
    <row r="38" spans="1:10">
      <c r="A38" s="69"/>
      <c r="J38" s="69"/>
    </row>
    <row r="39" spans="1:10" ht="21" customHeight="1">
      <c r="A39" s="69"/>
      <c r="J39" s="69"/>
    </row>
    <row r="40" spans="1:10" ht="23.1" customHeight="1">
      <c r="A40" s="69"/>
      <c r="J40" s="69"/>
    </row>
    <row r="41" spans="1:10">
      <c r="A41" s="69"/>
      <c r="J41" s="69"/>
    </row>
    <row r="42" spans="1:10" ht="29.1" customHeight="1">
      <c r="A42" s="69"/>
      <c r="J42" s="69"/>
    </row>
    <row r="43" spans="1:10" ht="15" customHeight="1">
      <c r="A43" s="69"/>
      <c r="J43" s="69"/>
    </row>
    <row r="44" spans="1:10">
      <c r="A44" s="69"/>
      <c r="J44" s="69"/>
    </row>
    <row r="45" spans="1:10">
      <c r="A45" s="69"/>
      <c r="J45" s="69"/>
    </row>
    <row r="46" spans="1:10">
      <c r="A46" s="69"/>
      <c r="J46" s="69"/>
    </row>
    <row r="47" spans="1:10">
      <c r="A47" s="69"/>
      <c r="J47" s="69"/>
    </row>
    <row r="48" spans="1:10">
      <c r="A48" s="69"/>
      <c r="J48" s="69"/>
    </row>
    <row r="49" spans="1:10">
      <c r="A49" s="69"/>
      <c r="J49" s="69"/>
    </row>
    <row r="50" spans="1:10" ht="18.899999999999999" customHeight="1">
      <c r="A50" s="69"/>
      <c r="J50" s="69"/>
    </row>
    <row r="51" spans="1:10">
      <c r="J51" s="69"/>
    </row>
    <row r="52" spans="1:10">
      <c r="J52" s="69"/>
    </row>
    <row r="53" spans="1:10">
      <c r="J53" s="69"/>
    </row>
    <row r="54" spans="1:10">
      <c r="J54" s="69"/>
    </row>
    <row r="55" spans="1:10">
      <c r="J55" s="69"/>
    </row>
  </sheetData>
  <mergeCells count="20">
    <mergeCell ref="K1:K17"/>
    <mergeCell ref="L1:Q1"/>
    <mergeCell ref="P13:Q13"/>
    <mergeCell ref="L11:Q11"/>
    <mergeCell ref="L14:Q14"/>
    <mergeCell ref="L16:N16"/>
    <mergeCell ref="L17:Q17"/>
    <mergeCell ref="A1:B1"/>
    <mergeCell ref="A33:B33"/>
    <mergeCell ref="L2:Q2"/>
    <mergeCell ref="P3:Q3"/>
    <mergeCell ref="L10:Q10"/>
    <mergeCell ref="L4:L5"/>
    <mergeCell ref="P4:Q4"/>
    <mergeCell ref="P5:Q5"/>
    <mergeCell ref="L6:Q6"/>
    <mergeCell ref="P7:Q7"/>
    <mergeCell ref="P8:Q8"/>
    <mergeCell ref="M9:Q9"/>
    <mergeCell ref="O16:Q16"/>
  </mergeCells>
  <phoneticPr fontId="1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3F363-4165-A14D-B521-FD68EBA722BC}">
  <sheetPr codeName="Sheet1">
    <pageSetUpPr fitToPage="1"/>
  </sheetPr>
  <dimension ref="A1:I32"/>
  <sheetViews>
    <sheetView topLeftCell="C1" workbookViewId="0">
      <selection activeCell="L14" sqref="L14"/>
    </sheetView>
  </sheetViews>
  <sheetFormatPr defaultColWidth="11.54296875" defaultRowHeight="15"/>
  <cols>
    <col min="1" max="1" width="3.08984375" style="159" customWidth="1"/>
    <col min="2" max="2" width="2.90625" customWidth="1"/>
    <col min="3" max="7" width="13.54296875" customWidth="1"/>
    <col min="8" max="8" width="13.54296875" style="57" customWidth="1"/>
    <col min="9" max="9" width="13.54296875" customWidth="1"/>
  </cols>
  <sheetData>
    <row r="1" spans="1:9" ht="27.9" customHeight="1">
      <c r="A1" s="505" t="s">
        <v>0</v>
      </c>
      <c r="B1" s="460"/>
      <c r="C1" s="160" t="s">
        <v>456</v>
      </c>
      <c r="D1" s="10" t="s">
        <v>250</v>
      </c>
      <c r="E1" s="192" t="s">
        <v>249</v>
      </c>
      <c r="F1" s="10" t="s">
        <v>506</v>
      </c>
      <c r="G1" s="4" t="s">
        <v>458</v>
      </c>
      <c r="H1" s="197" t="s">
        <v>448</v>
      </c>
      <c r="I1" s="4" t="s">
        <v>252</v>
      </c>
    </row>
    <row r="2" spans="1:9" ht="29.1" customHeight="1">
      <c r="A2" s="158">
        <v>45200</v>
      </c>
      <c r="B2" s="149" t="s">
        <v>65</v>
      </c>
      <c r="C2" s="161"/>
      <c r="D2" s="58"/>
      <c r="E2" s="193"/>
      <c r="F2" s="58"/>
      <c r="G2" s="58"/>
      <c r="H2" s="198"/>
      <c r="I2" s="58"/>
    </row>
    <row r="3" spans="1:9" ht="29.1" customHeight="1">
      <c r="A3" s="158">
        <v>45201</v>
      </c>
      <c r="B3" s="149" t="s">
        <v>54</v>
      </c>
      <c r="C3" s="161"/>
      <c r="D3" s="58"/>
      <c r="E3" s="193"/>
      <c r="F3" s="58"/>
      <c r="G3" s="58"/>
      <c r="H3" s="198"/>
      <c r="I3" s="58"/>
    </row>
    <row r="4" spans="1:9" ht="29.1" customHeight="1">
      <c r="A4" s="158">
        <v>45202</v>
      </c>
      <c r="B4" s="149" t="s">
        <v>55</v>
      </c>
      <c r="C4" s="161"/>
      <c r="D4" s="58"/>
      <c r="E4" s="193"/>
      <c r="F4" s="58"/>
      <c r="G4" s="58"/>
      <c r="H4" s="198"/>
      <c r="I4" s="58"/>
    </row>
    <row r="5" spans="1:9" ht="29.1" customHeight="1">
      <c r="A5" s="158">
        <v>45203</v>
      </c>
      <c r="B5" s="149" t="s">
        <v>57</v>
      </c>
      <c r="C5" s="161"/>
      <c r="D5" s="58"/>
      <c r="E5" s="193" t="s">
        <v>459</v>
      </c>
      <c r="F5" s="58"/>
      <c r="G5" s="58"/>
      <c r="H5" s="198"/>
      <c r="I5" s="58"/>
    </row>
    <row r="6" spans="1:9" ht="29.1" customHeight="1">
      <c r="A6" s="158">
        <v>45204</v>
      </c>
      <c r="B6" s="149" t="s">
        <v>59</v>
      </c>
      <c r="C6" s="161"/>
      <c r="D6" s="58"/>
      <c r="E6" s="193"/>
      <c r="F6" s="58"/>
      <c r="G6" s="58"/>
      <c r="H6" s="198"/>
      <c r="I6" s="58"/>
    </row>
    <row r="7" spans="1:9" ht="29.1" customHeight="1">
      <c r="A7" s="158">
        <v>45205</v>
      </c>
      <c r="B7" s="149" t="s">
        <v>61</v>
      </c>
      <c r="C7" s="161"/>
      <c r="D7" s="58"/>
      <c r="E7" s="193"/>
      <c r="F7" s="58"/>
      <c r="G7" s="58"/>
      <c r="H7" s="198"/>
      <c r="I7" s="58"/>
    </row>
    <row r="8" spans="1:9" ht="29.1" customHeight="1">
      <c r="A8" s="158">
        <v>45206</v>
      </c>
      <c r="B8" s="149" t="s">
        <v>63</v>
      </c>
      <c r="C8" s="161"/>
      <c r="D8" s="58"/>
      <c r="E8" s="193"/>
      <c r="F8" s="58"/>
      <c r="G8" s="58"/>
      <c r="H8" s="198"/>
      <c r="I8" s="58"/>
    </row>
    <row r="9" spans="1:9" ht="29.1" customHeight="1">
      <c r="A9" s="158">
        <v>45207</v>
      </c>
      <c r="B9" s="149" t="s">
        <v>65</v>
      </c>
      <c r="C9" s="161"/>
      <c r="D9" s="58"/>
      <c r="E9" s="193"/>
      <c r="F9" s="58"/>
      <c r="G9" s="58"/>
      <c r="H9" s="198"/>
      <c r="I9" s="58"/>
    </row>
    <row r="10" spans="1:9" ht="29.1" customHeight="1">
      <c r="A10" s="158">
        <v>45208</v>
      </c>
      <c r="B10" s="149" t="s">
        <v>54</v>
      </c>
      <c r="C10" s="161"/>
      <c r="D10" s="58"/>
      <c r="E10" s="193"/>
      <c r="F10" s="58"/>
      <c r="G10" s="58"/>
      <c r="H10" s="198"/>
      <c r="I10" s="58"/>
    </row>
    <row r="11" spans="1:9" ht="29.1" customHeight="1">
      <c r="A11" s="158">
        <v>45209</v>
      </c>
      <c r="B11" s="149" t="s">
        <v>55</v>
      </c>
      <c r="C11" s="162"/>
      <c r="D11" s="58"/>
      <c r="E11" s="193"/>
      <c r="F11" s="58"/>
      <c r="G11" s="59"/>
      <c r="H11" s="199"/>
      <c r="I11" s="59"/>
    </row>
    <row r="12" spans="1:9" ht="29.1" customHeight="1">
      <c r="A12" s="158">
        <v>45210</v>
      </c>
      <c r="B12" s="149" t="s">
        <v>57</v>
      </c>
      <c r="C12" s="163"/>
      <c r="D12" s="18"/>
      <c r="E12" s="194"/>
      <c r="F12" s="18"/>
      <c r="G12" s="17"/>
      <c r="H12" s="200"/>
      <c r="I12" s="17"/>
    </row>
    <row r="13" spans="1:9" ht="29.1" customHeight="1">
      <c r="A13" s="158">
        <v>45211</v>
      </c>
      <c r="B13" s="149" t="s">
        <v>59</v>
      </c>
      <c r="C13" s="163"/>
      <c r="D13" s="17"/>
      <c r="E13" s="195"/>
      <c r="F13" s="17"/>
      <c r="G13" s="17"/>
      <c r="H13" s="200"/>
      <c r="I13" s="17"/>
    </row>
    <row r="14" spans="1:9" ht="29.1" customHeight="1">
      <c r="A14" s="158">
        <v>45212</v>
      </c>
      <c r="B14" s="149" t="s">
        <v>61</v>
      </c>
      <c r="C14" s="163"/>
      <c r="D14" s="17"/>
      <c r="E14" s="195"/>
      <c r="F14" s="17"/>
      <c r="G14" s="17"/>
      <c r="H14" s="200"/>
      <c r="I14" s="17"/>
    </row>
    <row r="15" spans="1:9" ht="29.1" customHeight="1">
      <c r="A15" s="158">
        <v>45213</v>
      </c>
      <c r="B15" s="149" t="s">
        <v>63</v>
      </c>
      <c r="C15" s="163"/>
      <c r="D15" s="17"/>
      <c r="E15" s="195"/>
      <c r="F15" s="17"/>
      <c r="G15" s="17"/>
      <c r="H15" s="200"/>
      <c r="I15" s="17"/>
    </row>
    <row r="16" spans="1:9" ht="29.1" customHeight="1">
      <c r="A16" s="158">
        <v>45214</v>
      </c>
      <c r="B16" s="149" t="s">
        <v>65</v>
      </c>
      <c r="C16" s="163"/>
      <c r="D16" s="17"/>
      <c r="E16" s="195"/>
      <c r="F16" s="17"/>
      <c r="G16" s="17"/>
      <c r="H16" s="200"/>
      <c r="I16" s="17"/>
    </row>
    <row r="17" spans="1:9" ht="29.1" customHeight="1">
      <c r="A17" s="158">
        <v>45215</v>
      </c>
      <c r="B17" s="149" t="s">
        <v>54</v>
      </c>
      <c r="C17" s="163"/>
      <c r="D17" s="17"/>
      <c r="E17" s="195"/>
      <c r="F17" s="17"/>
      <c r="G17" s="17"/>
      <c r="H17" s="200"/>
      <c r="I17" s="17"/>
    </row>
    <row r="18" spans="1:9" ht="29.1" customHeight="1">
      <c r="A18" s="158">
        <v>45216</v>
      </c>
      <c r="B18" s="149" t="s">
        <v>55</v>
      </c>
      <c r="C18" s="163"/>
      <c r="D18" s="17"/>
      <c r="E18" s="195"/>
      <c r="F18" s="17"/>
      <c r="G18" s="17"/>
      <c r="H18" s="200"/>
      <c r="I18" s="17"/>
    </row>
    <row r="19" spans="1:9" ht="29.1" customHeight="1">
      <c r="A19" s="158">
        <v>45217</v>
      </c>
      <c r="B19" s="149" t="s">
        <v>57</v>
      </c>
      <c r="C19" s="163"/>
      <c r="D19" s="17"/>
      <c r="E19" s="195"/>
      <c r="F19" s="17"/>
      <c r="G19" s="17"/>
      <c r="H19" s="200"/>
      <c r="I19" s="17"/>
    </row>
    <row r="20" spans="1:9" ht="29.1" customHeight="1">
      <c r="A20" s="158">
        <v>45218</v>
      </c>
      <c r="B20" s="149" t="s">
        <v>59</v>
      </c>
      <c r="C20" s="163"/>
      <c r="D20" s="17"/>
      <c r="E20" s="195"/>
      <c r="F20" s="17"/>
      <c r="G20" s="17"/>
      <c r="H20" s="200"/>
      <c r="I20" s="17"/>
    </row>
    <row r="21" spans="1:9" ht="29.1" customHeight="1">
      <c r="A21" s="158">
        <v>45219</v>
      </c>
      <c r="B21" s="149" t="s">
        <v>61</v>
      </c>
      <c r="C21" s="163"/>
      <c r="D21" s="17"/>
      <c r="E21" s="195"/>
      <c r="F21" s="17"/>
      <c r="G21" s="17"/>
      <c r="H21" s="200"/>
      <c r="I21" s="17"/>
    </row>
    <row r="22" spans="1:9" ht="29.1" customHeight="1">
      <c r="A22" s="158">
        <v>45220</v>
      </c>
      <c r="B22" s="149" t="s">
        <v>63</v>
      </c>
      <c r="C22" s="163"/>
      <c r="D22" s="17"/>
      <c r="E22" s="195"/>
      <c r="F22" s="17"/>
      <c r="G22" s="17"/>
      <c r="H22" s="200"/>
      <c r="I22" s="17"/>
    </row>
    <row r="23" spans="1:9" ht="29.1" customHeight="1">
      <c r="A23" s="158">
        <v>45221</v>
      </c>
      <c r="B23" s="149" t="s">
        <v>65</v>
      </c>
      <c r="C23" s="163"/>
      <c r="D23" s="17"/>
      <c r="E23" s="195"/>
      <c r="F23" s="17"/>
      <c r="G23" s="17"/>
      <c r="H23" s="200"/>
      <c r="I23" s="17"/>
    </row>
    <row r="24" spans="1:9" ht="29.1" customHeight="1">
      <c r="A24" s="158">
        <v>45222</v>
      </c>
      <c r="B24" s="149" t="s">
        <v>54</v>
      </c>
      <c r="C24" s="163"/>
      <c r="D24" s="17"/>
      <c r="E24" s="195"/>
      <c r="F24" s="17"/>
      <c r="G24" s="17"/>
      <c r="H24" s="200"/>
      <c r="I24" s="17"/>
    </row>
    <row r="25" spans="1:9" ht="29.1" customHeight="1">
      <c r="A25" s="158">
        <v>45223</v>
      </c>
      <c r="B25" s="149" t="s">
        <v>55</v>
      </c>
      <c r="C25" s="163"/>
      <c r="D25" s="17"/>
      <c r="E25" s="195"/>
      <c r="F25" s="17"/>
      <c r="G25" s="17"/>
      <c r="H25" s="200"/>
      <c r="I25" s="17"/>
    </row>
    <row r="26" spans="1:9" ht="29.1" customHeight="1">
      <c r="A26" s="158">
        <v>45224</v>
      </c>
      <c r="B26" s="149" t="s">
        <v>57</v>
      </c>
      <c r="C26" s="163"/>
      <c r="D26" s="17"/>
      <c r="E26" s="195"/>
      <c r="F26" s="17"/>
      <c r="G26" s="17"/>
      <c r="H26" s="200"/>
      <c r="I26" s="17"/>
    </row>
    <row r="27" spans="1:9" ht="29.1" customHeight="1">
      <c r="A27" s="158">
        <v>45225</v>
      </c>
      <c r="B27" s="149" t="s">
        <v>59</v>
      </c>
      <c r="C27" s="163"/>
      <c r="D27" s="17"/>
      <c r="E27" s="195"/>
      <c r="F27" s="17"/>
      <c r="G27" s="17"/>
      <c r="H27" s="200"/>
      <c r="I27" s="17"/>
    </row>
    <row r="28" spans="1:9" ht="29.1" customHeight="1">
      <c r="A28" s="158">
        <v>45226</v>
      </c>
      <c r="B28" s="149" t="s">
        <v>61</v>
      </c>
      <c r="C28" s="163"/>
      <c r="D28" s="17"/>
      <c r="E28" s="195"/>
      <c r="F28" s="17"/>
      <c r="G28" s="17"/>
      <c r="H28" s="200"/>
      <c r="I28" s="17"/>
    </row>
    <row r="29" spans="1:9" ht="29.1" customHeight="1">
      <c r="A29" s="158">
        <v>45227</v>
      </c>
      <c r="B29" s="149" t="s">
        <v>63</v>
      </c>
      <c r="C29" s="163"/>
      <c r="D29" s="17"/>
      <c r="E29" s="195"/>
      <c r="F29" s="17"/>
      <c r="G29" s="17"/>
      <c r="H29" s="200"/>
      <c r="I29" s="17"/>
    </row>
    <row r="30" spans="1:9" ht="29.1" customHeight="1">
      <c r="A30" s="158">
        <v>45228</v>
      </c>
      <c r="B30" s="149" t="s">
        <v>65</v>
      </c>
      <c r="C30" s="163"/>
      <c r="D30" s="17"/>
      <c r="E30" s="195"/>
      <c r="F30" s="17"/>
      <c r="G30" s="17"/>
      <c r="H30" s="200"/>
      <c r="I30" s="17"/>
    </row>
    <row r="31" spans="1:9" ht="29.1" customHeight="1">
      <c r="A31" s="158">
        <v>45229</v>
      </c>
      <c r="B31" s="149" t="s">
        <v>54</v>
      </c>
      <c r="C31" s="164"/>
      <c r="D31" s="157"/>
      <c r="E31" s="196"/>
      <c r="F31" s="157"/>
      <c r="G31" s="157"/>
      <c r="H31" s="201"/>
      <c r="I31" s="157"/>
    </row>
    <row r="32" spans="1:9" ht="29.1" customHeight="1" thickBot="1">
      <c r="A32" s="158"/>
      <c r="B32" s="149"/>
      <c r="C32" s="150"/>
      <c r="D32" s="150"/>
      <c r="E32" s="150"/>
      <c r="F32" s="150"/>
      <c r="G32" s="150"/>
      <c r="H32" s="191"/>
      <c r="I32" s="150"/>
    </row>
  </sheetData>
  <mergeCells count="1">
    <mergeCell ref="A1:B1"/>
  </mergeCells>
  <phoneticPr fontId="1"/>
  <pageMargins left="0.7" right="0.7" top="0.75" bottom="0.75" header="0.3" footer="0.3"/>
  <pageSetup paperSize="9" scale="6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D0A9C-9A86-5441-BE06-67780B16A006}">
  <sheetPr codeName="Sheet3"/>
  <dimension ref="A1:C434"/>
  <sheetViews>
    <sheetView zoomScale="109" zoomScaleNormal="100" workbookViewId="0">
      <selection activeCell="C20" sqref="C20:C21"/>
    </sheetView>
  </sheetViews>
  <sheetFormatPr defaultColWidth="10.6328125" defaultRowHeight="15.6"/>
  <cols>
    <col min="1" max="1" width="15" style="117" customWidth="1"/>
    <col min="2" max="2" width="16.6328125" style="117" customWidth="1"/>
    <col min="3" max="3" width="25.6328125" style="117" customWidth="1"/>
    <col min="4" max="16384" width="10.6328125" style="117"/>
  </cols>
  <sheetData>
    <row r="1" spans="1:3" ht="29.1" customHeight="1">
      <c r="A1" s="508" t="s">
        <v>274</v>
      </c>
      <c r="B1" s="509"/>
      <c r="C1" s="510"/>
    </row>
    <row r="2" spans="1:3" ht="27" customHeight="1">
      <c r="A2" s="120" t="s">
        <v>269</v>
      </c>
      <c r="B2" s="511"/>
      <c r="C2" s="512"/>
    </row>
    <row r="3" spans="1:3" ht="30" customHeight="1">
      <c r="A3" s="121" t="s">
        <v>71</v>
      </c>
      <c r="B3" s="122" t="s">
        <v>272</v>
      </c>
      <c r="C3" s="122" t="s">
        <v>273</v>
      </c>
    </row>
    <row r="4" spans="1:3" ht="22.8">
      <c r="A4" s="119">
        <v>20330</v>
      </c>
      <c r="B4" s="125" t="s">
        <v>275</v>
      </c>
      <c r="C4" s="124" t="s">
        <v>276</v>
      </c>
    </row>
    <row r="5" spans="1:3" ht="25.2">
      <c r="A5" s="123">
        <v>21190</v>
      </c>
      <c r="B5" s="126" t="s">
        <v>277</v>
      </c>
      <c r="C5" s="124" t="s">
        <v>285</v>
      </c>
    </row>
    <row r="6" spans="1:3" ht="25.2">
      <c r="A6" s="123">
        <v>29800</v>
      </c>
      <c r="B6" s="126" t="s">
        <v>278</v>
      </c>
      <c r="C6" s="124" t="s">
        <v>279</v>
      </c>
    </row>
    <row r="7" spans="1:3" ht="25.2">
      <c r="A7" s="123">
        <v>61179</v>
      </c>
      <c r="B7" s="126" t="s">
        <v>280</v>
      </c>
      <c r="C7" s="124" t="s">
        <v>281</v>
      </c>
    </row>
    <row r="8" spans="1:3" ht="25.2">
      <c r="A8" s="123">
        <v>44370</v>
      </c>
      <c r="B8" s="126" t="s">
        <v>283</v>
      </c>
      <c r="C8" s="124" t="s">
        <v>282</v>
      </c>
    </row>
    <row r="9" spans="1:3" ht="24.6">
      <c r="A9" s="514" t="s">
        <v>171</v>
      </c>
      <c r="B9" s="515"/>
      <c r="C9" s="129">
        <f>SUM(A4:A8)</f>
        <v>176869</v>
      </c>
    </row>
    <row r="10" spans="1:3" ht="24.6">
      <c r="A10" s="506" t="s">
        <v>271</v>
      </c>
      <c r="B10" s="513"/>
      <c r="C10" s="114"/>
    </row>
    <row r="11" spans="1:3" ht="24.6">
      <c r="A11" s="506" t="s">
        <v>268</v>
      </c>
      <c r="B11" s="513"/>
      <c r="C11" s="114"/>
    </row>
    <row r="12" spans="1:3" ht="32.4">
      <c r="A12" s="506" t="s">
        <v>270</v>
      </c>
      <c r="B12" s="513"/>
      <c r="C12" s="116"/>
    </row>
    <row r="13" spans="1:3" ht="24.6">
      <c r="A13" s="506" t="s">
        <v>67</v>
      </c>
      <c r="B13" s="513"/>
      <c r="C13" s="116"/>
    </row>
    <row r="14" spans="1:3" ht="24.6">
      <c r="A14" s="506" t="s">
        <v>267</v>
      </c>
      <c r="B14" s="507"/>
      <c r="C14" s="115"/>
    </row>
    <row r="15" spans="1:3" ht="24.6">
      <c r="A15" s="516"/>
      <c r="B15" s="517"/>
      <c r="C15" s="518"/>
    </row>
    <row r="16" spans="1:3" ht="24">
      <c r="A16" s="508" t="s">
        <v>296</v>
      </c>
      <c r="B16" s="509"/>
      <c r="C16" s="510"/>
    </row>
    <row r="17" spans="1:3" ht="22.8">
      <c r="A17" s="120" t="s">
        <v>269</v>
      </c>
      <c r="B17" s="511"/>
      <c r="C17" s="512"/>
    </row>
    <row r="18" spans="1:3" ht="22.8">
      <c r="A18" s="121" t="s">
        <v>71</v>
      </c>
      <c r="B18" s="122" t="s">
        <v>272</v>
      </c>
      <c r="C18" s="122" t="s">
        <v>273</v>
      </c>
    </row>
    <row r="19" spans="1:3" ht="22.8">
      <c r="A19" s="119">
        <v>2110</v>
      </c>
      <c r="B19" s="125"/>
      <c r="C19" s="124" t="s">
        <v>295</v>
      </c>
    </row>
    <row r="20" spans="1:3" ht="25.2">
      <c r="A20" s="123">
        <v>9246</v>
      </c>
      <c r="B20" s="126" t="s">
        <v>287</v>
      </c>
      <c r="C20" s="124" t="s">
        <v>21</v>
      </c>
    </row>
    <row r="21" spans="1:3" ht="25.2">
      <c r="A21" s="123">
        <v>142240</v>
      </c>
      <c r="B21" s="126"/>
      <c r="C21" s="124" t="s">
        <v>288</v>
      </c>
    </row>
    <row r="22" spans="1:3" ht="25.2">
      <c r="A22" s="123">
        <v>96300</v>
      </c>
      <c r="B22" s="126" t="s">
        <v>289</v>
      </c>
      <c r="C22" s="124" t="s">
        <v>290</v>
      </c>
    </row>
    <row r="23" spans="1:3" ht="24.6">
      <c r="A23" s="506" t="s">
        <v>171</v>
      </c>
      <c r="B23" s="513"/>
      <c r="C23" s="118">
        <f>SUM(A19:A22)</f>
        <v>249896</v>
      </c>
    </row>
    <row r="24" spans="1:3" ht="24.6">
      <c r="A24" s="506" t="s">
        <v>271</v>
      </c>
      <c r="B24" s="513"/>
      <c r="C24" s="114"/>
    </row>
    <row r="25" spans="1:3" ht="24.6">
      <c r="A25" s="506" t="s">
        <v>268</v>
      </c>
      <c r="B25" s="513"/>
      <c r="C25" s="114"/>
    </row>
    <row r="26" spans="1:3" ht="32.4">
      <c r="A26" s="506" t="s">
        <v>270</v>
      </c>
      <c r="B26" s="513"/>
      <c r="C26" s="116"/>
    </row>
    <row r="27" spans="1:3" ht="24.6">
      <c r="A27" s="506" t="s">
        <v>67</v>
      </c>
      <c r="B27" s="513"/>
      <c r="C27" s="116"/>
    </row>
    <row r="28" spans="1:3" ht="24.6">
      <c r="A28" s="506" t="s">
        <v>267</v>
      </c>
      <c r="B28" s="507"/>
      <c r="C28" s="115"/>
    </row>
    <row r="29" spans="1:3" ht="24.6">
      <c r="A29" s="516"/>
      <c r="B29" s="517"/>
      <c r="C29" s="518"/>
    </row>
    <row r="30" spans="1:3" ht="24">
      <c r="A30" s="508" t="s">
        <v>297</v>
      </c>
      <c r="B30" s="509"/>
      <c r="C30" s="510"/>
    </row>
    <row r="31" spans="1:3" ht="22.8">
      <c r="A31" s="120" t="s">
        <v>269</v>
      </c>
      <c r="B31" s="511"/>
      <c r="C31" s="512"/>
    </row>
    <row r="32" spans="1:3" ht="22.8">
      <c r="A32" s="121" t="s">
        <v>71</v>
      </c>
      <c r="B32" s="122" t="s">
        <v>272</v>
      </c>
      <c r="C32" s="122" t="s">
        <v>273</v>
      </c>
    </row>
    <row r="33" spans="1:3" ht="22.8">
      <c r="A33" s="119">
        <v>24441</v>
      </c>
      <c r="B33" s="125" t="s">
        <v>286</v>
      </c>
      <c r="C33" s="124" t="s">
        <v>298</v>
      </c>
    </row>
    <row r="34" spans="1:3" ht="25.2">
      <c r="A34" s="123">
        <v>550</v>
      </c>
      <c r="B34" s="126" t="s">
        <v>291</v>
      </c>
      <c r="C34" s="124" t="s">
        <v>292</v>
      </c>
    </row>
    <row r="35" spans="1:3" ht="25.2">
      <c r="A35" s="123">
        <v>59170</v>
      </c>
      <c r="B35" s="126" t="s">
        <v>293</v>
      </c>
      <c r="C35" s="124" t="s">
        <v>18</v>
      </c>
    </row>
    <row r="36" spans="1:3" ht="25.2">
      <c r="A36" s="123">
        <v>21450</v>
      </c>
      <c r="B36" s="126"/>
      <c r="C36" s="124" t="s">
        <v>336</v>
      </c>
    </row>
    <row r="37" spans="1:3" ht="25.2">
      <c r="A37" s="123">
        <v>2505</v>
      </c>
      <c r="B37" s="126"/>
      <c r="C37" s="124" t="s">
        <v>294</v>
      </c>
    </row>
    <row r="38" spans="1:3" ht="24.6">
      <c r="A38" s="506" t="s">
        <v>171</v>
      </c>
      <c r="B38" s="513"/>
      <c r="C38" s="118">
        <f>SUM(A33:A37)</f>
        <v>108116</v>
      </c>
    </row>
    <row r="39" spans="1:3" ht="24.6">
      <c r="A39" s="506" t="s">
        <v>271</v>
      </c>
      <c r="B39" s="513"/>
      <c r="C39" s="114"/>
    </row>
    <row r="40" spans="1:3" ht="24.6">
      <c r="A40" s="506" t="s">
        <v>268</v>
      </c>
      <c r="B40" s="513"/>
      <c r="C40" s="114"/>
    </row>
    <row r="41" spans="1:3" ht="32.4">
      <c r="A41" s="506" t="s">
        <v>270</v>
      </c>
      <c r="B41" s="513"/>
      <c r="C41" s="116"/>
    </row>
    <row r="42" spans="1:3" ht="24.6">
      <c r="A42" s="506" t="s">
        <v>67</v>
      </c>
      <c r="B42" s="513"/>
      <c r="C42" s="116"/>
    </row>
    <row r="43" spans="1:3" ht="24.6">
      <c r="A43" s="506" t="s">
        <v>267</v>
      </c>
      <c r="B43" s="507"/>
      <c r="C43" s="115"/>
    </row>
    <row r="44" spans="1:3" ht="24.6">
      <c r="A44" s="517"/>
      <c r="B44" s="517"/>
      <c r="C44" s="517"/>
    </row>
    <row r="45" spans="1:3" ht="24">
      <c r="A45" s="508" t="s">
        <v>299</v>
      </c>
      <c r="B45" s="509"/>
      <c r="C45" s="510"/>
    </row>
    <row r="46" spans="1:3" ht="22.8">
      <c r="A46" s="120" t="s">
        <v>269</v>
      </c>
      <c r="B46" s="511"/>
      <c r="C46" s="512"/>
    </row>
    <row r="47" spans="1:3" ht="22.8">
      <c r="A47" s="121" t="s">
        <v>71</v>
      </c>
      <c r="B47" s="122" t="s">
        <v>272</v>
      </c>
      <c r="C47" s="122" t="s">
        <v>273</v>
      </c>
    </row>
    <row r="48" spans="1:3" ht="22.8">
      <c r="A48" s="119">
        <v>64000</v>
      </c>
      <c r="B48" s="125"/>
      <c r="C48" s="124" t="s">
        <v>303</v>
      </c>
    </row>
    <row r="49" spans="1:3" ht="25.2">
      <c r="A49" s="123">
        <v>1830</v>
      </c>
      <c r="B49" s="126"/>
      <c r="C49" s="124" t="s">
        <v>47</v>
      </c>
    </row>
    <row r="50" spans="1:3" ht="25.2">
      <c r="A50" s="123">
        <v>7800</v>
      </c>
      <c r="B50" s="126" t="s">
        <v>304</v>
      </c>
      <c r="C50" s="124" t="s">
        <v>305</v>
      </c>
    </row>
    <row r="51" spans="1:3" ht="25.2">
      <c r="A51" s="123">
        <v>24100</v>
      </c>
      <c r="B51" s="126" t="s">
        <v>306</v>
      </c>
      <c r="C51" s="124" t="s">
        <v>307</v>
      </c>
    </row>
    <row r="52" spans="1:3" ht="25.2">
      <c r="A52" s="123">
        <v>54973</v>
      </c>
      <c r="B52" s="126" t="s">
        <v>308</v>
      </c>
      <c r="C52" s="124" t="s">
        <v>309</v>
      </c>
    </row>
    <row r="53" spans="1:3" ht="25.2">
      <c r="A53" s="123">
        <v>49600</v>
      </c>
      <c r="B53" s="126" t="s">
        <v>310</v>
      </c>
      <c r="C53" s="124" t="s">
        <v>311</v>
      </c>
    </row>
    <row r="54" spans="1:3" ht="25.2">
      <c r="A54" s="123">
        <v>22480</v>
      </c>
      <c r="B54" s="126" t="s">
        <v>312</v>
      </c>
      <c r="C54" s="124" t="s">
        <v>313</v>
      </c>
    </row>
    <row r="55" spans="1:3" ht="25.2">
      <c r="A55" s="123">
        <v>88644</v>
      </c>
      <c r="B55" s="126" t="s">
        <v>314</v>
      </c>
      <c r="C55" s="124" t="s">
        <v>315</v>
      </c>
    </row>
    <row r="56" spans="1:3" ht="24.6">
      <c r="A56" s="506" t="s">
        <v>171</v>
      </c>
      <c r="B56" s="513"/>
      <c r="C56" s="118">
        <f>SUM(A48:A55)</f>
        <v>313427</v>
      </c>
    </row>
    <row r="57" spans="1:3" ht="24.6">
      <c r="A57" s="506" t="s">
        <v>271</v>
      </c>
      <c r="B57" s="513"/>
      <c r="C57" s="114"/>
    </row>
    <row r="58" spans="1:3" ht="24.6">
      <c r="A58" s="506" t="s">
        <v>268</v>
      </c>
      <c r="B58" s="513"/>
      <c r="C58" s="114"/>
    </row>
    <row r="59" spans="1:3" ht="32.4">
      <c r="A59" s="506" t="s">
        <v>270</v>
      </c>
      <c r="B59" s="513"/>
      <c r="C59" s="116"/>
    </row>
    <row r="60" spans="1:3" ht="24.6">
      <c r="A60" s="506" t="s">
        <v>67</v>
      </c>
      <c r="B60" s="513"/>
      <c r="C60" s="116"/>
    </row>
    <row r="61" spans="1:3" ht="24.6">
      <c r="A61" s="506" t="s">
        <v>267</v>
      </c>
      <c r="B61" s="507"/>
      <c r="C61" s="115"/>
    </row>
    <row r="62" spans="1:3" ht="24.6">
      <c r="A62" s="130"/>
      <c r="B62" s="131"/>
      <c r="C62" s="132"/>
    </row>
    <row r="63" spans="1:3" ht="24">
      <c r="A63" s="508" t="s">
        <v>300</v>
      </c>
      <c r="B63" s="509"/>
      <c r="C63" s="510"/>
    </row>
    <row r="64" spans="1:3" ht="22.8">
      <c r="A64" s="120" t="s">
        <v>269</v>
      </c>
      <c r="B64" s="511"/>
      <c r="C64" s="512"/>
    </row>
    <row r="65" spans="1:3" ht="22.8">
      <c r="A65" s="121" t="s">
        <v>71</v>
      </c>
      <c r="B65" s="122" t="s">
        <v>272</v>
      </c>
      <c r="C65" s="122" t="s">
        <v>273</v>
      </c>
    </row>
    <row r="66" spans="1:3" ht="22.8">
      <c r="A66" s="119">
        <v>800550</v>
      </c>
      <c r="B66" s="125" t="s">
        <v>39</v>
      </c>
      <c r="C66" s="124"/>
    </row>
    <row r="67" spans="1:3" ht="22.8">
      <c r="A67" s="119">
        <v>24200</v>
      </c>
      <c r="B67" s="125" t="s">
        <v>316</v>
      </c>
      <c r="C67" s="124" t="s">
        <v>317</v>
      </c>
    </row>
    <row r="68" spans="1:3" ht="22.8">
      <c r="A68" s="119">
        <v>210850</v>
      </c>
      <c r="B68" s="125" t="s">
        <v>318</v>
      </c>
      <c r="C68" s="124" t="s">
        <v>19</v>
      </c>
    </row>
    <row r="69" spans="1:3" ht="22.8">
      <c r="A69" s="119">
        <v>126420</v>
      </c>
      <c r="B69" s="125" t="s">
        <v>319</v>
      </c>
      <c r="C69" s="124" t="s">
        <v>320</v>
      </c>
    </row>
    <row r="70" spans="1:3" ht="25.2">
      <c r="A70" s="123">
        <v>66860</v>
      </c>
      <c r="B70" s="126" t="s">
        <v>321</v>
      </c>
      <c r="C70" s="124" t="s">
        <v>322</v>
      </c>
    </row>
    <row r="71" spans="1:3" ht="25.2">
      <c r="A71" s="123">
        <v>42058</v>
      </c>
      <c r="B71" s="126" t="s">
        <v>308</v>
      </c>
      <c r="C71" s="124" t="s">
        <v>323</v>
      </c>
    </row>
    <row r="72" spans="1:3" ht="25.2">
      <c r="A72" s="123">
        <v>60188</v>
      </c>
      <c r="B72" s="126" t="s">
        <v>324</v>
      </c>
      <c r="C72" s="124" t="s">
        <v>325</v>
      </c>
    </row>
    <row r="73" spans="1:3" ht="25.2">
      <c r="A73" s="123">
        <v>63400</v>
      </c>
      <c r="B73" s="126" t="s">
        <v>326</v>
      </c>
      <c r="C73" s="124" t="s">
        <v>327</v>
      </c>
    </row>
    <row r="74" spans="1:3" ht="25.2">
      <c r="A74" s="123">
        <v>2220</v>
      </c>
      <c r="B74" s="126" t="s">
        <v>44</v>
      </c>
      <c r="C74" s="124" t="s">
        <v>329</v>
      </c>
    </row>
    <row r="75" spans="1:3" ht="25.2">
      <c r="A75" s="123">
        <v>30196</v>
      </c>
      <c r="B75" s="126" t="s">
        <v>277</v>
      </c>
      <c r="C75" s="124" t="s">
        <v>328</v>
      </c>
    </row>
    <row r="76" spans="1:3" ht="24.6">
      <c r="A76" s="506" t="s">
        <v>171</v>
      </c>
      <c r="B76" s="513"/>
      <c r="C76" s="118">
        <f>SUM(A66:A75)</f>
        <v>1426942</v>
      </c>
    </row>
    <row r="77" spans="1:3" ht="24.6">
      <c r="A77" s="506" t="s">
        <v>271</v>
      </c>
      <c r="B77" s="513"/>
      <c r="C77" s="114"/>
    </row>
    <row r="78" spans="1:3" ht="24.6">
      <c r="A78" s="506" t="s">
        <v>268</v>
      </c>
      <c r="B78" s="513"/>
      <c r="C78" s="114"/>
    </row>
    <row r="79" spans="1:3" ht="32.4">
      <c r="A79" s="506" t="s">
        <v>270</v>
      </c>
      <c r="B79" s="513"/>
      <c r="C79" s="116"/>
    </row>
    <row r="80" spans="1:3" ht="24.6">
      <c r="A80" s="506" t="s">
        <v>67</v>
      </c>
      <c r="B80" s="513"/>
      <c r="C80" s="116"/>
    </row>
    <row r="81" spans="1:3" ht="24.6">
      <c r="A81" s="506" t="s">
        <v>267</v>
      </c>
      <c r="B81" s="507"/>
      <c r="C81" s="115"/>
    </row>
    <row r="82" spans="1:3" ht="24.6">
      <c r="A82" s="516"/>
      <c r="B82" s="517"/>
      <c r="C82" s="518"/>
    </row>
    <row r="83" spans="1:3" ht="24">
      <c r="A83" s="508" t="s">
        <v>301</v>
      </c>
      <c r="B83" s="509"/>
      <c r="C83" s="510"/>
    </row>
    <row r="84" spans="1:3" ht="22.8">
      <c r="A84" s="120" t="s">
        <v>269</v>
      </c>
      <c r="B84" s="511"/>
      <c r="C84" s="512"/>
    </row>
    <row r="85" spans="1:3" ht="22.8">
      <c r="A85" s="121" t="s">
        <v>71</v>
      </c>
      <c r="B85" s="122" t="s">
        <v>272</v>
      </c>
      <c r="C85" s="122" t="s">
        <v>273</v>
      </c>
    </row>
    <row r="86" spans="1:3" ht="22.8">
      <c r="A86" s="119">
        <v>9000</v>
      </c>
      <c r="B86" s="125"/>
      <c r="C86" s="124" t="s">
        <v>330</v>
      </c>
    </row>
    <row r="87" spans="1:3" ht="25.2">
      <c r="A87" s="123">
        <v>1830</v>
      </c>
      <c r="B87" s="126" t="s">
        <v>44</v>
      </c>
      <c r="C87" s="124" t="s">
        <v>331</v>
      </c>
    </row>
    <row r="88" spans="1:3" ht="25.2">
      <c r="A88" s="123">
        <v>58600</v>
      </c>
      <c r="B88" s="126" t="s">
        <v>332</v>
      </c>
      <c r="C88" s="124" t="s">
        <v>333</v>
      </c>
    </row>
    <row r="89" spans="1:3" ht="25.2">
      <c r="A89" s="123">
        <v>43860</v>
      </c>
      <c r="B89" s="126" t="s">
        <v>334</v>
      </c>
      <c r="C89" s="124" t="s">
        <v>335</v>
      </c>
    </row>
    <row r="90" spans="1:3" ht="24.6">
      <c r="A90" s="506" t="s">
        <v>171</v>
      </c>
      <c r="B90" s="513"/>
      <c r="C90" s="118">
        <f>SUM(A86:A89)</f>
        <v>113290</v>
      </c>
    </row>
    <row r="91" spans="1:3" ht="24.6">
      <c r="A91" s="506" t="s">
        <v>271</v>
      </c>
      <c r="B91" s="513"/>
      <c r="C91" s="114"/>
    </row>
    <row r="92" spans="1:3" ht="24.6">
      <c r="A92" s="506" t="s">
        <v>268</v>
      </c>
      <c r="B92" s="513"/>
      <c r="C92" s="114"/>
    </row>
    <row r="93" spans="1:3" ht="32.4">
      <c r="A93" s="506" t="s">
        <v>270</v>
      </c>
      <c r="B93" s="513"/>
      <c r="C93" s="116"/>
    </row>
    <row r="94" spans="1:3" ht="24.6">
      <c r="A94" s="506" t="s">
        <v>67</v>
      </c>
      <c r="B94" s="513"/>
      <c r="C94" s="116"/>
    </row>
    <row r="95" spans="1:3" ht="24.6">
      <c r="A95" s="506" t="s">
        <v>267</v>
      </c>
      <c r="B95" s="507"/>
      <c r="C95" s="115"/>
    </row>
    <row r="96" spans="1:3" ht="24.6">
      <c r="A96" s="516"/>
      <c r="B96" s="517"/>
      <c r="C96" s="518"/>
    </row>
    <row r="97" spans="1:3" ht="24">
      <c r="A97" s="508" t="s">
        <v>302</v>
      </c>
      <c r="B97" s="509"/>
      <c r="C97" s="510"/>
    </row>
    <row r="98" spans="1:3" ht="22.8">
      <c r="A98" s="120" t="s">
        <v>269</v>
      </c>
      <c r="B98" s="511"/>
      <c r="C98" s="512"/>
    </row>
    <row r="99" spans="1:3" ht="22.8">
      <c r="A99" s="121" t="s">
        <v>71</v>
      </c>
      <c r="B99" s="122" t="s">
        <v>272</v>
      </c>
      <c r="C99" s="122" t="s">
        <v>273</v>
      </c>
    </row>
    <row r="100" spans="1:3" ht="22.8">
      <c r="A100" s="119">
        <v>2505</v>
      </c>
      <c r="B100" s="125" t="s">
        <v>44</v>
      </c>
      <c r="C100" s="124" t="s">
        <v>294</v>
      </c>
    </row>
    <row r="101" spans="1:3" ht="25.2">
      <c r="A101" s="123">
        <v>181790</v>
      </c>
      <c r="B101" s="126" t="s">
        <v>337</v>
      </c>
      <c r="C101" s="124" t="s">
        <v>338</v>
      </c>
    </row>
    <row r="102" spans="1:3" ht="24.6">
      <c r="A102" s="506" t="s">
        <v>171</v>
      </c>
      <c r="B102" s="513"/>
      <c r="C102" s="118">
        <f>SUM(A100:A101)</f>
        <v>184295</v>
      </c>
    </row>
    <row r="103" spans="1:3" ht="24.6">
      <c r="A103" s="506" t="s">
        <v>271</v>
      </c>
      <c r="B103" s="513"/>
      <c r="C103" s="114"/>
    </row>
    <row r="104" spans="1:3" ht="24.6">
      <c r="A104" s="506" t="s">
        <v>268</v>
      </c>
      <c r="B104" s="513"/>
      <c r="C104" s="114"/>
    </row>
    <row r="105" spans="1:3" ht="32.4">
      <c r="A105" s="506" t="s">
        <v>270</v>
      </c>
      <c r="B105" s="513"/>
      <c r="C105" s="116"/>
    </row>
    <row r="106" spans="1:3" ht="24.6">
      <c r="A106" s="506" t="s">
        <v>67</v>
      </c>
      <c r="B106" s="513"/>
      <c r="C106" s="116"/>
    </row>
    <row r="107" spans="1:3" ht="24.6">
      <c r="A107" s="506" t="s">
        <v>267</v>
      </c>
      <c r="B107" s="507"/>
      <c r="C107" s="115"/>
    </row>
    <row r="108" spans="1:3" ht="24.6">
      <c r="A108" s="516"/>
      <c r="B108" s="517"/>
      <c r="C108" s="518"/>
    </row>
    <row r="109" spans="1:3" ht="24">
      <c r="A109" s="508" t="s">
        <v>370</v>
      </c>
      <c r="B109" s="509"/>
      <c r="C109" s="510"/>
    </row>
    <row r="110" spans="1:3" ht="22.8">
      <c r="A110" s="120" t="s">
        <v>269</v>
      </c>
      <c r="B110" s="511"/>
      <c r="C110" s="512"/>
    </row>
    <row r="111" spans="1:3" ht="22.8">
      <c r="A111" s="121" t="s">
        <v>71</v>
      </c>
      <c r="B111" s="122" t="s">
        <v>272</v>
      </c>
      <c r="C111" s="122" t="s">
        <v>273</v>
      </c>
    </row>
    <row r="112" spans="1:3" ht="22.8">
      <c r="A112" s="119">
        <v>1850</v>
      </c>
      <c r="B112" s="125"/>
      <c r="C112" s="125" t="s">
        <v>339</v>
      </c>
    </row>
    <row r="113" spans="1:3" ht="22.8">
      <c r="A113" s="119">
        <v>23125</v>
      </c>
      <c r="B113" s="125" t="s">
        <v>310</v>
      </c>
      <c r="C113" s="124" t="s">
        <v>340</v>
      </c>
    </row>
    <row r="114" spans="1:3" ht="22.8">
      <c r="A114" s="119">
        <v>21950</v>
      </c>
      <c r="B114" s="125" t="s">
        <v>341</v>
      </c>
      <c r="C114" s="124" t="s">
        <v>276</v>
      </c>
    </row>
    <row r="115" spans="1:3" ht="22.8">
      <c r="A115" s="119">
        <v>16240</v>
      </c>
      <c r="B115" s="125" t="s">
        <v>98</v>
      </c>
      <c r="C115" s="124" t="s">
        <v>342</v>
      </c>
    </row>
    <row r="116" spans="1:3" ht="24.6">
      <c r="A116" s="506" t="s">
        <v>171</v>
      </c>
      <c r="B116" s="513"/>
      <c r="C116" s="118">
        <f>SUM(A112:A115)</f>
        <v>63165</v>
      </c>
    </row>
    <row r="117" spans="1:3" ht="24.6">
      <c r="A117" s="506" t="s">
        <v>271</v>
      </c>
      <c r="B117" s="513"/>
      <c r="C117" s="114"/>
    </row>
    <row r="118" spans="1:3" ht="24.6">
      <c r="A118" s="506" t="s">
        <v>268</v>
      </c>
      <c r="B118" s="513"/>
      <c r="C118" s="114"/>
    </row>
    <row r="119" spans="1:3" ht="32.4">
      <c r="A119" s="506" t="s">
        <v>270</v>
      </c>
      <c r="B119" s="513"/>
      <c r="C119" s="116"/>
    </row>
    <row r="120" spans="1:3" ht="24.6">
      <c r="A120" s="506" t="s">
        <v>67</v>
      </c>
      <c r="B120" s="513"/>
      <c r="C120" s="116"/>
    </row>
    <row r="121" spans="1:3" ht="24.6">
      <c r="A121" s="506" t="s">
        <v>267</v>
      </c>
      <c r="B121" s="507"/>
      <c r="C121" s="115"/>
    </row>
    <row r="122" spans="1:3" ht="24.6">
      <c r="A122" s="516"/>
      <c r="B122" s="517"/>
      <c r="C122" s="518"/>
    </row>
    <row r="123" spans="1:3" ht="24">
      <c r="A123" s="508" t="s">
        <v>369</v>
      </c>
      <c r="B123" s="509"/>
      <c r="C123" s="510"/>
    </row>
    <row r="124" spans="1:3" ht="22.8">
      <c r="A124" s="120" t="s">
        <v>269</v>
      </c>
      <c r="B124" s="511"/>
      <c r="C124" s="512"/>
    </row>
    <row r="125" spans="1:3" ht="22.8">
      <c r="A125" s="121" t="s">
        <v>71</v>
      </c>
      <c r="B125" s="122" t="s">
        <v>272</v>
      </c>
      <c r="C125" s="122" t="s">
        <v>273</v>
      </c>
    </row>
    <row r="126" spans="1:3" ht="22.8">
      <c r="A126" s="119">
        <v>3940</v>
      </c>
      <c r="B126" s="125" t="s">
        <v>44</v>
      </c>
      <c r="C126" s="124" t="s">
        <v>343</v>
      </c>
    </row>
    <row r="127" spans="1:3" ht="22.8">
      <c r="A127" s="119">
        <v>15700</v>
      </c>
      <c r="B127" s="125"/>
      <c r="C127" s="124" t="s">
        <v>344</v>
      </c>
    </row>
    <row r="128" spans="1:3" ht="22.8">
      <c r="A128" s="119">
        <v>60550</v>
      </c>
      <c r="B128" s="125"/>
      <c r="C128" s="124" t="s">
        <v>345</v>
      </c>
    </row>
    <row r="129" spans="1:3" ht="22.8">
      <c r="A129" s="119">
        <v>511042</v>
      </c>
      <c r="B129" s="125" t="s">
        <v>347</v>
      </c>
      <c r="C129" s="124" t="s">
        <v>17</v>
      </c>
    </row>
    <row r="130" spans="1:3" ht="25.2">
      <c r="A130" s="123">
        <v>1150</v>
      </c>
      <c r="B130" s="126"/>
      <c r="C130" s="124" t="s">
        <v>346</v>
      </c>
    </row>
    <row r="131" spans="1:3" ht="24.6">
      <c r="A131" s="506" t="s">
        <v>171</v>
      </c>
      <c r="B131" s="513"/>
      <c r="C131" s="118">
        <f>SUM(A126:A130)</f>
        <v>592382</v>
      </c>
    </row>
    <row r="132" spans="1:3" ht="24.6">
      <c r="A132" s="506" t="s">
        <v>271</v>
      </c>
      <c r="B132" s="513"/>
      <c r="C132" s="114"/>
    </row>
    <row r="133" spans="1:3" ht="24.6">
      <c r="A133" s="506" t="s">
        <v>268</v>
      </c>
      <c r="B133" s="513"/>
      <c r="C133" s="114"/>
    </row>
    <row r="134" spans="1:3" ht="32.4">
      <c r="A134" s="506" t="s">
        <v>270</v>
      </c>
      <c r="B134" s="513"/>
      <c r="C134" s="116"/>
    </row>
    <row r="135" spans="1:3" ht="24.6">
      <c r="A135" s="506" t="s">
        <v>67</v>
      </c>
      <c r="B135" s="513"/>
      <c r="C135" s="116"/>
    </row>
    <row r="136" spans="1:3" ht="24.6">
      <c r="A136" s="506" t="s">
        <v>267</v>
      </c>
      <c r="B136" s="507"/>
      <c r="C136" s="115"/>
    </row>
    <row r="137" spans="1:3" ht="24">
      <c r="A137" s="508" t="s">
        <v>367</v>
      </c>
      <c r="B137" s="509"/>
      <c r="C137" s="510"/>
    </row>
    <row r="138" spans="1:3" ht="22.8">
      <c r="A138" s="120" t="s">
        <v>269</v>
      </c>
      <c r="B138" s="511"/>
      <c r="C138" s="512"/>
    </row>
    <row r="139" spans="1:3" ht="22.8">
      <c r="A139" s="121" t="s">
        <v>71</v>
      </c>
      <c r="B139" s="122" t="s">
        <v>368</v>
      </c>
      <c r="C139" s="122" t="s">
        <v>273</v>
      </c>
    </row>
    <row r="140" spans="1:3" ht="22.8">
      <c r="A140" s="119">
        <v>330</v>
      </c>
      <c r="B140" s="125" t="s">
        <v>153</v>
      </c>
      <c r="C140" s="124" t="s">
        <v>114</v>
      </c>
    </row>
    <row r="141" spans="1:3" ht="22.8">
      <c r="A141" s="119">
        <v>66560</v>
      </c>
      <c r="B141" s="125"/>
      <c r="C141" s="124" t="s">
        <v>348</v>
      </c>
    </row>
    <row r="142" spans="1:3" ht="24.6">
      <c r="A142" s="506" t="s">
        <v>171</v>
      </c>
      <c r="B142" s="513"/>
      <c r="C142" s="118">
        <f>SUM(A140:A141)</f>
        <v>66890</v>
      </c>
    </row>
    <row r="143" spans="1:3" ht="24.6">
      <c r="A143" s="506" t="s">
        <v>271</v>
      </c>
      <c r="B143" s="513"/>
      <c r="C143" s="114"/>
    </row>
    <row r="144" spans="1:3" ht="24.6">
      <c r="A144" s="506" t="s">
        <v>268</v>
      </c>
      <c r="B144" s="513"/>
      <c r="C144" s="114"/>
    </row>
    <row r="145" spans="1:3" ht="32.4">
      <c r="A145" s="506" t="s">
        <v>270</v>
      </c>
      <c r="B145" s="513"/>
      <c r="C145" s="116"/>
    </row>
    <row r="146" spans="1:3" ht="24.6">
      <c r="A146" s="506" t="s">
        <v>67</v>
      </c>
      <c r="B146" s="513"/>
      <c r="C146" s="116"/>
    </row>
    <row r="147" spans="1:3" ht="24.6">
      <c r="A147" s="506" t="s">
        <v>267</v>
      </c>
      <c r="B147" s="507"/>
      <c r="C147" s="115"/>
    </row>
    <row r="148" spans="1:3" ht="24">
      <c r="A148" s="508" t="s">
        <v>366</v>
      </c>
      <c r="B148" s="509"/>
      <c r="C148" s="510"/>
    </row>
    <row r="149" spans="1:3" ht="22.8">
      <c r="A149" s="120" t="s">
        <v>269</v>
      </c>
      <c r="B149" s="511"/>
      <c r="C149" s="512"/>
    </row>
    <row r="150" spans="1:3" ht="22.8">
      <c r="A150" s="121" t="s">
        <v>71</v>
      </c>
      <c r="B150" s="122" t="s">
        <v>272</v>
      </c>
      <c r="C150" s="122" t="s">
        <v>273</v>
      </c>
    </row>
    <row r="151" spans="1:3" ht="22.8">
      <c r="A151" s="119">
        <v>26077</v>
      </c>
      <c r="B151" s="125" t="s">
        <v>349</v>
      </c>
      <c r="C151" s="124" t="s">
        <v>350</v>
      </c>
    </row>
    <row r="152" spans="1:3" ht="22.8">
      <c r="A152" s="119">
        <v>19200</v>
      </c>
      <c r="B152" s="125" t="s">
        <v>349</v>
      </c>
      <c r="C152" s="124" t="s">
        <v>351</v>
      </c>
    </row>
    <row r="153" spans="1:3" ht="22.8">
      <c r="A153" s="119">
        <v>55220</v>
      </c>
      <c r="B153" s="125" t="s">
        <v>352</v>
      </c>
      <c r="C153" s="124" t="s">
        <v>18</v>
      </c>
    </row>
    <row r="154" spans="1:3" ht="22.8">
      <c r="A154" s="119">
        <v>76660</v>
      </c>
      <c r="B154" s="125" t="s">
        <v>353</v>
      </c>
      <c r="C154" s="124" t="s">
        <v>354</v>
      </c>
    </row>
    <row r="155" spans="1:3" ht="24.6">
      <c r="A155" s="506" t="s">
        <v>171</v>
      </c>
      <c r="B155" s="513"/>
      <c r="C155" s="118">
        <f>SUM(A151:A154)</f>
        <v>177157</v>
      </c>
    </row>
    <row r="156" spans="1:3" ht="24.6">
      <c r="A156" s="506" t="s">
        <v>271</v>
      </c>
      <c r="B156" s="513"/>
      <c r="C156" s="114"/>
    </row>
    <row r="157" spans="1:3" ht="24.6">
      <c r="A157" s="506" t="s">
        <v>268</v>
      </c>
      <c r="B157" s="513"/>
      <c r="C157" s="114"/>
    </row>
    <row r="158" spans="1:3" ht="32.4">
      <c r="A158" s="506" t="s">
        <v>270</v>
      </c>
      <c r="B158" s="513"/>
      <c r="C158" s="116"/>
    </row>
    <row r="159" spans="1:3" ht="24.6">
      <c r="A159" s="506" t="s">
        <v>67</v>
      </c>
      <c r="B159" s="513"/>
      <c r="C159" s="116"/>
    </row>
    <row r="160" spans="1:3" ht="24.6">
      <c r="A160" s="506" t="s">
        <v>267</v>
      </c>
      <c r="B160" s="507"/>
      <c r="C160" s="115"/>
    </row>
    <row r="161" spans="1:3" ht="24">
      <c r="A161" s="508" t="s">
        <v>365</v>
      </c>
      <c r="B161" s="509"/>
      <c r="C161" s="510"/>
    </row>
    <row r="162" spans="1:3" ht="22.8">
      <c r="A162" s="120" t="s">
        <v>269</v>
      </c>
      <c r="B162" s="511"/>
      <c r="C162" s="512"/>
    </row>
    <row r="163" spans="1:3" ht="22.8">
      <c r="A163" s="121" t="s">
        <v>71</v>
      </c>
      <c r="B163" s="122" t="s">
        <v>272</v>
      </c>
      <c r="C163" s="122" t="s">
        <v>273</v>
      </c>
    </row>
    <row r="164" spans="1:3" ht="22.8">
      <c r="A164" s="119">
        <v>9661</v>
      </c>
      <c r="B164" s="125" t="s">
        <v>287</v>
      </c>
      <c r="C164" s="124" t="s">
        <v>193</v>
      </c>
    </row>
    <row r="165" spans="1:3" ht="22.8">
      <c r="A165" s="119">
        <v>4580</v>
      </c>
      <c r="B165" s="125" t="s">
        <v>349</v>
      </c>
      <c r="C165" s="124" t="s">
        <v>355</v>
      </c>
    </row>
    <row r="166" spans="1:3" ht="22.8">
      <c r="A166" s="119">
        <v>26880</v>
      </c>
      <c r="B166" s="125" t="s">
        <v>356</v>
      </c>
      <c r="C166" s="124" t="s">
        <v>357</v>
      </c>
    </row>
    <row r="167" spans="1:3" ht="24.6">
      <c r="A167" s="506" t="s">
        <v>171</v>
      </c>
      <c r="B167" s="513"/>
      <c r="C167" s="118">
        <f>SUM(A164:A166)</f>
        <v>41121</v>
      </c>
    </row>
    <row r="168" spans="1:3" ht="24.6">
      <c r="A168" s="506" t="s">
        <v>271</v>
      </c>
      <c r="B168" s="513"/>
      <c r="C168" s="114"/>
    </row>
    <row r="169" spans="1:3" ht="24.6">
      <c r="A169" s="506" t="s">
        <v>268</v>
      </c>
      <c r="B169" s="513"/>
      <c r="C169" s="114"/>
    </row>
    <row r="170" spans="1:3" ht="32.4">
      <c r="A170" s="506" t="s">
        <v>270</v>
      </c>
      <c r="B170" s="513"/>
      <c r="C170" s="116"/>
    </row>
    <row r="171" spans="1:3" ht="24.6">
      <c r="A171" s="506" t="s">
        <v>67</v>
      </c>
      <c r="B171" s="513"/>
      <c r="C171" s="116"/>
    </row>
    <row r="172" spans="1:3" ht="24.6">
      <c r="A172" s="506" t="s">
        <v>267</v>
      </c>
      <c r="B172" s="507"/>
      <c r="C172" s="115"/>
    </row>
    <row r="173" spans="1:3" ht="24">
      <c r="A173" s="508" t="s">
        <v>364</v>
      </c>
      <c r="B173" s="509"/>
      <c r="C173" s="510"/>
    </row>
    <row r="174" spans="1:3" ht="22.8">
      <c r="A174" s="120" t="s">
        <v>269</v>
      </c>
      <c r="B174" s="511"/>
      <c r="C174" s="512"/>
    </row>
    <row r="175" spans="1:3" ht="22.8">
      <c r="A175" s="121" t="s">
        <v>71</v>
      </c>
      <c r="B175" s="122" t="s">
        <v>272</v>
      </c>
      <c r="C175" s="122" t="s">
        <v>273</v>
      </c>
    </row>
    <row r="176" spans="1:3" ht="22.8">
      <c r="A176" s="119">
        <v>472935</v>
      </c>
      <c r="B176" s="125" t="s">
        <v>124</v>
      </c>
      <c r="C176" s="124" t="s">
        <v>358</v>
      </c>
    </row>
    <row r="177" spans="1:3" ht="22.8">
      <c r="A177" s="119">
        <v>97300</v>
      </c>
      <c r="B177" s="125"/>
      <c r="C177" s="124" t="s">
        <v>197</v>
      </c>
    </row>
    <row r="178" spans="1:3" ht="22.8">
      <c r="A178" s="119">
        <v>1830</v>
      </c>
      <c r="B178" s="125"/>
      <c r="C178" s="124" t="s">
        <v>339</v>
      </c>
    </row>
    <row r="179" spans="1:3" ht="22.8">
      <c r="A179" s="119">
        <v>32808</v>
      </c>
      <c r="B179" s="125" t="s">
        <v>81</v>
      </c>
      <c r="C179" s="124" t="s">
        <v>359</v>
      </c>
    </row>
    <row r="180" spans="1:3" ht="24.6">
      <c r="A180" s="506" t="s">
        <v>171</v>
      </c>
      <c r="B180" s="513"/>
      <c r="C180" s="118">
        <f>SUM(A176:A179)</f>
        <v>604873</v>
      </c>
    </row>
    <row r="181" spans="1:3" ht="24.6">
      <c r="A181" s="506" t="s">
        <v>271</v>
      </c>
      <c r="B181" s="513"/>
      <c r="C181" s="114"/>
    </row>
    <row r="182" spans="1:3" ht="24.6">
      <c r="A182" s="506" t="s">
        <v>268</v>
      </c>
      <c r="B182" s="513"/>
      <c r="C182" s="114"/>
    </row>
    <row r="183" spans="1:3" ht="32.4">
      <c r="A183" s="506" t="s">
        <v>270</v>
      </c>
      <c r="B183" s="513"/>
      <c r="C183" s="116"/>
    </row>
    <row r="184" spans="1:3" ht="24.6">
      <c r="A184" s="506" t="s">
        <v>67</v>
      </c>
      <c r="B184" s="513"/>
      <c r="C184" s="116"/>
    </row>
    <row r="185" spans="1:3" ht="24.6">
      <c r="A185" s="506" t="s">
        <v>267</v>
      </c>
      <c r="B185" s="507"/>
      <c r="C185" s="115"/>
    </row>
    <row r="186" spans="1:3" ht="24">
      <c r="A186" s="508" t="s">
        <v>363</v>
      </c>
      <c r="B186" s="509"/>
      <c r="C186" s="510"/>
    </row>
    <row r="187" spans="1:3" ht="22.8">
      <c r="A187" s="120" t="s">
        <v>269</v>
      </c>
      <c r="B187" s="511"/>
      <c r="C187" s="512"/>
    </row>
    <row r="188" spans="1:3" ht="22.8">
      <c r="A188" s="121" t="s">
        <v>71</v>
      </c>
      <c r="B188" s="122" t="s">
        <v>272</v>
      </c>
      <c r="C188" s="122" t="s">
        <v>273</v>
      </c>
    </row>
    <row r="189" spans="1:3" ht="22.8">
      <c r="A189" s="119">
        <v>5490</v>
      </c>
      <c r="B189" s="125"/>
      <c r="C189" s="124" t="s">
        <v>47</v>
      </c>
    </row>
    <row r="190" spans="1:3" ht="22.8">
      <c r="A190" s="119">
        <v>14300</v>
      </c>
      <c r="B190" s="125"/>
      <c r="C190" s="124" t="s">
        <v>176</v>
      </c>
    </row>
    <row r="191" spans="1:3" ht="22.8">
      <c r="A191" s="119">
        <v>18100</v>
      </c>
      <c r="B191" s="125"/>
      <c r="C191" s="124" t="s">
        <v>151</v>
      </c>
    </row>
    <row r="192" spans="1:3" ht="22.8">
      <c r="A192" s="119">
        <v>16800</v>
      </c>
      <c r="B192" s="125"/>
      <c r="C192" s="124" t="s">
        <v>360</v>
      </c>
    </row>
    <row r="193" spans="1:3" ht="22.8">
      <c r="A193" s="119">
        <v>37900</v>
      </c>
      <c r="B193" s="125" t="s">
        <v>356</v>
      </c>
      <c r="C193" s="124" t="s">
        <v>361</v>
      </c>
    </row>
    <row r="194" spans="1:3" ht="22.8">
      <c r="A194" s="119">
        <v>12400</v>
      </c>
      <c r="B194" s="125" t="s">
        <v>356</v>
      </c>
      <c r="C194" s="124" t="s">
        <v>362</v>
      </c>
    </row>
    <row r="195" spans="1:3" ht="24.6">
      <c r="A195" s="506" t="s">
        <v>171</v>
      </c>
      <c r="B195" s="513"/>
      <c r="C195" s="118">
        <f>SUM(A189:A194)</f>
        <v>104990</v>
      </c>
    </row>
    <row r="196" spans="1:3" ht="24.6">
      <c r="A196" s="506" t="s">
        <v>271</v>
      </c>
      <c r="B196" s="513"/>
      <c r="C196" s="114"/>
    </row>
    <row r="197" spans="1:3" ht="24.6">
      <c r="A197" s="506" t="s">
        <v>268</v>
      </c>
      <c r="B197" s="513"/>
      <c r="C197" s="114"/>
    </row>
    <row r="198" spans="1:3" ht="32.4">
      <c r="A198" s="506" t="s">
        <v>270</v>
      </c>
      <c r="B198" s="513"/>
      <c r="C198" s="116"/>
    </row>
    <row r="199" spans="1:3" ht="24.6">
      <c r="A199" s="506" t="s">
        <v>67</v>
      </c>
      <c r="B199" s="513"/>
      <c r="C199" s="116"/>
    </row>
    <row r="200" spans="1:3" ht="24.6">
      <c r="A200" s="506" t="s">
        <v>267</v>
      </c>
      <c r="B200" s="507"/>
      <c r="C200" s="115"/>
    </row>
    <row r="201" spans="1:3" ht="24">
      <c r="A201" s="508" t="s">
        <v>371</v>
      </c>
      <c r="B201" s="509"/>
      <c r="C201" s="510"/>
    </row>
    <row r="202" spans="1:3" ht="22.8">
      <c r="A202" s="120" t="s">
        <v>269</v>
      </c>
      <c r="B202" s="511"/>
      <c r="C202" s="512"/>
    </row>
    <row r="203" spans="1:3" ht="22.8">
      <c r="A203" s="121" t="s">
        <v>71</v>
      </c>
      <c r="B203" s="122" t="s">
        <v>272</v>
      </c>
      <c r="C203" s="122" t="s">
        <v>273</v>
      </c>
    </row>
    <row r="204" spans="1:3" ht="22.8">
      <c r="A204" s="119">
        <v>735937</v>
      </c>
      <c r="B204" s="125" t="s">
        <v>347</v>
      </c>
      <c r="C204" s="124" t="s">
        <v>17</v>
      </c>
    </row>
    <row r="205" spans="1:3" ht="22.8">
      <c r="A205" s="119">
        <v>1830</v>
      </c>
      <c r="B205" s="125"/>
      <c r="C205" s="124" t="s">
        <v>339</v>
      </c>
    </row>
    <row r="206" spans="1:3" ht="22.8">
      <c r="A206" s="119">
        <v>21280</v>
      </c>
      <c r="B206" s="125" t="s">
        <v>356</v>
      </c>
      <c r="C206" s="124" t="s">
        <v>379</v>
      </c>
    </row>
    <row r="207" spans="1:3" ht="22.8">
      <c r="A207" s="119">
        <v>29200</v>
      </c>
      <c r="B207" s="125" t="s">
        <v>380</v>
      </c>
      <c r="C207" s="124" t="s">
        <v>381</v>
      </c>
    </row>
    <row r="208" spans="1:3" ht="22.8">
      <c r="A208" s="119">
        <v>29800</v>
      </c>
      <c r="B208" s="125" t="s">
        <v>382</v>
      </c>
      <c r="C208" s="124" t="s">
        <v>279</v>
      </c>
    </row>
    <row r="209" spans="1:3" ht="22.8">
      <c r="A209" s="119">
        <v>37400</v>
      </c>
      <c r="B209" s="125" t="s">
        <v>356</v>
      </c>
      <c r="C209" s="124" t="s">
        <v>383</v>
      </c>
    </row>
    <row r="210" spans="1:3" ht="22.8">
      <c r="A210" s="119">
        <v>45870</v>
      </c>
      <c r="B210" s="125"/>
      <c r="C210" s="124" t="s">
        <v>384</v>
      </c>
    </row>
    <row r="211" spans="1:3" ht="24.6">
      <c r="A211" s="506" t="s">
        <v>171</v>
      </c>
      <c r="B211" s="513"/>
      <c r="C211" s="118">
        <f>SUM(A204:A210)</f>
        <v>901317</v>
      </c>
    </row>
    <row r="212" spans="1:3" ht="24.6">
      <c r="A212" s="506" t="s">
        <v>271</v>
      </c>
      <c r="B212" s="513"/>
      <c r="C212" s="114"/>
    </row>
    <row r="213" spans="1:3" ht="24.6">
      <c r="A213" s="506" t="s">
        <v>268</v>
      </c>
      <c r="B213" s="513"/>
      <c r="C213" s="114"/>
    </row>
    <row r="214" spans="1:3" ht="32.4">
      <c r="A214" s="506" t="s">
        <v>270</v>
      </c>
      <c r="B214" s="513"/>
      <c r="C214" s="116"/>
    </row>
    <row r="215" spans="1:3" ht="24.6">
      <c r="A215" s="506" t="s">
        <v>67</v>
      </c>
      <c r="B215" s="513"/>
      <c r="C215" s="116"/>
    </row>
    <row r="216" spans="1:3" ht="24.6">
      <c r="A216" s="506" t="s">
        <v>267</v>
      </c>
      <c r="B216" s="507"/>
      <c r="C216" s="115"/>
    </row>
    <row r="217" spans="1:3" ht="24">
      <c r="A217" s="508" t="s">
        <v>372</v>
      </c>
      <c r="B217" s="509"/>
      <c r="C217" s="510"/>
    </row>
    <row r="218" spans="1:3" ht="22.8">
      <c r="A218" s="120" t="s">
        <v>269</v>
      </c>
      <c r="B218" s="511"/>
      <c r="C218" s="512"/>
    </row>
    <row r="219" spans="1:3" ht="22.8">
      <c r="A219" s="121" t="s">
        <v>71</v>
      </c>
      <c r="B219" s="122" t="s">
        <v>272</v>
      </c>
      <c r="C219" s="122" t="s">
        <v>273</v>
      </c>
    </row>
    <row r="220" spans="1:3" ht="22.8">
      <c r="A220" s="119">
        <v>3940</v>
      </c>
      <c r="B220" s="125"/>
      <c r="C220" s="124" t="s">
        <v>339</v>
      </c>
    </row>
    <row r="221" spans="1:3" ht="22.8">
      <c r="A221" s="119">
        <v>27300</v>
      </c>
      <c r="B221" s="125" t="s">
        <v>356</v>
      </c>
      <c r="C221" s="124" t="s">
        <v>385</v>
      </c>
    </row>
    <row r="222" spans="1:3" ht="22.8">
      <c r="A222" s="119">
        <v>26175</v>
      </c>
      <c r="B222" s="125" t="s">
        <v>356</v>
      </c>
      <c r="C222" s="124" t="s">
        <v>386</v>
      </c>
    </row>
    <row r="223" spans="1:3" ht="24.6">
      <c r="A223" s="506" t="s">
        <v>171</v>
      </c>
      <c r="B223" s="513"/>
      <c r="C223" s="118">
        <f>SUM(A220:A222)</f>
        <v>57415</v>
      </c>
    </row>
    <row r="224" spans="1:3" ht="24.6">
      <c r="A224" s="506" t="s">
        <v>271</v>
      </c>
      <c r="B224" s="513"/>
      <c r="C224" s="114"/>
    </row>
    <row r="225" spans="1:3" ht="24.6">
      <c r="A225" s="506" t="s">
        <v>268</v>
      </c>
      <c r="B225" s="513"/>
      <c r="C225" s="114"/>
    </row>
    <row r="226" spans="1:3" ht="32.4">
      <c r="A226" s="506" t="s">
        <v>270</v>
      </c>
      <c r="B226" s="513"/>
      <c r="C226" s="116"/>
    </row>
    <row r="227" spans="1:3" ht="24.6">
      <c r="A227" s="506" t="s">
        <v>67</v>
      </c>
      <c r="B227" s="513"/>
      <c r="C227" s="116"/>
    </row>
    <row r="228" spans="1:3" ht="24.6">
      <c r="A228" s="506" t="s">
        <v>267</v>
      </c>
      <c r="B228" s="507"/>
      <c r="C228" s="115"/>
    </row>
    <row r="229" spans="1:3" ht="24">
      <c r="A229" s="508" t="s">
        <v>373</v>
      </c>
      <c r="B229" s="509"/>
      <c r="C229" s="510"/>
    </row>
    <row r="230" spans="1:3" ht="22.8">
      <c r="A230" s="120" t="s">
        <v>269</v>
      </c>
      <c r="B230" s="511"/>
      <c r="C230" s="512"/>
    </row>
    <row r="231" spans="1:3" ht="22.8">
      <c r="A231" s="121" t="s">
        <v>71</v>
      </c>
      <c r="B231" s="122" t="s">
        <v>272</v>
      </c>
      <c r="C231" s="122" t="s">
        <v>273</v>
      </c>
    </row>
    <row r="232" spans="1:3" ht="22.8">
      <c r="A232" s="119">
        <v>18600</v>
      </c>
      <c r="B232" s="125" t="s">
        <v>387</v>
      </c>
      <c r="C232" s="124"/>
    </row>
    <row r="233" spans="1:3" ht="22.8">
      <c r="A233" s="119">
        <v>28720</v>
      </c>
      <c r="B233" s="125"/>
      <c r="C233" s="124" t="s">
        <v>388</v>
      </c>
    </row>
    <row r="234" spans="1:3" ht="24.6">
      <c r="A234" s="506" t="s">
        <v>171</v>
      </c>
      <c r="B234" s="513"/>
      <c r="C234" s="118">
        <f>SUM(A232:A233)</f>
        <v>47320</v>
      </c>
    </row>
    <row r="235" spans="1:3" ht="24.6">
      <c r="A235" s="506" t="s">
        <v>271</v>
      </c>
      <c r="B235" s="513"/>
      <c r="C235" s="114"/>
    </row>
    <row r="236" spans="1:3" ht="24.6">
      <c r="A236" s="506" t="s">
        <v>268</v>
      </c>
      <c r="B236" s="513"/>
      <c r="C236" s="114"/>
    </row>
    <row r="237" spans="1:3" ht="32.4">
      <c r="A237" s="506" t="s">
        <v>270</v>
      </c>
      <c r="B237" s="513"/>
      <c r="C237" s="116"/>
    </row>
    <row r="238" spans="1:3" ht="24.6">
      <c r="A238" s="506" t="s">
        <v>67</v>
      </c>
      <c r="B238" s="513"/>
      <c r="C238" s="116"/>
    </row>
    <row r="239" spans="1:3" ht="24.6">
      <c r="A239" s="506" t="s">
        <v>267</v>
      </c>
      <c r="B239" s="507"/>
      <c r="C239" s="115"/>
    </row>
    <row r="240" spans="1:3" ht="24">
      <c r="A240" s="508" t="s">
        <v>374</v>
      </c>
      <c r="B240" s="509"/>
      <c r="C240" s="510"/>
    </row>
    <row r="241" spans="1:3" ht="22.8">
      <c r="A241" s="120" t="s">
        <v>269</v>
      </c>
      <c r="B241" s="511"/>
      <c r="C241" s="512"/>
    </row>
    <row r="242" spans="1:3" ht="22.8">
      <c r="A242" s="121" t="s">
        <v>71</v>
      </c>
      <c r="B242" s="122" t="s">
        <v>272</v>
      </c>
      <c r="C242" s="122" t="s">
        <v>273</v>
      </c>
    </row>
    <row r="243" spans="1:3" ht="22.8">
      <c r="A243" s="119">
        <v>1830</v>
      </c>
      <c r="B243" s="125"/>
      <c r="C243" s="124" t="s">
        <v>44</v>
      </c>
    </row>
    <row r="244" spans="1:3" ht="22.8">
      <c r="A244" s="119">
        <v>12400</v>
      </c>
      <c r="B244" s="125" t="s">
        <v>356</v>
      </c>
      <c r="C244" s="124" t="s">
        <v>389</v>
      </c>
    </row>
    <row r="245" spans="1:3" ht="22.8">
      <c r="A245" s="119">
        <v>50320</v>
      </c>
      <c r="B245" s="125" t="s">
        <v>380</v>
      </c>
      <c r="C245" s="124" t="s">
        <v>390</v>
      </c>
    </row>
    <row r="246" spans="1:3" ht="22.8">
      <c r="A246" s="119">
        <v>62300</v>
      </c>
      <c r="B246" s="125"/>
      <c r="C246" s="124" t="s">
        <v>391</v>
      </c>
    </row>
    <row r="247" spans="1:3" ht="22.8">
      <c r="A247" s="119">
        <v>61300</v>
      </c>
      <c r="B247" s="125" t="s">
        <v>352</v>
      </c>
      <c r="C247" s="124" t="s">
        <v>18</v>
      </c>
    </row>
    <row r="248" spans="1:3" ht="24.6">
      <c r="A248" s="506" t="s">
        <v>171</v>
      </c>
      <c r="B248" s="513"/>
      <c r="C248" s="118">
        <f>SUM(A243:A247)</f>
        <v>188150</v>
      </c>
    </row>
    <row r="249" spans="1:3" ht="24.6">
      <c r="A249" s="506" t="s">
        <v>271</v>
      </c>
      <c r="B249" s="513"/>
      <c r="C249" s="114"/>
    </row>
    <row r="250" spans="1:3" ht="24.6">
      <c r="A250" s="506" t="s">
        <v>268</v>
      </c>
      <c r="B250" s="513"/>
      <c r="C250" s="114"/>
    </row>
    <row r="251" spans="1:3" ht="32.4">
      <c r="A251" s="506" t="s">
        <v>270</v>
      </c>
      <c r="B251" s="513"/>
      <c r="C251" s="116"/>
    </row>
    <row r="252" spans="1:3" ht="24.6">
      <c r="A252" s="506" t="s">
        <v>67</v>
      </c>
      <c r="B252" s="513"/>
      <c r="C252" s="116"/>
    </row>
    <row r="253" spans="1:3" ht="24.6">
      <c r="A253" s="506" t="s">
        <v>267</v>
      </c>
      <c r="B253" s="507"/>
      <c r="C253" s="115"/>
    </row>
    <row r="254" spans="1:3" ht="24">
      <c r="A254" s="508" t="s">
        <v>375</v>
      </c>
      <c r="B254" s="509"/>
      <c r="C254" s="510"/>
    </row>
    <row r="255" spans="1:3" ht="22.8">
      <c r="A255" s="120" t="s">
        <v>269</v>
      </c>
      <c r="B255" s="511"/>
      <c r="C255" s="512"/>
    </row>
    <row r="256" spans="1:3" ht="22.8">
      <c r="A256" s="121" t="s">
        <v>71</v>
      </c>
      <c r="B256" s="122" t="s">
        <v>272</v>
      </c>
      <c r="C256" s="122" t="s">
        <v>273</v>
      </c>
    </row>
    <row r="257" spans="1:3" ht="22.8">
      <c r="A257" s="119">
        <v>1830</v>
      </c>
      <c r="B257" s="125"/>
      <c r="C257" s="124" t="s">
        <v>44</v>
      </c>
    </row>
    <row r="258" spans="1:3" ht="22.8">
      <c r="A258" s="119">
        <v>23700</v>
      </c>
      <c r="B258" s="125" t="s">
        <v>392</v>
      </c>
      <c r="C258" s="124" t="s">
        <v>393</v>
      </c>
    </row>
    <row r="259" spans="1:3" ht="22.8">
      <c r="A259" s="119">
        <v>3637</v>
      </c>
      <c r="B259" s="125"/>
      <c r="C259" s="124" t="s">
        <v>193</v>
      </c>
    </row>
    <row r="260" spans="1:3" ht="22.8">
      <c r="A260" s="119">
        <v>7207</v>
      </c>
      <c r="B260" s="125"/>
      <c r="C260" s="124" t="s">
        <v>114</v>
      </c>
    </row>
    <row r="261" spans="1:3" ht="22.8">
      <c r="A261" s="119">
        <v>31172</v>
      </c>
      <c r="B261" s="125" t="s">
        <v>394</v>
      </c>
      <c r="C261" s="124" t="s">
        <v>395</v>
      </c>
    </row>
    <row r="262" spans="1:3" ht="22.8">
      <c r="A262" s="119">
        <v>30800</v>
      </c>
      <c r="B262" s="125"/>
      <c r="C262" s="124" t="s">
        <v>397</v>
      </c>
    </row>
    <row r="263" spans="1:3" ht="22.8">
      <c r="A263" s="119">
        <v>46414</v>
      </c>
      <c r="B263" s="126" t="s">
        <v>308</v>
      </c>
      <c r="C263" s="124" t="s">
        <v>396</v>
      </c>
    </row>
    <row r="264" spans="1:3" ht="24.6">
      <c r="A264" s="506" t="s">
        <v>171</v>
      </c>
      <c r="B264" s="513"/>
      <c r="C264" s="118">
        <f>SUM(A257:A263)</f>
        <v>144760</v>
      </c>
    </row>
    <row r="265" spans="1:3" ht="24.6">
      <c r="A265" s="506" t="s">
        <v>271</v>
      </c>
      <c r="B265" s="513"/>
      <c r="C265" s="114"/>
    </row>
    <row r="266" spans="1:3" ht="24.6">
      <c r="A266" s="506" t="s">
        <v>268</v>
      </c>
      <c r="B266" s="513"/>
      <c r="C266" s="114"/>
    </row>
    <row r="267" spans="1:3" ht="32.4">
      <c r="A267" s="506" t="s">
        <v>270</v>
      </c>
      <c r="B267" s="513"/>
      <c r="C267" s="116"/>
    </row>
    <row r="268" spans="1:3" ht="24.6">
      <c r="A268" s="506" t="s">
        <v>67</v>
      </c>
      <c r="B268" s="513"/>
      <c r="C268" s="116"/>
    </row>
    <row r="269" spans="1:3" ht="24.6">
      <c r="A269" s="506" t="s">
        <v>267</v>
      </c>
      <c r="B269" s="507"/>
      <c r="C269" s="115"/>
    </row>
    <row r="270" spans="1:3" ht="24">
      <c r="A270" s="508" t="s">
        <v>376</v>
      </c>
      <c r="B270" s="509"/>
      <c r="C270" s="510"/>
    </row>
    <row r="271" spans="1:3" ht="22.8">
      <c r="A271" s="120" t="s">
        <v>269</v>
      </c>
      <c r="B271" s="511"/>
      <c r="C271" s="512"/>
    </row>
    <row r="272" spans="1:3" ht="22.8">
      <c r="A272" s="121" t="s">
        <v>71</v>
      </c>
      <c r="B272" s="122" t="s">
        <v>272</v>
      </c>
      <c r="C272" s="122" t="s">
        <v>273</v>
      </c>
    </row>
    <row r="273" spans="1:3" ht="22.8">
      <c r="A273" s="119">
        <v>1830</v>
      </c>
      <c r="B273" s="125"/>
      <c r="C273" s="124" t="s">
        <v>44</v>
      </c>
    </row>
    <row r="274" spans="1:3" ht="22.8">
      <c r="A274" s="119">
        <v>32160</v>
      </c>
      <c r="B274" s="125"/>
      <c r="C274" s="124" t="s">
        <v>398</v>
      </c>
    </row>
    <row r="275" spans="1:3" ht="22.8">
      <c r="A275" s="119">
        <v>2505</v>
      </c>
      <c r="B275" s="125"/>
      <c r="C275" s="124" t="s">
        <v>44</v>
      </c>
    </row>
    <row r="276" spans="1:3" ht="22.8">
      <c r="A276" s="119">
        <v>43024</v>
      </c>
      <c r="B276" s="125" t="s">
        <v>382</v>
      </c>
      <c r="C276" s="124" t="s">
        <v>399</v>
      </c>
    </row>
    <row r="277" spans="1:3" ht="22.8">
      <c r="A277" s="119">
        <v>64150</v>
      </c>
      <c r="B277" s="125" t="s">
        <v>356</v>
      </c>
      <c r="C277" s="124" t="s">
        <v>400</v>
      </c>
    </row>
    <row r="278" spans="1:3" ht="22.8">
      <c r="A278" s="119">
        <v>325300</v>
      </c>
      <c r="B278" s="125"/>
      <c r="C278" s="124" t="s">
        <v>402</v>
      </c>
    </row>
    <row r="279" spans="1:3" ht="22.8">
      <c r="A279" s="119">
        <v>88644</v>
      </c>
      <c r="B279" s="125" t="s">
        <v>334</v>
      </c>
      <c r="C279" s="124" t="s">
        <v>401</v>
      </c>
    </row>
    <row r="280" spans="1:3" ht="24.6">
      <c r="A280" s="506" t="s">
        <v>171</v>
      </c>
      <c r="B280" s="513"/>
      <c r="C280" s="118">
        <f>SUM(A273:A279)</f>
        <v>557613</v>
      </c>
    </row>
    <row r="281" spans="1:3" ht="24.6">
      <c r="A281" s="506" t="s">
        <v>271</v>
      </c>
      <c r="B281" s="513"/>
      <c r="C281" s="114"/>
    </row>
    <row r="282" spans="1:3" ht="24.6">
      <c r="A282" s="506" t="s">
        <v>268</v>
      </c>
      <c r="B282" s="513"/>
      <c r="C282" s="114"/>
    </row>
    <row r="283" spans="1:3" ht="32.4">
      <c r="A283" s="506" t="s">
        <v>270</v>
      </c>
      <c r="B283" s="513"/>
      <c r="C283" s="116"/>
    </row>
    <row r="284" spans="1:3" ht="24.6">
      <c r="A284" s="506" t="s">
        <v>67</v>
      </c>
      <c r="B284" s="513"/>
      <c r="C284" s="116"/>
    </row>
    <row r="285" spans="1:3" ht="24.6">
      <c r="A285" s="506" t="s">
        <v>267</v>
      </c>
      <c r="B285" s="507"/>
      <c r="C285" s="115"/>
    </row>
    <row r="286" spans="1:3" ht="24">
      <c r="A286" s="508" t="s">
        <v>378</v>
      </c>
      <c r="B286" s="509"/>
      <c r="C286" s="510"/>
    </row>
    <row r="287" spans="1:3" ht="22.8">
      <c r="A287" s="120" t="s">
        <v>269</v>
      </c>
      <c r="B287" s="511"/>
      <c r="C287" s="512"/>
    </row>
    <row r="288" spans="1:3" ht="22.8">
      <c r="A288" s="121" t="s">
        <v>71</v>
      </c>
      <c r="B288" s="122" t="s">
        <v>272</v>
      </c>
      <c r="C288" s="122" t="s">
        <v>273</v>
      </c>
    </row>
    <row r="289" spans="1:3" ht="22.8">
      <c r="A289" s="119">
        <v>37120</v>
      </c>
      <c r="B289" s="125"/>
      <c r="C289" s="124" t="s">
        <v>403</v>
      </c>
    </row>
    <row r="290" spans="1:3" ht="22.8">
      <c r="A290" s="119">
        <v>77125</v>
      </c>
      <c r="B290" s="125" t="s">
        <v>404</v>
      </c>
      <c r="C290" s="124" t="s">
        <v>405</v>
      </c>
    </row>
    <row r="291" spans="1:3" ht="22.8">
      <c r="A291" s="119">
        <v>3660</v>
      </c>
      <c r="B291" s="125"/>
      <c r="C291" s="124" t="s">
        <v>44</v>
      </c>
    </row>
    <row r="292" spans="1:3" ht="22.8">
      <c r="A292" s="119">
        <v>440</v>
      </c>
      <c r="B292" s="125" t="s">
        <v>153</v>
      </c>
      <c r="C292" s="124" t="s">
        <v>406</v>
      </c>
    </row>
    <row r="293" spans="1:3" ht="22.8">
      <c r="A293" s="119">
        <v>8910</v>
      </c>
      <c r="B293" s="125" t="s">
        <v>308</v>
      </c>
      <c r="C293" s="124" t="s">
        <v>407</v>
      </c>
    </row>
    <row r="294" spans="1:3" ht="22.8">
      <c r="A294" s="119">
        <v>290550</v>
      </c>
      <c r="B294" s="125"/>
      <c r="C294" s="124" t="s">
        <v>402</v>
      </c>
    </row>
    <row r="295" spans="1:3" ht="22.8">
      <c r="A295" s="119">
        <v>1000</v>
      </c>
      <c r="B295" s="125" t="s">
        <v>356</v>
      </c>
      <c r="C295" s="124" t="s">
        <v>408</v>
      </c>
    </row>
    <row r="296" spans="1:3" ht="24.6">
      <c r="A296" s="506" t="s">
        <v>171</v>
      </c>
      <c r="B296" s="513"/>
      <c r="C296" s="118">
        <f>SUM(A289:A295)</f>
        <v>418805</v>
      </c>
    </row>
    <row r="297" spans="1:3" ht="24.6">
      <c r="A297" s="506" t="s">
        <v>271</v>
      </c>
      <c r="B297" s="513"/>
      <c r="C297" s="114"/>
    </row>
    <row r="298" spans="1:3" ht="24.6">
      <c r="A298" s="506" t="s">
        <v>268</v>
      </c>
      <c r="B298" s="513"/>
      <c r="C298" s="114"/>
    </row>
    <row r="299" spans="1:3" ht="32.4">
      <c r="A299" s="506" t="s">
        <v>270</v>
      </c>
      <c r="B299" s="513"/>
      <c r="C299" s="116"/>
    </row>
    <row r="300" spans="1:3" ht="24.6">
      <c r="A300" s="506" t="s">
        <v>67</v>
      </c>
      <c r="B300" s="513"/>
      <c r="C300" s="116"/>
    </row>
    <row r="301" spans="1:3" ht="24.6">
      <c r="A301" s="506" t="s">
        <v>267</v>
      </c>
      <c r="B301" s="507"/>
      <c r="C301" s="115"/>
    </row>
    <row r="302" spans="1:3" ht="24">
      <c r="A302" s="508" t="s">
        <v>377</v>
      </c>
      <c r="B302" s="509"/>
      <c r="C302" s="510"/>
    </row>
    <row r="303" spans="1:3" ht="22.8">
      <c r="A303" s="120" t="s">
        <v>269</v>
      </c>
      <c r="B303" s="511"/>
      <c r="C303" s="512"/>
    </row>
    <row r="304" spans="1:3" ht="22.8">
      <c r="A304" s="121" t="s">
        <v>71</v>
      </c>
      <c r="B304" s="122" t="s">
        <v>272</v>
      </c>
      <c r="C304" s="122" t="s">
        <v>273</v>
      </c>
    </row>
    <row r="305" spans="1:3" ht="22.8">
      <c r="A305" s="119">
        <v>47100</v>
      </c>
      <c r="B305" s="125" t="s">
        <v>392</v>
      </c>
      <c r="C305" s="124" t="s">
        <v>409</v>
      </c>
    </row>
    <row r="306" spans="1:3" ht="22.8">
      <c r="A306" s="119">
        <v>1830</v>
      </c>
      <c r="B306" s="125"/>
      <c r="C306" s="124" t="s">
        <v>44</v>
      </c>
    </row>
    <row r="307" spans="1:3" ht="22.8">
      <c r="A307" s="119">
        <v>17400</v>
      </c>
      <c r="B307" s="125"/>
      <c r="C307" s="124" t="s">
        <v>410</v>
      </c>
    </row>
    <row r="308" spans="1:3" ht="22.8">
      <c r="A308" s="119">
        <v>62805</v>
      </c>
      <c r="B308" s="125" t="s">
        <v>81</v>
      </c>
      <c r="C308" s="124" t="s">
        <v>411</v>
      </c>
    </row>
    <row r="309" spans="1:3" ht="22.8">
      <c r="A309" s="119">
        <v>25104</v>
      </c>
      <c r="B309" s="125"/>
      <c r="C309" s="124" t="s">
        <v>412</v>
      </c>
    </row>
    <row r="310" spans="1:3" ht="22.8">
      <c r="A310" s="119">
        <v>32230</v>
      </c>
      <c r="B310" s="125" t="s">
        <v>321</v>
      </c>
      <c r="C310" s="124" t="s">
        <v>413</v>
      </c>
    </row>
    <row r="311" spans="1:3" ht="24.6">
      <c r="A311" s="506" t="s">
        <v>171</v>
      </c>
      <c r="B311" s="513"/>
      <c r="C311" s="118">
        <f t="shared" ref="C311" si="0">SUM(A305:A310)</f>
        <v>186469</v>
      </c>
    </row>
    <row r="312" spans="1:3" ht="24.6">
      <c r="A312" s="506" t="s">
        <v>271</v>
      </c>
      <c r="B312" s="513"/>
      <c r="C312" s="114"/>
    </row>
    <row r="313" spans="1:3" ht="24.6">
      <c r="A313" s="506" t="s">
        <v>268</v>
      </c>
      <c r="B313" s="513"/>
      <c r="C313" s="114"/>
    </row>
    <row r="314" spans="1:3" ht="32.4">
      <c r="A314" s="506" t="s">
        <v>270</v>
      </c>
      <c r="B314" s="513"/>
      <c r="C314" s="116"/>
    </row>
    <row r="315" spans="1:3" ht="24.6">
      <c r="A315" s="506" t="s">
        <v>67</v>
      </c>
      <c r="B315" s="513"/>
      <c r="C315" s="116"/>
    </row>
    <row r="316" spans="1:3" ht="24.6">
      <c r="A316" s="506" t="s">
        <v>267</v>
      </c>
      <c r="B316" s="507"/>
      <c r="C316" s="115"/>
    </row>
    <row r="317" spans="1:3" ht="24">
      <c r="A317" s="508" t="s">
        <v>416</v>
      </c>
      <c r="B317" s="509"/>
      <c r="C317" s="510"/>
    </row>
    <row r="318" spans="1:3" ht="22.8">
      <c r="A318" s="120" t="s">
        <v>269</v>
      </c>
      <c r="B318" s="511"/>
      <c r="C318" s="512"/>
    </row>
    <row r="319" spans="1:3" ht="22.8">
      <c r="A319" s="121" t="s">
        <v>71</v>
      </c>
      <c r="B319" s="122" t="s">
        <v>272</v>
      </c>
      <c r="C319" s="122" t="s">
        <v>273</v>
      </c>
    </row>
    <row r="320" spans="1:3" ht="22.8">
      <c r="A320" s="119">
        <v>27850</v>
      </c>
      <c r="B320" s="125"/>
      <c r="C320" s="124" t="s">
        <v>18</v>
      </c>
    </row>
    <row r="321" spans="1:3" ht="22.8">
      <c r="A321" s="119">
        <v>536391</v>
      </c>
      <c r="B321" s="125" t="s">
        <v>347</v>
      </c>
      <c r="C321" s="124" t="s">
        <v>17</v>
      </c>
    </row>
    <row r="322" spans="1:3" ht="22.8">
      <c r="A322" s="119">
        <v>1518</v>
      </c>
      <c r="B322" s="125"/>
      <c r="C322" s="124" t="s">
        <v>40</v>
      </c>
    </row>
    <row r="323" spans="1:3" ht="22.8">
      <c r="A323" s="119">
        <v>5894</v>
      </c>
      <c r="B323" s="125"/>
      <c r="C323" s="124" t="s">
        <v>193</v>
      </c>
    </row>
    <row r="324" spans="1:3" ht="24.6">
      <c r="A324" s="506" t="s">
        <v>171</v>
      </c>
      <c r="B324" s="513"/>
      <c r="C324" s="118">
        <f>SUM(A320:A323)</f>
        <v>571653</v>
      </c>
    </row>
    <row r="325" spans="1:3" ht="24.6">
      <c r="A325" s="506" t="s">
        <v>271</v>
      </c>
      <c r="B325" s="513"/>
      <c r="C325" s="114"/>
    </row>
    <row r="326" spans="1:3" ht="24.6">
      <c r="A326" s="506" t="s">
        <v>268</v>
      </c>
      <c r="B326" s="513"/>
      <c r="C326" s="114"/>
    </row>
    <row r="327" spans="1:3" ht="32.4">
      <c r="A327" s="506" t="s">
        <v>270</v>
      </c>
      <c r="B327" s="513"/>
      <c r="C327" s="116"/>
    </row>
    <row r="328" spans="1:3" ht="24.6">
      <c r="A328" s="506" t="s">
        <v>67</v>
      </c>
      <c r="B328" s="513"/>
      <c r="C328" s="116"/>
    </row>
    <row r="329" spans="1:3" ht="24.6">
      <c r="A329" s="506" t="s">
        <v>267</v>
      </c>
      <c r="B329" s="507"/>
      <c r="C329" s="115"/>
    </row>
    <row r="330" spans="1:3" ht="24">
      <c r="A330" s="508" t="s">
        <v>417</v>
      </c>
      <c r="B330" s="509"/>
      <c r="C330" s="510"/>
    </row>
    <row r="331" spans="1:3" ht="22.8">
      <c r="A331" s="120" t="s">
        <v>269</v>
      </c>
      <c r="B331" s="511"/>
      <c r="C331" s="512"/>
    </row>
    <row r="332" spans="1:3" ht="22.8">
      <c r="A332" s="121" t="s">
        <v>71</v>
      </c>
      <c r="B332" s="122" t="s">
        <v>272</v>
      </c>
      <c r="C332" s="122" t="s">
        <v>273</v>
      </c>
    </row>
    <row r="333" spans="1:3" ht="22.8">
      <c r="A333" s="119">
        <v>29800</v>
      </c>
      <c r="B333" s="125" t="s">
        <v>352</v>
      </c>
      <c r="C333" s="124" t="s">
        <v>18</v>
      </c>
    </row>
    <row r="334" spans="1:3" ht="22.8">
      <c r="A334" s="119">
        <v>29200</v>
      </c>
      <c r="B334" s="125" t="s">
        <v>380</v>
      </c>
      <c r="C334" s="124" t="s">
        <v>381</v>
      </c>
    </row>
    <row r="335" spans="1:3" ht="22.8">
      <c r="A335" s="119">
        <v>24000</v>
      </c>
      <c r="B335" s="125" t="s">
        <v>356</v>
      </c>
      <c r="C335" s="124" t="s">
        <v>418</v>
      </c>
    </row>
    <row r="336" spans="1:3" ht="22.8">
      <c r="A336" s="119">
        <v>37300</v>
      </c>
      <c r="B336" s="125" t="s">
        <v>356</v>
      </c>
      <c r="C336" s="124" t="s">
        <v>419</v>
      </c>
    </row>
    <row r="337" spans="1:3" ht="24.6">
      <c r="A337" s="506" t="s">
        <v>171</v>
      </c>
      <c r="B337" s="513"/>
      <c r="C337" s="118">
        <f>SUM(A333:A336)</f>
        <v>120300</v>
      </c>
    </row>
    <row r="338" spans="1:3" ht="24.6">
      <c r="A338" s="506" t="s">
        <v>271</v>
      </c>
      <c r="B338" s="513"/>
      <c r="C338" s="114"/>
    </row>
    <row r="339" spans="1:3" ht="24.6">
      <c r="A339" s="506" t="s">
        <v>268</v>
      </c>
      <c r="B339" s="513"/>
      <c r="C339" s="114"/>
    </row>
    <row r="340" spans="1:3" ht="32.4">
      <c r="A340" s="506" t="s">
        <v>270</v>
      </c>
      <c r="B340" s="513"/>
      <c r="C340" s="116"/>
    </row>
    <row r="341" spans="1:3" ht="24.6">
      <c r="A341" s="506" t="s">
        <v>67</v>
      </c>
      <c r="B341" s="513"/>
      <c r="C341" s="116"/>
    </row>
    <row r="342" spans="1:3" ht="24.6">
      <c r="A342" s="506" t="s">
        <v>267</v>
      </c>
      <c r="B342" s="507"/>
      <c r="C342" s="115"/>
    </row>
    <row r="343" spans="1:3" ht="24">
      <c r="A343" s="508" t="s">
        <v>420</v>
      </c>
      <c r="B343" s="509"/>
      <c r="C343" s="510"/>
    </row>
    <row r="344" spans="1:3" ht="22.8">
      <c r="A344" s="120" t="s">
        <v>269</v>
      </c>
      <c r="B344" s="511"/>
      <c r="C344" s="512"/>
    </row>
    <row r="345" spans="1:3" ht="22.8">
      <c r="A345" s="121" t="s">
        <v>71</v>
      </c>
      <c r="B345" s="122" t="s">
        <v>272</v>
      </c>
      <c r="C345" s="122" t="s">
        <v>273</v>
      </c>
    </row>
    <row r="346" spans="1:3" ht="22.8">
      <c r="A346" s="119">
        <v>17730</v>
      </c>
      <c r="B346" s="125" t="s">
        <v>81</v>
      </c>
      <c r="C346" s="124" t="s">
        <v>421</v>
      </c>
    </row>
    <row r="347" spans="1:3" ht="22.8">
      <c r="A347" s="119">
        <v>86800</v>
      </c>
      <c r="B347" s="125" t="s">
        <v>380</v>
      </c>
      <c r="C347" s="124" t="s">
        <v>422</v>
      </c>
    </row>
    <row r="348" spans="1:3" ht="24.6">
      <c r="A348" s="506" t="s">
        <v>171</v>
      </c>
      <c r="B348" s="513"/>
      <c r="C348" s="118">
        <f>SUM(A346:A347)</f>
        <v>104530</v>
      </c>
    </row>
    <row r="349" spans="1:3" ht="24.6">
      <c r="A349" s="506" t="s">
        <v>271</v>
      </c>
      <c r="B349" s="513"/>
      <c r="C349" s="114"/>
    </row>
    <row r="350" spans="1:3" ht="24.6">
      <c r="A350" s="506" t="s">
        <v>268</v>
      </c>
      <c r="B350" s="513"/>
      <c r="C350" s="114"/>
    </row>
    <row r="351" spans="1:3" ht="32.4">
      <c r="A351" s="506" t="s">
        <v>270</v>
      </c>
      <c r="B351" s="513"/>
      <c r="C351" s="116"/>
    </row>
    <row r="352" spans="1:3" ht="24.6">
      <c r="A352" s="506" t="s">
        <v>67</v>
      </c>
      <c r="B352" s="513"/>
      <c r="C352" s="116"/>
    </row>
    <row r="353" spans="1:3" ht="24.6">
      <c r="A353" s="506" t="s">
        <v>267</v>
      </c>
      <c r="B353" s="507"/>
      <c r="C353" s="115"/>
    </row>
    <row r="354" spans="1:3" ht="24">
      <c r="A354" s="508" t="s">
        <v>423</v>
      </c>
      <c r="B354" s="509"/>
      <c r="C354" s="510"/>
    </row>
    <row r="355" spans="1:3" ht="22.8">
      <c r="A355" s="120" t="s">
        <v>269</v>
      </c>
      <c r="B355" s="511"/>
      <c r="C355" s="512"/>
    </row>
    <row r="356" spans="1:3" ht="22.8">
      <c r="A356" s="121" t="s">
        <v>71</v>
      </c>
      <c r="B356" s="122" t="s">
        <v>272</v>
      </c>
      <c r="C356" s="122" t="s">
        <v>273</v>
      </c>
    </row>
    <row r="357" spans="1:3" ht="22.8">
      <c r="A357" s="119">
        <v>46300</v>
      </c>
      <c r="B357" s="125" t="s">
        <v>424</v>
      </c>
      <c r="C357" s="124" t="s">
        <v>425</v>
      </c>
    </row>
    <row r="358" spans="1:3" ht="22.8">
      <c r="A358" s="119">
        <v>16350</v>
      </c>
      <c r="B358" s="125"/>
      <c r="C358" s="124" t="s">
        <v>426</v>
      </c>
    </row>
    <row r="359" spans="1:3" ht="22.8">
      <c r="A359" s="119">
        <v>23500</v>
      </c>
      <c r="B359" s="125"/>
      <c r="C359" s="124" t="s">
        <v>427</v>
      </c>
    </row>
    <row r="360" spans="1:3" ht="22.8">
      <c r="A360" s="119">
        <v>49400</v>
      </c>
      <c r="B360" s="125" t="s">
        <v>428</v>
      </c>
      <c r="C360" s="124" t="s">
        <v>429</v>
      </c>
    </row>
    <row r="361" spans="1:3" ht="22.8">
      <c r="A361" s="119">
        <v>24510</v>
      </c>
      <c r="B361" s="125" t="s">
        <v>352</v>
      </c>
      <c r="C361" s="124" t="s">
        <v>18</v>
      </c>
    </row>
    <row r="362" spans="1:3" ht="24.6">
      <c r="A362" s="506" t="s">
        <v>171</v>
      </c>
      <c r="B362" s="513"/>
      <c r="C362" s="118">
        <f>SUM(A357:A361)</f>
        <v>160060</v>
      </c>
    </row>
    <row r="363" spans="1:3" ht="24.6">
      <c r="A363" s="506" t="s">
        <v>271</v>
      </c>
      <c r="B363" s="513"/>
      <c r="C363" s="114"/>
    </row>
    <row r="364" spans="1:3" ht="24.6">
      <c r="A364" s="506" t="s">
        <v>268</v>
      </c>
      <c r="B364" s="513"/>
      <c r="C364" s="114"/>
    </row>
    <row r="365" spans="1:3" ht="32.4">
      <c r="A365" s="506" t="s">
        <v>270</v>
      </c>
      <c r="B365" s="513"/>
      <c r="C365" s="116"/>
    </row>
    <row r="366" spans="1:3" ht="24.6">
      <c r="A366" s="506" t="s">
        <v>67</v>
      </c>
      <c r="B366" s="513"/>
      <c r="C366" s="116"/>
    </row>
    <row r="367" spans="1:3" ht="24.6">
      <c r="A367" s="506" t="s">
        <v>267</v>
      </c>
      <c r="B367" s="507"/>
      <c r="C367" s="115"/>
    </row>
    <row r="368" spans="1:3" ht="24">
      <c r="A368" s="508" t="s">
        <v>430</v>
      </c>
      <c r="B368" s="509"/>
      <c r="C368" s="510"/>
    </row>
    <row r="369" spans="1:3" ht="22.8">
      <c r="A369" s="120" t="s">
        <v>269</v>
      </c>
      <c r="B369" s="511"/>
      <c r="C369" s="512"/>
    </row>
    <row r="370" spans="1:3" ht="22.8">
      <c r="A370" s="121" t="s">
        <v>71</v>
      </c>
      <c r="B370" s="122" t="s">
        <v>272</v>
      </c>
      <c r="C370" s="122" t="s">
        <v>273</v>
      </c>
    </row>
    <row r="371" spans="1:3" ht="22.8">
      <c r="A371" s="119">
        <v>1874</v>
      </c>
      <c r="B371" s="125"/>
      <c r="C371" s="124" t="s">
        <v>431</v>
      </c>
    </row>
    <row r="372" spans="1:3" ht="22.8">
      <c r="A372" s="119">
        <v>73000</v>
      </c>
      <c r="B372" s="125"/>
      <c r="C372" s="124" t="s">
        <v>197</v>
      </c>
    </row>
    <row r="373" spans="1:3" ht="22.8">
      <c r="A373" s="119">
        <v>27300</v>
      </c>
      <c r="B373" s="125" t="s">
        <v>356</v>
      </c>
      <c r="C373" s="124" t="s">
        <v>385</v>
      </c>
    </row>
    <row r="374" spans="1:3" ht="22.8">
      <c r="A374" s="119">
        <v>44760</v>
      </c>
      <c r="B374" s="125" t="s">
        <v>428</v>
      </c>
      <c r="C374" s="124" t="s">
        <v>432</v>
      </c>
    </row>
    <row r="375" spans="1:3" ht="24.6">
      <c r="A375" s="506" t="s">
        <v>171</v>
      </c>
      <c r="B375" s="513"/>
      <c r="C375" s="118">
        <f>SUM(A371:A374)</f>
        <v>146934</v>
      </c>
    </row>
    <row r="376" spans="1:3" ht="24.6">
      <c r="A376" s="506" t="s">
        <v>271</v>
      </c>
      <c r="B376" s="513"/>
      <c r="C376" s="114"/>
    </row>
    <row r="377" spans="1:3" ht="24.6">
      <c r="A377" s="506" t="s">
        <v>268</v>
      </c>
      <c r="B377" s="513"/>
      <c r="C377" s="114"/>
    </row>
    <row r="378" spans="1:3" ht="32.4">
      <c r="A378" s="506" t="s">
        <v>270</v>
      </c>
      <c r="B378" s="513"/>
      <c r="C378" s="116"/>
    </row>
    <row r="379" spans="1:3" ht="24.6">
      <c r="A379" s="506" t="s">
        <v>67</v>
      </c>
      <c r="B379" s="513"/>
      <c r="C379" s="116"/>
    </row>
    <row r="380" spans="1:3" ht="24.6">
      <c r="A380" s="506" t="s">
        <v>267</v>
      </c>
      <c r="B380" s="507"/>
      <c r="C380" s="115"/>
    </row>
    <row r="381" spans="1:3" ht="24">
      <c r="A381" s="508" t="s">
        <v>433</v>
      </c>
      <c r="B381" s="509"/>
      <c r="C381" s="510"/>
    </row>
    <row r="382" spans="1:3" ht="22.8">
      <c r="A382" s="120" t="s">
        <v>269</v>
      </c>
      <c r="B382" s="511"/>
      <c r="C382" s="512"/>
    </row>
    <row r="383" spans="1:3" ht="22.8">
      <c r="A383" s="121" t="s">
        <v>71</v>
      </c>
      <c r="B383" s="122" t="s">
        <v>272</v>
      </c>
      <c r="C383" s="122" t="s">
        <v>273</v>
      </c>
    </row>
    <row r="384" spans="1:3" ht="22.8">
      <c r="A384" s="119">
        <v>3660</v>
      </c>
      <c r="B384" s="125"/>
      <c r="C384" s="124" t="s">
        <v>44</v>
      </c>
    </row>
    <row r="385" spans="1:3" ht="22.8">
      <c r="A385" s="119">
        <v>24000</v>
      </c>
      <c r="B385" s="125"/>
      <c r="C385" s="124" t="s">
        <v>434</v>
      </c>
    </row>
    <row r="386" spans="1:3" ht="22.8">
      <c r="A386" s="119">
        <v>92460</v>
      </c>
      <c r="B386" s="125"/>
      <c r="C386" s="124" t="s">
        <v>435</v>
      </c>
    </row>
    <row r="387" spans="1:3" ht="22.8">
      <c r="A387" s="119">
        <v>228500</v>
      </c>
      <c r="B387" s="125"/>
      <c r="C387" s="124" t="s">
        <v>436</v>
      </c>
    </row>
    <row r="388" spans="1:3" ht="24.6">
      <c r="A388" s="506" t="s">
        <v>171</v>
      </c>
      <c r="B388" s="513"/>
      <c r="C388" s="118">
        <f>SUM(A384:A387)</f>
        <v>348620</v>
      </c>
    </row>
    <row r="389" spans="1:3" ht="24.6">
      <c r="A389" s="506" t="s">
        <v>271</v>
      </c>
      <c r="B389" s="513"/>
      <c r="C389" s="114"/>
    </row>
    <row r="390" spans="1:3" ht="24.6">
      <c r="A390" s="506" t="s">
        <v>268</v>
      </c>
      <c r="B390" s="513"/>
      <c r="C390" s="114"/>
    </row>
    <row r="391" spans="1:3" ht="32.4">
      <c r="A391" s="506" t="s">
        <v>270</v>
      </c>
      <c r="B391" s="513"/>
      <c r="C391" s="116"/>
    </row>
    <row r="392" spans="1:3" ht="24.6">
      <c r="A392" s="506" t="s">
        <v>67</v>
      </c>
      <c r="B392" s="513"/>
      <c r="C392" s="116"/>
    </row>
    <row r="393" spans="1:3" ht="24.6">
      <c r="A393" s="506" t="s">
        <v>267</v>
      </c>
      <c r="B393" s="507"/>
      <c r="C393" s="115"/>
    </row>
    <row r="394" spans="1:3" ht="24">
      <c r="A394" s="508" t="s">
        <v>437</v>
      </c>
      <c r="B394" s="509"/>
      <c r="C394" s="510"/>
    </row>
    <row r="395" spans="1:3" ht="22.8">
      <c r="A395" s="120" t="s">
        <v>269</v>
      </c>
      <c r="B395" s="511"/>
      <c r="C395" s="512"/>
    </row>
    <row r="396" spans="1:3" ht="22.8">
      <c r="A396" s="121" t="s">
        <v>71</v>
      </c>
      <c r="B396" s="122" t="s">
        <v>272</v>
      </c>
      <c r="C396" s="122" t="s">
        <v>273</v>
      </c>
    </row>
    <row r="397" spans="1:3" ht="22.8">
      <c r="A397" s="119">
        <v>6031</v>
      </c>
      <c r="B397" s="125"/>
      <c r="C397" s="124" t="s">
        <v>180</v>
      </c>
    </row>
    <row r="398" spans="1:3" ht="22.8">
      <c r="A398" s="119">
        <v>47100</v>
      </c>
      <c r="B398" s="125"/>
      <c r="C398" s="124" t="s">
        <v>103</v>
      </c>
    </row>
    <row r="399" spans="1:3" ht="22.8">
      <c r="A399" s="119">
        <v>3660</v>
      </c>
      <c r="B399" s="125"/>
      <c r="C399" s="124" t="s">
        <v>44</v>
      </c>
    </row>
    <row r="400" spans="1:3" ht="22.8">
      <c r="A400" s="119">
        <v>65304</v>
      </c>
      <c r="B400" s="125"/>
      <c r="C400" s="124" t="s">
        <v>440</v>
      </c>
    </row>
    <row r="401" spans="1:3" ht="22.8">
      <c r="A401" s="119">
        <v>377964</v>
      </c>
      <c r="B401" s="125" t="s">
        <v>347</v>
      </c>
      <c r="C401" s="124" t="s">
        <v>17</v>
      </c>
    </row>
    <row r="402" spans="1:3" ht="22.8">
      <c r="A402" s="119">
        <v>77968</v>
      </c>
      <c r="B402" s="125"/>
      <c r="C402" s="124" t="s">
        <v>441</v>
      </c>
    </row>
    <row r="403" spans="1:3" ht="24.6">
      <c r="A403" s="506" t="s">
        <v>171</v>
      </c>
      <c r="B403" s="513"/>
      <c r="C403" s="118">
        <f>SUM(A397:A402)</f>
        <v>578027</v>
      </c>
    </row>
    <row r="404" spans="1:3" ht="24.6">
      <c r="A404" s="506" t="s">
        <v>271</v>
      </c>
      <c r="B404" s="513"/>
      <c r="C404" s="114"/>
    </row>
    <row r="405" spans="1:3" ht="24.6">
      <c r="A405" s="506" t="s">
        <v>268</v>
      </c>
      <c r="B405" s="513"/>
      <c r="C405" s="114"/>
    </row>
    <row r="406" spans="1:3" ht="32.4">
      <c r="A406" s="506" t="s">
        <v>270</v>
      </c>
      <c r="B406" s="513"/>
      <c r="C406" s="116"/>
    </row>
    <row r="407" spans="1:3" ht="24.6">
      <c r="A407" s="506" t="s">
        <v>67</v>
      </c>
      <c r="B407" s="513"/>
      <c r="C407" s="116"/>
    </row>
    <row r="408" spans="1:3" ht="24.6">
      <c r="A408" s="506" t="s">
        <v>267</v>
      </c>
      <c r="B408" s="507"/>
      <c r="C408" s="115"/>
    </row>
    <row r="409" spans="1:3" ht="24">
      <c r="A409" s="508" t="s">
        <v>438</v>
      </c>
      <c r="B409" s="509"/>
      <c r="C409" s="510"/>
    </row>
    <row r="410" spans="1:3" ht="22.8">
      <c r="A410" s="120" t="s">
        <v>269</v>
      </c>
      <c r="B410" s="511"/>
      <c r="C410" s="512"/>
    </row>
    <row r="411" spans="1:3" ht="22.8">
      <c r="A411" s="121" t="s">
        <v>71</v>
      </c>
      <c r="B411" s="122" t="s">
        <v>272</v>
      </c>
      <c r="C411" s="122" t="s">
        <v>273</v>
      </c>
    </row>
    <row r="412" spans="1:3" ht="22.8">
      <c r="A412" s="119">
        <v>237300</v>
      </c>
      <c r="B412" s="125" t="s">
        <v>124</v>
      </c>
      <c r="C412" s="124" t="s">
        <v>25</v>
      </c>
    </row>
    <row r="413" spans="1:3" ht="22.8">
      <c r="A413" s="119">
        <v>2350</v>
      </c>
      <c r="B413" s="125"/>
      <c r="C413" s="124" t="s">
        <v>442</v>
      </c>
    </row>
    <row r="414" spans="1:3" ht="22.8">
      <c r="A414" s="119">
        <v>41400</v>
      </c>
      <c r="B414" s="125"/>
      <c r="C414" s="124" t="s">
        <v>443</v>
      </c>
    </row>
    <row r="415" spans="1:3" ht="24.6">
      <c r="A415" s="506" t="s">
        <v>171</v>
      </c>
      <c r="B415" s="513"/>
      <c r="C415" s="118">
        <f>SUM(A412:A414)</f>
        <v>281050</v>
      </c>
    </row>
    <row r="416" spans="1:3" ht="24.6">
      <c r="A416" s="506" t="s">
        <v>271</v>
      </c>
      <c r="B416" s="513"/>
      <c r="C416" s="114"/>
    </row>
    <row r="417" spans="1:3" ht="24.6">
      <c r="A417" s="506" t="s">
        <v>268</v>
      </c>
      <c r="B417" s="513"/>
      <c r="C417" s="114"/>
    </row>
    <row r="418" spans="1:3" ht="32.4">
      <c r="A418" s="506" t="s">
        <v>270</v>
      </c>
      <c r="B418" s="513"/>
      <c r="C418" s="116"/>
    </row>
    <row r="419" spans="1:3" ht="24.6">
      <c r="A419" s="506" t="s">
        <v>67</v>
      </c>
      <c r="B419" s="513"/>
      <c r="C419" s="116"/>
    </row>
    <row r="420" spans="1:3" ht="24.6">
      <c r="A420" s="506" t="s">
        <v>267</v>
      </c>
      <c r="B420" s="507"/>
      <c r="C420" s="115"/>
    </row>
    <row r="421" spans="1:3" ht="24">
      <c r="A421" s="508" t="s">
        <v>439</v>
      </c>
      <c r="B421" s="509"/>
      <c r="C421" s="510"/>
    </row>
    <row r="422" spans="1:3" ht="22.8">
      <c r="A422" s="120" t="s">
        <v>269</v>
      </c>
      <c r="B422" s="511"/>
      <c r="C422" s="512"/>
    </row>
    <row r="423" spans="1:3" ht="22.8">
      <c r="A423" s="121" t="s">
        <v>71</v>
      </c>
      <c r="B423" s="122" t="s">
        <v>272</v>
      </c>
      <c r="C423" s="122" t="s">
        <v>273</v>
      </c>
    </row>
    <row r="424" spans="1:3" ht="22.8">
      <c r="A424" s="119">
        <v>132000</v>
      </c>
      <c r="B424" s="125"/>
      <c r="C424" s="124" t="s">
        <v>32</v>
      </c>
    </row>
    <row r="425" spans="1:3" ht="22.8">
      <c r="A425" s="119">
        <v>2897</v>
      </c>
      <c r="B425" s="125"/>
      <c r="C425" s="124" t="s">
        <v>193</v>
      </c>
    </row>
    <row r="426" spans="1:3" ht="22.8">
      <c r="A426" s="119">
        <v>49590</v>
      </c>
      <c r="B426" s="125"/>
      <c r="C426" s="124" t="s">
        <v>444</v>
      </c>
    </row>
    <row r="427" spans="1:3" ht="22.8">
      <c r="A427" s="119">
        <v>60340</v>
      </c>
      <c r="B427" s="125" t="s">
        <v>334</v>
      </c>
      <c r="C427" s="124" t="s">
        <v>446</v>
      </c>
    </row>
    <row r="428" spans="1:3" ht="22.8">
      <c r="A428" s="119">
        <v>34372</v>
      </c>
      <c r="B428" s="125"/>
      <c r="C428" s="124" t="s">
        <v>445</v>
      </c>
    </row>
    <row r="429" spans="1:3" ht="24.6">
      <c r="A429" s="506" t="s">
        <v>171</v>
      </c>
      <c r="B429" s="513"/>
      <c r="C429" s="118">
        <f>SUM(A424:A428)</f>
        <v>279199</v>
      </c>
    </row>
    <row r="430" spans="1:3" ht="24.6">
      <c r="A430" s="506" t="s">
        <v>271</v>
      </c>
      <c r="B430" s="513"/>
      <c r="C430" s="114"/>
    </row>
    <row r="431" spans="1:3" ht="24.6">
      <c r="A431" s="506" t="s">
        <v>268</v>
      </c>
      <c r="B431" s="513"/>
      <c r="C431" s="114"/>
    </row>
    <row r="432" spans="1:3" ht="32.4">
      <c r="A432" s="506" t="s">
        <v>270</v>
      </c>
      <c r="B432" s="513"/>
      <c r="C432" s="116"/>
    </row>
    <row r="433" spans="1:3" ht="24.6">
      <c r="A433" s="506" t="s">
        <v>67</v>
      </c>
      <c r="B433" s="513"/>
      <c r="C433" s="116"/>
    </row>
    <row r="434" spans="1:3" ht="24.6">
      <c r="A434" s="506" t="s">
        <v>267</v>
      </c>
      <c r="B434" s="507"/>
      <c r="C434" s="115"/>
    </row>
  </sheetData>
  <mergeCells count="255">
    <mergeCell ref="A434:B434"/>
    <mergeCell ref="A419:B419"/>
    <mergeCell ref="A420:B420"/>
    <mergeCell ref="A421:C421"/>
    <mergeCell ref="B422:C422"/>
    <mergeCell ref="A429:B429"/>
    <mergeCell ref="A430:B430"/>
    <mergeCell ref="A431:B431"/>
    <mergeCell ref="A432:B432"/>
    <mergeCell ref="A433:B433"/>
    <mergeCell ref="A406:B406"/>
    <mergeCell ref="A407:B407"/>
    <mergeCell ref="A408:B408"/>
    <mergeCell ref="A409:C409"/>
    <mergeCell ref="B410:C410"/>
    <mergeCell ref="A415:B415"/>
    <mergeCell ref="A416:B416"/>
    <mergeCell ref="A417:B417"/>
    <mergeCell ref="A418:B418"/>
    <mergeCell ref="A390:B390"/>
    <mergeCell ref="A391:B391"/>
    <mergeCell ref="A392:B392"/>
    <mergeCell ref="A393:B393"/>
    <mergeCell ref="A394:C394"/>
    <mergeCell ref="B395:C395"/>
    <mergeCell ref="A403:B403"/>
    <mergeCell ref="A404:B404"/>
    <mergeCell ref="A405:B405"/>
    <mergeCell ref="A376:B376"/>
    <mergeCell ref="A377:B377"/>
    <mergeCell ref="A378:B378"/>
    <mergeCell ref="A379:B379"/>
    <mergeCell ref="A380:B380"/>
    <mergeCell ref="A381:C381"/>
    <mergeCell ref="B382:C382"/>
    <mergeCell ref="A388:B388"/>
    <mergeCell ref="A389:B389"/>
    <mergeCell ref="A362:B362"/>
    <mergeCell ref="A363:B363"/>
    <mergeCell ref="A364:B364"/>
    <mergeCell ref="A365:B365"/>
    <mergeCell ref="A366:B366"/>
    <mergeCell ref="A367:B367"/>
    <mergeCell ref="A368:C368"/>
    <mergeCell ref="B369:C369"/>
    <mergeCell ref="A375:B375"/>
    <mergeCell ref="B344:C344"/>
    <mergeCell ref="A348:B348"/>
    <mergeCell ref="A349:B349"/>
    <mergeCell ref="A350:B350"/>
    <mergeCell ref="A351:B351"/>
    <mergeCell ref="A352:B352"/>
    <mergeCell ref="A353:B353"/>
    <mergeCell ref="A354:C354"/>
    <mergeCell ref="B355:C355"/>
    <mergeCell ref="A330:C330"/>
    <mergeCell ref="B331:C331"/>
    <mergeCell ref="A337:B337"/>
    <mergeCell ref="A338:B338"/>
    <mergeCell ref="A339:B339"/>
    <mergeCell ref="A340:B340"/>
    <mergeCell ref="A341:B341"/>
    <mergeCell ref="A342:B342"/>
    <mergeCell ref="A343:C343"/>
    <mergeCell ref="A197:B197"/>
    <mergeCell ref="A198:B198"/>
    <mergeCell ref="A199:B199"/>
    <mergeCell ref="A200:B200"/>
    <mergeCell ref="A185:B185"/>
    <mergeCell ref="A186:C186"/>
    <mergeCell ref="B187:C187"/>
    <mergeCell ref="A195:B195"/>
    <mergeCell ref="A196:B196"/>
    <mergeCell ref="A180:B180"/>
    <mergeCell ref="A181:B181"/>
    <mergeCell ref="A182:B182"/>
    <mergeCell ref="A183:B183"/>
    <mergeCell ref="A184:B184"/>
    <mergeCell ref="A170:B170"/>
    <mergeCell ref="A171:B171"/>
    <mergeCell ref="A172:B172"/>
    <mergeCell ref="A173:C173"/>
    <mergeCell ref="B174:C174"/>
    <mergeCell ref="A161:C161"/>
    <mergeCell ref="B162:C162"/>
    <mergeCell ref="A167:B167"/>
    <mergeCell ref="A168:B168"/>
    <mergeCell ref="A169:B169"/>
    <mergeCell ref="A132:B132"/>
    <mergeCell ref="A133:B133"/>
    <mergeCell ref="A134:B134"/>
    <mergeCell ref="A135:B135"/>
    <mergeCell ref="A136:B136"/>
    <mergeCell ref="A137:C137"/>
    <mergeCell ref="B138:C138"/>
    <mergeCell ref="A142:B142"/>
    <mergeCell ref="A143:B143"/>
    <mergeCell ref="A144:B144"/>
    <mergeCell ref="A145:B145"/>
    <mergeCell ref="A146:B146"/>
    <mergeCell ref="A147:B147"/>
    <mergeCell ref="A148:C148"/>
    <mergeCell ref="B149:C149"/>
    <mergeCell ref="A160:B160"/>
    <mergeCell ref="A155:B155"/>
    <mergeCell ref="A156:B156"/>
    <mergeCell ref="A157:B157"/>
    <mergeCell ref="A121:B121"/>
    <mergeCell ref="A122:C122"/>
    <mergeCell ref="A123:C123"/>
    <mergeCell ref="B124:C124"/>
    <mergeCell ref="A131:B131"/>
    <mergeCell ref="A118:B118"/>
    <mergeCell ref="A119:B119"/>
    <mergeCell ref="A120:B120"/>
    <mergeCell ref="A109:C109"/>
    <mergeCell ref="B110:C110"/>
    <mergeCell ref="A108:C108"/>
    <mergeCell ref="A116:B116"/>
    <mergeCell ref="A117:B117"/>
    <mergeCell ref="A29:C29"/>
    <mergeCell ref="A15:C15"/>
    <mergeCell ref="A104:B104"/>
    <mergeCell ref="A105:B105"/>
    <mergeCell ref="A106:B106"/>
    <mergeCell ref="A80:B80"/>
    <mergeCell ref="A81:B81"/>
    <mergeCell ref="B64:C64"/>
    <mergeCell ref="A76:B76"/>
    <mergeCell ref="A77:B77"/>
    <mergeCell ref="A78:B78"/>
    <mergeCell ref="A79:B79"/>
    <mergeCell ref="A58:B58"/>
    <mergeCell ref="A107:B107"/>
    <mergeCell ref="A44:C44"/>
    <mergeCell ref="A96:C96"/>
    <mergeCell ref="A97:C97"/>
    <mergeCell ref="B98:C98"/>
    <mergeCell ref="A102:B102"/>
    <mergeCell ref="A103:B103"/>
    <mergeCell ref="A82:C82"/>
    <mergeCell ref="A83:C83"/>
    <mergeCell ref="B84:C84"/>
    <mergeCell ref="A94:B94"/>
    <mergeCell ref="A95:B95"/>
    <mergeCell ref="A90:B90"/>
    <mergeCell ref="A91:B91"/>
    <mergeCell ref="A92:B92"/>
    <mergeCell ref="A93:B93"/>
    <mergeCell ref="A63:C63"/>
    <mergeCell ref="B46:C46"/>
    <mergeCell ref="A56:B56"/>
    <mergeCell ref="A57:B57"/>
    <mergeCell ref="A59:B59"/>
    <mergeCell ref="A60:B60"/>
    <mergeCell ref="A61:B61"/>
    <mergeCell ref="A26:B26"/>
    <mergeCell ref="A27:B27"/>
    <mergeCell ref="A28:B28"/>
    <mergeCell ref="A158:B158"/>
    <mergeCell ref="A159:B159"/>
    <mergeCell ref="A1:C1"/>
    <mergeCell ref="A30:C30"/>
    <mergeCell ref="B31:C31"/>
    <mergeCell ref="A38:B38"/>
    <mergeCell ref="A39:B39"/>
    <mergeCell ref="A16:C16"/>
    <mergeCell ref="B17:C17"/>
    <mergeCell ref="A23:B23"/>
    <mergeCell ref="B2:C2"/>
    <mergeCell ref="A10:B10"/>
    <mergeCell ref="A11:B11"/>
    <mergeCell ref="A12:B12"/>
    <mergeCell ref="A13:B13"/>
    <mergeCell ref="A9:B9"/>
    <mergeCell ref="A14:B14"/>
    <mergeCell ref="A24:B24"/>
    <mergeCell ref="A25:B25"/>
    <mergeCell ref="A40:B40"/>
    <mergeCell ref="A41:B41"/>
    <mergeCell ref="A42:B42"/>
    <mergeCell ref="A43:B43"/>
    <mergeCell ref="A45:C45"/>
    <mergeCell ref="A201:C201"/>
    <mergeCell ref="B202:C202"/>
    <mergeCell ref="A211:B211"/>
    <mergeCell ref="A212:B212"/>
    <mergeCell ref="A213:B213"/>
    <mergeCell ref="A214:B214"/>
    <mergeCell ref="A215:B215"/>
    <mergeCell ref="A216:B216"/>
    <mergeCell ref="A217:C217"/>
    <mergeCell ref="B218:C218"/>
    <mergeCell ref="A223:B223"/>
    <mergeCell ref="A224:B224"/>
    <mergeCell ref="A225:B225"/>
    <mergeCell ref="A226:B226"/>
    <mergeCell ref="A227:B227"/>
    <mergeCell ref="A228:B228"/>
    <mergeCell ref="A229:C229"/>
    <mergeCell ref="B230:C230"/>
    <mergeCell ref="A234:B234"/>
    <mergeCell ref="A235:B235"/>
    <mergeCell ref="A236:B236"/>
    <mergeCell ref="A237:B237"/>
    <mergeCell ref="A238:B238"/>
    <mergeCell ref="A239:B239"/>
    <mergeCell ref="A240:C240"/>
    <mergeCell ref="B241:C241"/>
    <mergeCell ref="A248:B248"/>
    <mergeCell ref="A249:B249"/>
    <mergeCell ref="A250:B250"/>
    <mergeCell ref="A251:B251"/>
    <mergeCell ref="A252:B252"/>
    <mergeCell ref="A253:B253"/>
    <mergeCell ref="A254:C254"/>
    <mergeCell ref="B255:C255"/>
    <mergeCell ref="A264:B264"/>
    <mergeCell ref="A265:B265"/>
    <mergeCell ref="A266:B266"/>
    <mergeCell ref="A267:B267"/>
    <mergeCell ref="A268:B268"/>
    <mergeCell ref="A269:B269"/>
    <mergeCell ref="A270:C270"/>
    <mergeCell ref="B271:C271"/>
    <mergeCell ref="A280:B280"/>
    <mergeCell ref="A281:B281"/>
    <mergeCell ref="A282:B282"/>
    <mergeCell ref="A283:B283"/>
    <mergeCell ref="A284:B284"/>
    <mergeCell ref="A285:B285"/>
    <mergeCell ref="A286:C286"/>
    <mergeCell ref="B287:C287"/>
    <mergeCell ref="A296:B296"/>
    <mergeCell ref="A297:B297"/>
    <mergeCell ref="A298:B298"/>
    <mergeCell ref="A299:B299"/>
    <mergeCell ref="A300:B300"/>
    <mergeCell ref="A301:B301"/>
    <mergeCell ref="A302:C302"/>
    <mergeCell ref="B303:C303"/>
    <mergeCell ref="A311:B311"/>
    <mergeCell ref="A312:B312"/>
    <mergeCell ref="A313:B313"/>
    <mergeCell ref="A314:B314"/>
    <mergeCell ref="A315:B315"/>
    <mergeCell ref="A316:B316"/>
    <mergeCell ref="A317:C317"/>
    <mergeCell ref="B318:C318"/>
    <mergeCell ref="A324:B324"/>
    <mergeCell ref="A325:B325"/>
    <mergeCell ref="A326:B326"/>
    <mergeCell ref="A327:B327"/>
    <mergeCell ref="A328:B328"/>
    <mergeCell ref="A329:B329"/>
  </mergeCells>
  <phoneticPr fontId="1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B02B-0193-274D-9786-C2BE0F15D07B}">
  <sheetPr codeName="Sheet5"/>
  <dimension ref="B2:H107"/>
  <sheetViews>
    <sheetView topLeftCell="B55" workbookViewId="0">
      <selection activeCell="G98" sqref="G98:G106"/>
    </sheetView>
  </sheetViews>
  <sheetFormatPr defaultColWidth="13.54296875" defaultRowHeight="29.1" customHeight="1"/>
  <cols>
    <col min="1" max="1" width="4.453125" style="1" customWidth="1"/>
    <col min="2" max="2" width="9.6328125" style="2" customWidth="1"/>
    <col min="3" max="3" width="11.453125" style="8" customWidth="1"/>
    <col min="4" max="4" width="6.6328125" style="9" customWidth="1"/>
    <col min="5" max="5" width="10" style="8" customWidth="1"/>
    <col min="6" max="6" width="10.90625" style="9" customWidth="1"/>
    <col min="7" max="7" width="11.36328125" style="1" customWidth="1"/>
    <col min="8" max="8" width="11.90625" style="1" customWidth="1"/>
    <col min="9" max="16384" width="13.54296875" style="1"/>
  </cols>
  <sheetData>
    <row r="2" spans="2:8" ht="29.1" customHeight="1">
      <c r="B2" s="14" t="s">
        <v>37</v>
      </c>
      <c r="C2" s="13">
        <v>400000</v>
      </c>
    </row>
    <row r="4" spans="2:8" ht="29.1" customHeight="1">
      <c r="B4" s="4" t="s">
        <v>0</v>
      </c>
      <c r="C4" s="5" t="s">
        <v>1</v>
      </c>
      <c r="D4" s="10" t="s">
        <v>3</v>
      </c>
      <c r="E4" s="5" t="s">
        <v>2</v>
      </c>
      <c r="F4" s="10" t="s">
        <v>6</v>
      </c>
      <c r="G4" s="4" t="s">
        <v>4</v>
      </c>
      <c r="H4" s="4" t="s">
        <v>5</v>
      </c>
    </row>
    <row r="5" spans="2:8" ht="29.1" customHeight="1">
      <c r="B5" s="6">
        <v>44866</v>
      </c>
      <c r="C5" s="7">
        <v>329962</v>
      </c>
      <c r="D5" s="12"/>
      <c r="E5" s="3">
        <v>410024</v>
      </c>
      <c r="F5" s="11" t="s">
        <v>17</v>
      </c>
      <c r="G5" s="3">
        <f>SUM(E5)</f>
        <v>410024</v>
      </c>
      <c r="H5" s="3">
        <f>C2+C5</f>
        <v>729962</v>
      </c>
    </row>
    <row r="6" spans="2:8" ht="29.1" customHeight="1">
      <c r="B6" s="6">
        <v>44867</v>
      </c>
      <c r="C6" s="7">
        <v>165251</v>
      </c>
      <c r="D6" s="11"/>
      <c r="E6" s="3">
        <v>94550</v>
      </c>
      <c r="F6" s="11" t="s">
        <v>39</v>
      </c>
      <c r="G6" s="3">
        <f>SUM(E6)</f>
        <v>94550</v>
      </c>
      <c r="H6" s="3">
        <f>H5+C6-D6-G6</f>
        <v>800663</v>
      </c>
    </row>
    <row r="7" spans="2:8" ht="29.1" customHeight="1">
      <c r="B7" s="6">
        <v>44868</v>
      </c>
      <c r="C7" s="7">
        <v>365411</v>
      </c>
      <c r="D7" s="11"/>
      <c r="E7" s="3">
        <v>135700</v>
      </c>
      <c r="F7" s="11" t="s">
        <v>38</v>
      </c>
      <c r="G7" s="3">
        <f>E7</f>
        <v>135700</v>
      </c>
      <c r="H7" s="3">
        <f>H6+C7-D7-G7</f>
        <v>1030374</v>
      </c>
    </row>
    <row r="8" spans="2:8" ht="29.1" customHeight="1">
      <c r="B8" s="519">
        <v>44869</v>
      </c>
      <c r="C8" s="530">
        <v>342540</v>
      </c>
      <c r="D8" s="523"/>
      <c r="E8" s="3">
        <v>92550</v>
      </c>
      <c r="F8" s="11" t="s">
        <v>38</v>
      </c>
      <c r="G8" s="521">
        <f>SUM(E8:E9)</f>
        <v>114440</v>
      </c>
      <c r="H8" s="3">
        <f>H7+C8-D8-G8</f>
        <v>1258474</v>
      </c>
    </row>
    <row r="9" spans="2:8" ht="29.1" customHeight="1">
      <c r="B9" s="525"/>
      <c r="C9" s="531"/>
      <c r="D9" s="527"/>
      <c r="E9" s="3">
        <v>21890</v>
      </c>
      <c r="F9" s="11" t="s">
        <v>9</v>
      </c>
      <c r="G9" s="529"/>
      <c r="H9" s="3">
        <f>H8+C9-D9-G9</f>
        <v>1258474</v>
      </c>
    </row>
    <row r="10" spans="2:8" ht="29.1" customHeight="1">
      <c r="B10" s="6">
        <v>44870</v>
      </c>
      <c r="C10" s="3">
        <v>343069</v>
      </c>
      <c r="D10" s="11"/>
      <c r="E10" s="3"/>
      <c r="F10" s="11"/>
      <c r="G10" s="3">
        <f>E10</f>
        <v>0</v>
      </c>
      <c r="H10" s="3">
        <f t="shared" ref="H10:H69" si="0">H9+C10-D10-G10</f>
        <v>1601543</v>
      </c>
    </row>
    <row r="11" spans="2:8" ht="29.1" customHeight="1">
      <c r="B11" s="6">
        <v>44871</v>
      </c>
      <c r="C11" s="3">
        <v>458613</v>
      </c>
      <c r="D11" s="11"/>
      <c r="E11" s="3">
        <v>64490</v>
      </c>
      <c r="F11" s="11" t="s">
        <v>39</v>
      </c>
      <c r="G11" s="3">
        <f t="shared" ref="G11:G13" si="1">E11</f>
        <v>64490</v>
      </c>
      <c r="H11" s="3">
        <f t="shared" si="0"/>
        <v>1995666</v>
      </c>
    </row>
    <row r="12" spans="2:8" ht="29.1" customHeight="1">
      <c r="B12" s="6">
        <v>44872</v>
      </c>
      <c r="C12" s="3">
        <v>314471</v>
      </c>
      <c r="D12" s="11"/>
      <c r="E12" s="3">
        <v>163470</v>
      </c>
      <c r="F12" s="11" t="s">
        <v>39</v>
      </c>
      <c r="G12" s="3">
        <f t="shared" si="1"/>
        <v>163470</v>
      </c>
      <c r="H12" s="3">
        <f t="shared" si="0"/>
        <v>2146667</v>
      </c>
    </row>
    <row r="13" spans="2:8" ht="29.1" customHeight="1">
      <c r="B13" s="15"/>
      <c r="C13" s="16"/>
      <c r="D13" s="11"/>
      <c r="E13" s="3">
        <v>544817</v>
      </c>
      <c r="F13" s="11" t="s">
        <v>17</v>
      </c>
      <c r="G13" s="3">
        <f t="shared" si="1"/>
        <v>544817</v>
      </c>
      <c r="H13" s="3"/>
    </row>
    <row r="14" spans="2:8" ht="29.1" customHeight="1">
      <c r="B14" s="519">
        <v>44873</v>
      </c>
      <c r="C14" s="521">
        <v>226228</v>
      </c>
      <c r="D14" s="11"/>
      <c r="E14" s="3">
        <v>30000</v>
      </c>
      <c r="F14" s="11" t="s">
        <v>7</v>
      </c>
      <c r="G14" s="521">
        <f>SUM(E14:E16)</f>
        <v>32990</v>
      </c>
      <c r="H14" s="3">
        <f>H12+C14-D14-G14</f>
        <v>2339905</v>
      </c>
    </row>
    <row r="15" spans="2:8" ht="29.1" customHeight="1">
      <c r="B15" s="520"/>
      <c r="C15" s="522"/>
      <c r="D15" s="11"/>
      <c r="E15" s="3">
        <v>1830</v>
      </c>
      <c r="F15" s="11" t="s">
        <v>8</v>
      </c>
      <c r="G15" s="528"/>
      <c r="H15" s="3">
        <f t="shared" si="0"/>
        <v>2339905</v>
      </c>
    </row>
    <row r="16" spans="2:8" ht="29.1" customHeight="1">
      <c r="B16" s="525"/>
      <c r="C16" s="526"/>
      <c r="D16" s="11"/>
      <c r="E16" s="3">
        <v>1160</v>
      </c>
      <c r="F16" s="11" t="s">
        <v>8</v>
      </c>
      <c r="G16" s="529"/>
      <c r="H16" s="3">
        <f t="shared" si="0"/>
        <v>2339905</v>
      </c>
    </row>
    <row r="17" spans="2:8" ht="29.1" customHeight="1">
      <c r="B17" s="6">
        <v>44874</v>
      </c>
      <c r="C17" s="3">
        <v>207346</v>
      </c>
      <c r="D17" s="11"/>
      <c r="E17" s="3">
        <v>10730</v>
      </c>
      <c r="F17" s="11" t="s">
        <v>10</v>
      </c>
      <c r="G17" s="3">
        <f>E17</f>
        <v>10730</v>
      </c>
      <c r="H17" s="3">
        <f t="shared" si="0"/>
        <v>2536521</v>
      </c>
    </row>
    <row r="18" spans="2:8" ht="29.1" customHeight="1">
      <c r="B18" s="519">
        <v>44875</v>
      </c>
      <c r="C18" s="521">
        <v>178730</v>
      </c>
      <c r="D18" s="11"/>
      <c r="E18" s="3">
        <v>2110</v>
      </c>
      <c r="F18" s="11" t="s">
        <v>8</v>
      </c>
      <c r="G18" s="521">
        <f>SUM(E18:E21)</f>
        <v>107702</v>
      </c>
      <c r="H18" s="3">
        <f t="shared" si="0"/>
        <v>2607549</v>
      </c>
    </row>
    <row r="19" spans="2:8" ht="29.1" customHeight="1">
      <c r="B19" s="520"/>
      <c r="C19" s="522"/>
      <c r="D19" s="11"/>
      <c r="E19" s="3">
        <v>1830</v>
      </c>
      <c r="F19" s="11" t="s">
        <v>8</v>
      </c>
      <c r="G19" s="528"/>
      <c r="H19" s="3">
        <f t="shared" si="0"/>
        <v>2607549</v>
      </c>
    </row>
    <row r="20" spans="2:8" ht="29.1" customHeight="1">
      <c r="B20" s="520"/>
      <c r="C20" s="522"/>
      <c r="D20" s="11"/>
      <c r="E20" s="3">
        <v>54700</v>
      </c>
      <c r="F20" s="11" t="s">
        <v>11</v>
      </c>
      <c r="G20" s="528"/>
      <c r="H20" s="3">
        <f t="shared" si="0"/>
        <v>2607549</v>
      </c>
    </row>
    <row r="21" spans="2:8" ht="29.1" customHeight="1">
      <c r="B21" s="525"/>
      <c r="C21" s="526"/>
      <c r="D21" s="11"/>
      <c r="E21" s="3">
        <v>49062</v>
      </c>
      <c r="F21" s="11" t="s">
        <v>12</v>
      </c>
      <c r="G21" s="529"/>
      <c r="H21" s="3">
        <f t="shared" si="0"/>
        <v>2607549</v>
      </c>
    </row>
    <row r="22" spans="2:8" ht="29.1" customHeight="1">
      <c r="B22" s="519">
        <v>44876</v>
      </c>
      <c r="C22" s="521">
        <v>302120</v>
      </c>
      <c r="D22" s="523">
        <v>9888</v>
      </c>
      <c r="E22" s="3">
        <v>43160</v>
      </c>
      <c r="F22" s="11" t="s">
        <v>13</v>
      </c>
      <c r="G22" s="521">
        <f>SUM(E22:E26)</f>
        <v>92176</v>
      </c>
      <c r="H22" s="3">
        <f t="shared" si="0"/>
        <v>2807605</v>
      </c>
    </row>
    <row r="23" spans="2:8" ht="29.1" customHeight="1">
      <c r="B23" s="520"/>
      <c r="C23" s="522"/>
      <c r="D23" s="524"/>
      <c r="E23" s="3">
        <v>21130</v>
      </c>
      <c r="F23" s="11" t="s">
        <v>9</v>
      </c>
      <c r="G23" s="528"/>
      <c r="H23" s="3">
        <f t="shared" si="0"/>
        <v>2807605</v>
      </c>
    </row>
    <row r="24" spans="2:8" ht="29.1" customHeight="1">
      <c r="B24" s="520"/>
      <c r="C24" s="522"/>
      <c r="D24" s="524"/>
      <c r="E24" s="3">
        <v>23668</v>
      </c>
      <c r="F24" s="11" t="s">
        <v>14</v>
      </c>
      <c r="G24" s="528"/>
      <c r="H24" s="3">
        <f t="shared" si="0"/>
        <v>2807605</v>
      </c>
    </row>
    <row r="25" spans="2:8" ht="29.1" customHeight="1">
      <c r="B25" s="520"/>
      <c r="C25" s="522"/>
      <c r="D25" s="524"/>
      <c r="E25" s="3">
        <v>1830</v>
      </c>
      <c r="F25" s="11" t="s">
        <v>15</v>
      </c>
      <c r="G25" s="528"/>
      <c r="H25" s="3">
        <f t="shared" si="0"/>
        <v>2807605</v>
      </c>
    </row>
    <row r="26" spans="2:8" ht="29.1" customHeight="1">
      <c r="B26" s="525"/>
      <c r="C26" s="526"/>
      <c r="D26" s="527"/>
      <c r="E26" s="3">
        <v>2388</v>
      </c>
      <c r="F26" s="11" t="s">
        <v>16</v>
      </c>
      <c r="G26" s="529"/>
      <c r="H26" s="3" t="e">
        <f>#REF!+C26-D26-G26</f>
        <v>#REF!</v>
      </c>
    </row>
    <row r="27" spans="2:8" ht="29.1" customHeight="1">
      <c r="B27" s="519">
        <v>44877</v>
      </c>
      <c r="C27" s="521">
        <v>417626</v>
      </c>
      <c r="D27" s="523"/>
      <c r="E27" s="3">
        <v>572505</v>
      </c>
      <c r="F27" s="11" t="s">
        <v>17</v>
      </c>
      <c r="G27" s="521">
        <f>SUM(E27:E34)</f>
        <v>967537</v>
      </c>
      <c r="H27" s="3" t="e">
        <f t="shared" si="0"/>
        <v>#REF!</v>
      </c>
    </row>
    <row r="28" spans="2:8" ht="29.1" customHeight="1">
      <c r="B28" s="520"/>
      <c r="C28" s="522"/>
      <c r="D28" s="524"/>
      <c r="E28" s="3">
        <v>29000</v>
      </c>
      <c r="F28" s="11" t="s">
        <v>18</v>
      </c>
      <c r="G28" s="528"/>
      <c r="H28" s="3" t="e">
        <f t="shared" si="0"/>
        <v>#REF!</v>
      </c>
    </row>
    <row r="29" spans="2:8" ht="29.1" customHeight="1">
      <c r="B29" s="520"/>
      <c r="C29" s="522"/>
      <c r="D29" s="524"/>
      <c r="E29" s="3">
        <v>249100</v>
      </c>
      <c r="F29" s="11" t="s">
        <v>19</v>
      </c>
      <c r="G29" s="528"/>
      <c r="H29" s="3" t="e">
        <f t="shared" si="0"/>
        <v>#REF!</v>
      </c>
    </row>
    <row r="30" spans="2:8" ht="29.1" customHeight="1">
      <c r="B30" s="520"/>
      <c r="C30" s="522"/>
      <c r="D30" s="524"/>
      <c r="E30" s="3">
        <v>8000</v>
      </c>
      <c r="F30" s="11" t="s">
        <v>18</v>
      </c>
      <c r="G30" s="528"/>
      <c r="H30" s="3" t="e">
        <f t="shared" si="0"/>
        <v>#REF!</v>
      </c>
    </row>
    <row r="31" spans="2:8" ht="29.1" customHeight="1">
      <c r="B31" s="520"/>
      <c r="C31" s="522"/>
      <c r="D31" s="524"/>
      <c r="E31" s="3">
        <v>43110</v>
      </c>
      <c r="F31" s="11" t="s">
        <v>20</v>
      </c>
      <c r="G31" s="528"/>
      <c r="H31" s="3" t="e">
        <f t="shared" si="0"/>
        <v>#REF!</v>
      </c>
    </row>
    <row r="32" spans="2:8" ht="29.1" customHeight="1">
      <c r="B32" s="520"/>
      <c r="C32" s="522"/>
      <c r="D32" s="524"/>
      <c r="E32" s="3">
        <v>64490</v>
      </c>
      <c r="F32" s="11" t="s">
        <v>38</v>
      </c>
      <c r="G32" s="528"/>
      <c r="H32" s="3" t="e">
        <f t="shared" si="0"/>
        <v>#REF!</v>
      </c>
    </row>
    <row r="33" spans="2:8" ht="29.1" customHeight="1">
      <c r="B33" s="520"/>
      <c r="C33" s="522"/>
      <c r="D33" s="524"/>
      <c r="E33" s="3">
        <v>770</v>
      </c>
      <c r="F33" s="11" t="s">
        <v>21</v>
      </c>
      <c r="G33" s="528"/>
      <c r="H33" s="3" t="e">
        <f t="shared" si="0"/>
        <v>#REF!</v>
      </c>
    </row>
    <row r="34" spans="2:8" ht="29.1" customHeight="1">
      <c r="B34" s="525"/>
      <c r="C34" s="526"/>
      <c r="D34" s="527"/>
      <c r="E34" s="3">
        <v>562</v>
      </c>
      <c r="F34" s="11" t="s">
        <v>21</v>
      </c>
      <c r="G34" s="529"/>
      <c r="H34" s="3" t="e">
        <f t="shared" si="0"/>
        <v>#REF!</v>
      </c>
    </row>
    <row r="35" spans="2:8" ht="29.1" customHeight="1">
      <c r="B35" s="519">
        <v>44878</v>
      </c>
      <c r="C35" s="521">
        <v>414182</v>
      </c>
      <c r="D35" s="523"/>
      <c r="E35" s="3">
        <v>163470</v>
      </c>
      <c r="F35" s="11" t="s">
        <v>38</v>
      </c>
      <c r="G35" s="521">
        <f>SUM(E35:E38)</f>
        <v>356100</v>
      </c>
      <c r="H35" s="3" t="e">
        <f t="shared" si="0"/>
        <v>#REF!</v>
      </c>
    </row>
    <row r="36" spans="2:8" ht="29.1" customHeight="1">
      <c r="B36" s="520"/>
      <c r="C36" s="522"/>
      <c r="D36" s="524"/>
      <c r="E36" s="3">
        <v>188620</v>
      </c>
      <c r="F36" s="11" t="s">
        <v>22</v>
      </c>
      <c r="G36" s="528"/>
      <c r="H36" s="3" t="e">
        <f t="shared" si="0"/>
        <v>#REF!</v>
      </c>
    </row>
    <row r="37" spans="2:8" ht="29.1" customHeight="1">
      <c r="B37" s="520"/>
      <c r="C37" s="522"/>
      <c r="D37" s="524"/>
      <c r="E37" s="3">
        <v>2400</v>
      </c>
      <c r="F37" s="11" t="s">
        <v>36</v>
      </c>
      <c r="G37" s="528"/>
      <c r="H37" s="3" t="e">
        <f t="shared" si="0"/>
        <v>#REF!</v>
      </c>
    </row>
    <row r="38" spans="2:8" ht="29.1" customHeight="1">
      <c r="B38" s="525"/>
      <c r="C38" s="526"/>
      <c r="D38" s="527"/>
      <c r="E38" s="3">
        <v>1610</v>
      </c>
      <c r="F38" s="11" t="s">
        <v>8</v>
      </c>
      <c r="G38" s="529"/>
      <c r="H38" s="3" t="e">
        <f t="shared" si="0"/>
        <v>#REF!</v>
      </c>
    </row>
    <row r="39" spans="2:8" ht="29.1" customHeight="1">
      <c r="B39" s="6">
        <v>44879</v>
      </c>
      <c r="C39" s="3">
        <v>187564</v>
      </c>
      <c r="D39" s="11"/>
      <c r="E39" s="3"/>
      <c r="F39" s="11"/>
      <c r="G39" s="3">
        <f>E39</f>
        <v>0</v>
      </c>
      <c r="H39" s="3" t="e">
        <f t="shared" si="0"/>
        <v>#REF!</v>
      </c>
    </row>
    <row r="40" spans="2:8" ht="29.1" customHeight="1">
      <c r="B40" s="519">
        <v>44880</v>
      </c>
      <c r="C40" s="521">
        <v>251319</v>
      </c>
      <c r="D40" s="523">
        <v>2947</v>
      </c>
      <c r="E40" s="3">
        <v>1654</v>
      </c>
      <c r="F40" s="11" t="s">
        <v>21</v>
      </c>
      <c r="G40" s="521">
        <f>SUM(E40:E45)</f>
        <v>36126</v>
      </c>
      <c r="H40" s="3" t="e">
        <f t="shared" si="0"/>
        <v>#REF!</v>
      </c>
    </row>
    <row r="41" spans="2:8" ht="29.1" customHeight="1">
      <c r="B41" s="520"/>
      <c r="C41" s="522"/>
      <c r="D41" s="524"/>
      <c r="E41" s="3">
        <v>7980</v>
      </c>
      <c r="F41" s="11" t="s">
        <v>21</v>
      </c>
      <c r="G41" s="528"/>
      <c r="H41" s="3" t="e">
        <f t="shared" si="0"/>
        <v>#REF!</v>
      </c>
    </row>
    <row r="42" spans="2:8" ht="29.1" customHeight="1">
      <c r="B42" s="520"/>
      <c r="C42" s="522"/>
      <c r="D42" s="524"/>
      <c r="E42" s="3">
        <v>10802</v>
      </c>
      <c r="F42" s="11" t="s">
        <v>24</v>
      </c>
      <c r="G42" s="528"/>
      <c r="H42" s="3" t="e">
        <f t="shared" si="0"/>
        <v>#REF!</v>
      </c>
    </row>
    <row r="43" spans="2:8" ht="29.1" customHeight="1">
      <c r="B43" s="520"/>
      <c r="C43" s="522"/>
      <c r="D43" s="524"/>
      <c r="E43" s="3">
        <v>1830</v>
      </c>
      <c r="F43" s="11" t="s">
        <v>8</v>
      </c>
      <c r="G43" s="528"/>
      <c r="H43" s="3" t="e">
        <f t="shared" si="0"/>
        <v>#REF!</v>
      </c>
    </row>
    <row r="44" spans="2:8" ht="29.1" customHeight="1">
      <c r="B44" s="520"/>
      <c r="C44" s="522"/>
      <c r="D44" s="524"/>
      <c r="E44" s="3">
        <v>1830</v>
      </c>
      <c r="F44" s="11" t="s">
        <v>8</v>
      </c>
      <c r="G44" s="528"/>
      <c r="H44" s="3" t="e">
        <f t="shared" si="0"/>
        <v>#REF!</v>
      </c>
    </row>
    <row r="45" spans="2:8" ht="29.1" customHeight="1">
      <c r="B45" s="525"/>
      <c r="C45" s="526"/>
      <c r="D45" s="527"/>
      <c r="E45" s="3">
        <v>12030</v>
      </c>
      <c r="F45" s="11" t="s">
        <v>10</v>
      </c>
      <c r="G45" s="529"/>
      <c r="H45" s="3" t="e">
        <f t="shared" si="0"/>
        <v>#REF!</v>
      </c>
    </row>
    <row r="46" spans="2:8" ht="29.1" customHeight="1">
      <c r="B46" s="6">
        <v>44881</v>
      </c>
      <c r="C46" s="3">
        <v>230717</v>
      </c>
      <c r="D46" s="11">
        <v>15480</v>
      </c>
      <c r="E46" s="3">
        <v>12030</v>
      </c>
      <c r="F46" s="11" t="s">
        <v>10</v>
      </c>
      <c r="G46" s="3">
        <f>E46</f>
        <v>12030</v>
      </c>
      <c r="H46" s="3" t="e">
        <f t="shared" si="0"/>
        <v>#REF!</v>
      </c>
    </row>
    <row r="47" spans="2:8" ht="29.1" customHeight="1">
      <c r="B47" s="519">
        <v>44882</v>
      </c>
      <c r="C47" s="521">
        <v>145887</v>
      </c>
      <c r="D47" s="523">
        <v>1703</v>
      </c>
      <c r="E47" s="3">
        <v>112985</v>
      </c>
      <c r="F47" s="11" t="s">
        <v>22</v>
      </c>
      <c r="G47" s="521">
        <f>SUM(E47:E50)</f>
        <v>377170</v>
      </c>
      <c r="H47" s="3" t="e">
        <f t="shared" si="0"/>
        <v>#REF!</v>
      </c>
    </row>
    <row r="48" spans="2:8" ht="29.1" customHeight="1">
      <c r="B48" s="520"/>
      <c r="C48" s="522"/>
      <c r="D48" s="524"/>
      <c r="E48" s="3">
        <v>72985</v>
      </c>
      <c r="F48" s="11" t="s">
        <v>19</v>
      </c>
      <c r="G48" s="528"/>
      <c r="H48" s="3" t="e">
        <f t="shared" si="0"/>
        <v>#REF!</v>
      </c>
    </row>
    <row r="49" spans="2:8" ht="29.1" customHeight="1">
      <c r="B49" s="520"/>
      <c r="C49" s="522"/>
      <c r="D49" s="524"/>
      <c r="E49" s="3">
        <v>182450</v>
      </c>
      <c r="F49" s="11" t="s">
        <v>25</v>
      </c>
      <c r="G49" s="528"/>
      <c r="H49" s="3" t="e">
        <f t="shared" si="0"/>
        <v>#REF!</v>
      </c>
    </row>
    <row r="50" spans="2:8" ht="29.1" customHeight="1">
      <c r="B50" s="520"/>
      <c r="C50" s="522"/>
      <c r="D50" s="524"/>
      <c r="E50" s="3">
        <v>8750</v>
      </c>
      <c r="F50" s="11" t="s">
        <v>21</v>
      </c>
      <c r="G50" s="528"/>
      <c r="H50" s="3" t="e">
        <f t="shared" si="0"/>
        <v>#REF!</v>
      </c>
    </row>
    <row r="51" spans="2:8" ht="29.1" customHeight="1">
      <c r="B51" s="519">
        <v>44883</v>
      </c>
      <c r="C51" s="521">
        <v>240667</v>
      </c>
      <c r="D51" s="523"/>
      <c r="E51" s="3">
        <v>150280</v>
      </c>
      <c r="F51" s="11" t="s">
        <v>38</v>
      </c>
      <c r="G51" s="521">
        <f>SUM(E51:E52)</f>
        <v>161010</v>
      </c>
      <c r="H51" s="3" t="e">
        <f>#REF!+C51-D51-G51</f>
        <v>#REF!</v>
      </c>
    </row>
    <row r="52" spans="2:8" ht="29.1" customHeight="1">
      <c r="B52" s="525"/>
      <c r="C52" s="526"/>
      <c r="D52" s="527"/>
      <c r="E52" s="3">
        <v>10730</v>
      </c>
      <c r="F52" s="11" t="s">
        <v>10</v>
      </c>
      <c r="G52" s="529"/>
      <c r="H52" s="3" t="e">
        <f t="shared" si="0"/>
        <v>#REF!</v>
      </c>
    </row>
    <row r="53" spans="2:8" ht="29.1" customHeight="1">
      <c r="B53" s="519">
        <v>44884</v>
      </c>
      <c r="C53" s="521">
        <v>453822</v>
      </c>
      <c r="D53" s="523"/>
      <c r="E53" s="3">
        <v>92160</v>
      </c>
      <c r="F53" s="11" t="s">
        <v>26</v>
      </c>
      <c r="G53" s="521">
        <f>SUM(E53:E57)</f>
        <v>120356</v>
      </c>
      <c r="H53" s="3" t="e">
        <f t="shared" si="0"/>
        <v>#REF!</v>
      </c>
    </row>
    <row r="54" spans="2:8" ht="29.1" customHeight="1">
      <c r="B54" s="520"/>
      <c r="C54" s="522"/>
      <c r="D54" s="524"/>
      <c r="E54" s="3">
        <v>15906</v>
      </c>
      <c r="F54" s="11" t="s">
        <v>27</v>
      </c>
      <c r="G54" s="528"/>
      <c r="H54" s="3" t="e">
        <f t="shared" si="0"/>
        <v>#REF!</v>
      </c>
    </row>
    <row r="55" spans="2:8" ht="29.1" customHeight="1">
      <c r="B55" s="520"/>
      <c r="C55" s="522"/>
      <c r="D55" s="524"/>
      <c r="E55" s="3">
        <v>5000</v>
      </c>
      <c r="F55" s="11" t="s">
        <v>28</v>
      </c>
      <c r="G55" s="528"/>
      <c r="H55" s="3" t="e">
        <f t="shared" si="0"/>
        <v>#REF!</v>
      </c>
    </row>
    <row r="56" spans="2:8" ht="29.1" customHeight="1">
      <c r="B56" s="520"/>
      <c r="C56" s="522"/>
      <c r="D56" s="524"/>
      <c r="E56" s="3">
        <v>4856</v>
      </c>
      <c r="F56" s="11" t="s">
        <v>23</v>
      </c>
      <c r="G56" s="528"/>
      <c r="H56" s="3" t="e">
        <f t="shared" si="0"/>
        <v>#REF!</v>
      </c>
    </row>
    <row r="57" spans="2:8" ht="29.1" customHeight="1">
      <c r="B57" s="525"/>
      <c r="C57" s="526"/>
      <c r="D57" s="527"/>
      <c r="E57" s="3">
        <v>2434</v>
      </c>
      <c r="F57" s="11" t="s">
        <v>29</v>
      </c>
      <c r="G57" s="529"/>
      <c r="H57" s="3" t="e">
        <f t="shared" si="0"/>
        <v>#REF!</v>
      </c>
    </row>
    <row r="58" spans="2:8" ht="29.1" customHeight="1">
      <c r="B58" s="519">
        <v>44885</v>
      </c>
      <c r="C58" s="521">
        <v>402432</v>
      </c>
      <c r="D58" s="523"/>
      <c r="E58" s="3">
        <v>39400</v>
      </c>
      <c r="F58" s="11" t="s">
        <v>12</v>
      </c>
      <c r="G58" s="521">
        <f>SUM(E58:E62)</f>
        <v>192230</v>
      </c>
      <c r="H58" s="3" t="e">
        <f t="shared" si="0"/>
        <v>#REF!</v>
      </c>
    </row>
    <row r="59" spans="2:8" ht="29.1" customHeight="1">
      <c r="B59" s="520"/>
      <c r="C59" s="522"/>
      <c r="D59" s="524"/>
      <c r="E59" s="3">
        <v>43660</v>
      </c>
      <c r="F59" s="11" t="s">
        <v>22</v>
      </c>
      <c r="G59" s="528"/>
      <c r="H59" s="3" t="e">
        <f t="shared" si="0"/>
        <v>#REF!</v>
      </c>
    </row>
    <row r="60" spans="2:8" ht="29.1" customHeight="1">
      <c r="B60" s="520"/>
      <c r="C60" s="522"/>
      <c r="D60" s="524"/>
      <c r="E60" s="3">
        <v>22900</v>
      </c>
      <c r="F60" s="11" t="s">
        <v>30</v>
      </c>
      <c r="G60" s="528"/>
      <c r="H60" s="3" t="e">
        <f t="shared" si="0"/>
        <v>#REF!</v>
      </c>
    </row>
    <row r="61" spans="2:8" ht="29.1" customHeight="1">
      <c r="B61" s="520"/>
      <c r="C61" s="522"/>
      <c r="D61" s="524"/>
      <c r="E61" s="3">
        <v>43160</v>
      </c>
      <c r="F61" s="11" t="s">
        <v>13</v>
      </c>
      <c r="G61" s="528"/>
      <c r="H61" s="3" t="e">
        <f t="shared" si="0"/>
        <v>#REF!</v>
      </c>
    </row>
    <row r="62" spans="2:8" ht="29.1" customHeight="1">
      <c r="B62" s="525"/>
      <c r="C62" s="526"/>
      <c r="D62" s="527"/>
      <c r="E62" s="3">
        <v>43110</v>
      </c>
      <c r="F62" s="11" t="s">
        <v>31</v>
      </c>
      <c r="G62" s="529"/>
      <c r="H62" s="3" t="e">
        <f t="shared" si="0"/>
        <v>#REF!</v>
      </c>
    </row>
    <row r="63" spans="2:8" ht="29.1" customHeight="1">
      <c r="B63" s="519">
        <v>44886</v>
      </c>
      <c r="C63" s="521">
        <v>203345</v>
      </c>
      <c r="D63" s="523"/>
      <c r="E63" s="3">
        <v>130000</v>
      </c>
      <c r="F63" s="11" t="s">
        <v>32</v>
      </c>
      <c r="G63" s="521">
        <f>SUM(E63:E69)</f>
        <v>1383784</v>
      </c>
      <c r="H63" s="3" t="e">
        <f t="shared" si="0"/>
        <v>#REF!</v>
      </c>
    </row>
    <row r="64" spans="2:8" ht="29.1" customHeight="1">
      <c r="B64" s="520"/>
      <c r="C64" s="522"/>
      <c r="D64" s="524"/>
      <c r="E64" s="3">
        <v>138450</v>
      </c>
      <c r="F64" s="11" t="s">
        <v>33</v>
      </c>
      <c r="G64" s="528"/>
      <c r="H64" s="3" t="e">
        <f t="shared" si="0"/>
        <v>#REF!</v>
      </c>
    </row>
    <row r="65" spans="2:8" ht="29.1" customHeight="1">
      <c r="B65" s="520"/>
      <c r="C65" s="522"/>
      <c r="D65" s="524"/>
      <c r="E65" s="3">
        <v>19065</v>
      </c>
      <c r="F65" s="11" t="s">
        <v>34</v>
      </c>
      <c r="G65" s="528"/>
      <c r="H65" s="3" t="e">
        <f t="shared" si="0"/>
        <v>#REF!</v>
      </c>
    </row>
    <row r="66" spans="2:8" ht="29.1" customHeight="1">
      <c r="B66" s="520"/>
      <c r="C66" s="522"/>
      <c r="D66" s="524"/>
      <c r="E66" s="3">
        <v>80550</v>
      </c>
      <c r="F66" s="11" t="s">
        <v>18</v>
      </c>
      <c r="G66" s="528"/>
      <c r="H66" s="3" t="e">
        <f t="shared" si="0"/>
        <v>#REF!</v>
      </c>
    </row>
    <row r="67" spans="2:8" ht="29.1" customHeight="1">
      <c r="B67" s="520"/>
      <c r="C67" s="522"/>
      <c r="D67" s="524"/>
      <c r="E67" s="3">
        <v>8000</v>
      </c>
      <c r="F67" s="11" t="s">
        <v>35</v>
      </c>
      <c r="G67" s="528"/>
      <c r="H67" s="3" t="e">
        <f t="shared" si="0"/>
        <v>#REF!</v>
      </c>
    </row>
    <row r="68" spans="2:8" ht="29.1" customHeight="1">
      <c r="B68" s="520"/>
      <c r="C68" s="522"/>
      <c r="D68" s="524"/>
      <c r="E68" s="3">
        <v>978969</v>
      </c>
      <c r="F68" s="11" t="s">
        <v>17</v>
      </c>
      <c r="G68" s="528"/>
      <c r="H68" s="3" t="e">
        <f t="shared" si="0"/>
        <v>#REF!</v>
      </c>
    </row>
    <row r="69" spans="2:8" ht="29.1" customHeight="1">
      <c r="B69" s="525"/>
      <c r="C69" s="526"/>
      <c r="D69" s="527"/>
      <c r="E69" s="3">
        <v>28750</v>
      </c>
      <c r="F69" s="11" t="s">
        <v>36</v>
      </c>
      <c r="G69" s="529"/>
      <c r="H69" s="3" t="e">
        <f t="shared" si="0"/>
        <v>#REF!</v>
      </c>
    </row>
    <row r="70" spans="2:8" ht="29.1" customHeight="1">
      <c r="B70" s="519">
        <v>44887</v>
      </c>
      <c r="C70" s="521">
        <v>128825</v>
      </c>
      <c r="D70" s="523"/>
      <c r="E70" s="3">
        <v>31600</v>
      </c>
      <c r="F70" s="11" t="s">
        <v>25</v>
      </c>
      <c r="G70" s="521">
        <f>SUM(E70:E72)</f>
        <v>240539</v>
      </c>
      <c r="H70" s="3" t="e">
        <f t="shared" ref="H70:H72" si="2">H69+C70-D70-G70</f>
        <v>#REF!</v>
      </c>
    </row>
    <row r="71" spans="2:8" ht="29.1" customHeight="1">
      <c r="B71" s="520"/>
      <c r="C71" s="522"/>
      <c r="D71" s="524"/>
      <c r="E71" s="3">
        <v>203025</v>
      </c>
      <c r="F71" s="11" t="s">
        <v>39</v>
      </c>
      <c r="G71" s="528"/>
      <c r="H71" s="3" t="e">
        <f>H70+C71-D71-G71</f>
        <v>#REF!</v>
      </c>
    </row>
    <row r="72" spans="2:8" ht="29.1" customHeight="1">
      <c r="B72" s="520"/>
      <c r="C72" s="522"/>
      <c r="D72" s="524"/>
      <c r="E72" s="3">
        <v>5914</v>
      </c>
      <c r="F72" s="11" t="s">
        <v>21</v>
      </c>
      <c r="G72" s="528"/>
      <c r="H72" s="3" t="e">
        <f t="shared" si="2"/>
        <v>#REF!</v>
      </c>
    </row>
    <row r="73" spans="2:8" ht="29.1" customHeight="1">
      <c r="B73" s="519">
        <v>44888</v>
      </c>
      <c r="C73" s="521">
        <v>240808</v>
      </c>
      <c r="D73" s="523"/>
      <c r="E73" s="3">
        <v>23730</v>
      </c>
      <c r="F73" s="11" t="s">
        <v>9</v>
      </c>
      <c r="G73" s="521">
        <f>SUM(E73:E75)</f>
        <v>349223</v>
      </c>
      <c r="H73" s="3" t="e">
        <f t="shared" ref="H73" si="3">H72+C73-D73-G73</f>
        <v>#REF!</v>
      </c>
    </row>
    <row r="74" spans="2:8" ht="29.1" customHeight="1">
      <c r="B74" s="520"/>
      <c r="C74" s="522"/>
      <c r="D74" s="524"/>
      <c r="E74" s="3">
        <v>134353</v>
      </c>
      <c r="F74" s="11" t="s">
        <v>26</v>
      </c>
      <c r="G74" s="528"/>
      <c r="H74" s="3" t="e">
        <f>H73+C74-D74-G74</f>
        <v>#REF!</v>
      </c>
    </row>
    <row r="75" spans="2:8" ht="29.1" customHeight="1">
      <c r="B75" s="520"/>
      <c r="C75" s="522"/>
      <c r="D75" s="524"/>
      <c r="E75" s="3">
        <v>191140</v>
      </c>
      <c r="F75" s="11" t="s">
        <v>22</v>
      </c>
      <c r="G75" s="528"/>
      <c r="H75" s="3" t="e">
        <f t="shared" ref="H75:H76" si="4">H74+C75-D75-G75</f>
        <v>#REF!</v>
      </c>
    </row>
    <row r="76" spans="2:8" ht="29.1" customHeight="1">
      <c r="B76" s="519">
        <v>44889</v>
      </c>
      <c r="C76" s="521">
        <v>326794</v>
      </c>
      <c r="D76" s="523"/>
      <c r="E76" s="3">
        <v>1830</v>
      </c>
      <c r="F76" s="11" t="s">
        <v>8</v>
      </c>
      <c r="G76" s="521">
        <f>SUM(E76:E77)</f>
        <v>46630</v>
      </c>
      <c r="H76" s="3" t="e">
        <f t="shared" si="4"/>
        <v>#REF!</v>
      </c>
    </row>
    <row r="77" spans="2:8" ht="29.1" customHeight="1">
      <c r="B77" s="520"/>
      <c r="C77" s="522"/>
      <c r="D77" s="524"/>
      <c r="E77" s="3">
        <v>44800</v>
      </c>
      <c r="F77" s="11" t="s">
        <v>12</v>
      </c>
      <c r="G77" s="528"/>
      <c r="H77" s="3" t="e">
        <f>H76+C77-D77-G77</f>
        <v>#REF!</v>
      </c>
    </row>
    <row r="78" spans="2:8" ht="29.1" customHeight="1">
      <c r="B78" s="519">
        <v>44890</v>
      </c>
      <c r="C78" s="521">
        <v>326050</v>
      </c>
      <c r="D78" s="523"/>
      <c r="E78" s="3">
        <v>3622</v>
      </c>
      <c r="F78" s="11" t="s">
        <v>40</v>
      </c>
      <c r="G78" s="521">
        <f>SUM(E78:E79)</f>
        <v>15652</v>
      </c>
      <c r="H78" s="3" t="e">
        <f t="shared" ref="H78" si="5">H77+C78-D78-G78</f>
        <v>#REF!</v>
      </c>
    </row>
    <row r="79" spans="2:8" ht="29.1" customHeight="1">
      <c r="B79" s="520"/>
      <c r="C79" s="522"/>
      <c r="D79" s="524"/>
      <c r="E79" s="3">
        <v>12030</v>
      </c>
      <c r="F79" s="11" t="s">
        <v>10</v>
      </c>
      <c r="G79" s="528"/>
      <c r="H79" s="3" t="e">
        <f>H78+C79-D79-G79</f>
        <v>#REF!</v>
      </c>
    </row>
    <row r="80" spans="2:8" ht="29.1" customHeight="1">
      <c r="B80" s="519">
        <v>44891</v>
      </c>
      <c r="C80" s="521">
        <v>500096</v>
      </c>
      <c r="D80" s="523"/>
      <c r="E80" s="3">
        <v>8939</v>
      </c>
      <c r="F80" s="11" t="s">
        <v>21</v>
      </c>
      <c r="G80" s="521">
        <f>SUM(E80:E83)</f>
        <v>295183</v>
      </c>
      <c r="H80" s="3" t="e">
        <f t="shared" ref="H80:H83" si="6">H79+C80-D80-G80</f>
        <v>#REF!</v>
      </c>
    </row>
    <row r="81" spans="2:8" ht="29.1" customHeight="1">
      <c r="B81" s="520"/>
      <c r="C81" s="522"/>
      <c r="D81" s="524"/>
      <c r="E81" s="3">
        <v>102600</v>
      </c>
      <c r="F81" s="11" t="s">
        <v>41</v>
      </c>
      <c r="G81" s="522"/>
      <c r="H81" s="3" t="e">
        <f>#REF!+C81-D81-G81</f>
        <v>#REF!</v>
      </c>
    </row>
    <row r="82" spans="2:8" ht="29.1" customHeight="1">
      <c r="B82" s="520"/>
      <c r="C82" s="522"/>
      <c r="D82" s="524"/>
      <c r="E82" s="3">
        <v>130775</v>
      </c>
      <c r="F82" s="11" t="s">
        <v>38</v>
      </c>
      <c r="G82" s="522"/>
      <c r="H82" s="3" t="e">
        <f t="shared" si="6"/>
        <v>#REF!</v>
      </c>
    </row>
    <row r="83" spans="2:8" ht="29.1" customHeight="1">
      <c r="B83" s="520"/>
      <c r="C83" s="522"/>
      <c r="D83" s="524"/>
      <c r="E83" s="3">
        <v>52869</v>
      </c>
      <c r="F83" s="11" t="s">
        <v>14</v>
      </c>
      <c r="G83" s="528"/>
      <c r="H83" s="3" t="e">
        <f t="shared" si="6"/>
        <v>#REF!</v>
      </c>
    </row>
    <row r="84" spans="2:8" ht="29.1" customHeight="1">
      <c r="B84" s="519">
        <v>44892</v>
      </c>
      <c r="C84" s="521"/>
      <c r="D84" s="523"/>
      <c r="E84" s="3">
        <v>9576</v>
      </c>
      <c r="F84" s="11" t="s">
        <v>42</v>
      </c>
      <c r="G84" s="521">
        <f>SUM(E84:E87)</f>
        <v>399648</v>
      </c>
      <c r="H84" s="3" t="e">
        <f t="shared" ref="H84:H87" si="7">H83+C84-D84-G84</f>
        <v>#REF!</v>
      </c>
    </row>
    <row r="85" spans="2:8" ht="29.1" customHeight="1">
      <c r="B85" s="520"/>
      <c r="C85" s="522"/>
      <c r="D85" s="524"/>
      <c r="E85" s="3">
        <v>29970</v>
      </c>
      <c r="F85" s="11" t="s">
        <v>43</v>
      </c>
      <c r="G85" s="522"/>
      <c r="H85" s="3" t="e">
        <f t="shared" si="7"/>
        <v>#REF!</v>
      </c>
    </row>
    <row r="86" spans="2:8" ht="29.1" customHeight="1">
      <c r="B86" s="520"/>
      <c r="C86" s="522"/>
      <c r="D86" s="524"/>
      <c r="E86" s="3">
        <v>357992</v>
      </c>
      <c r="F86" s="11" t="s">
        <v>17</v>
      </c>
      <c r="G86" s="522"/>
      <c r="H86" s="3" t="e">
        <f t="shared" si="7"/>
        <v>#REF!</v>
      </c>
    </row>
    <row r="87" spans="2:8" ht="29.1" customHeight="1">
      <c r="B87" s="520"/>
      <c r="C87" s="522"/>
      <c r="D87" s="524"/>
      <c r="E87" s="3">
        <v>2110</v>
      </c>
      <c r="F87" s="11" t="s">
        <v>44</v>
      </c>
      <c r="G87" s="522"/>
      <c r="H87" s="3" t="e">
        <f t="shared" si="7"/>
        <v>#REF!</v>
      </c>
    </row>
    <row r="88" spans="2:8" ht="29.1" customHeight="1">
      <c r="B88" s="519">
        <v>44893</v>
      </c>
      <c r="C88" s="521"/>
      <c r="D88" s="523"/>
      <c r="E88" s="3">
        <v>97560</v>
      </c>
      <c r="F88" s="11" t="s">
        <v>22</v>
      </c>
      <c r="G88" s="521">
        <f>SUM(E88:E92)</f>
        <v>173420</v>
      </c>
      <c r="H88" s="3" t="e">
        <f t="shared" ref="H88:H90" si="8">H87+C88-D88-G88</f>
        <v>#REF!</v>
      </c>
    </row>
    <row r="89" spans="2:8" ht="29.1" customHeight="1">
      <c r="B89" s="520"/>
      <c r="C89" s="522"/>
      <c r="D89" s="524"/>
      <c r="E89" s="3">
        <v>21050</v>
      </c>
      <c r="F89" s="11" t="s">
        <v>45</v>
      </c>
      <c r="G89" s="522"/>
      <c r="H89" s="3" t="e">
        <f t="shared" si="8"/>
        <v>#REF!</v>
      </c>
    </row>
    <row r="90" spans="2:8" ht="29.1" customHeight="1">
      <c r="B90" s="520"/>
      <c r="C90" s="522"/>
      <c r="D90" s="524"/>
      <c r="E90" s="3">
        <v>44700</v>
      </c>
      <c r="F90" s="11" t="s">
        <v>46</v>
      </c>
      <c r="G90" s="522"/>
      <c r="H90" s="3" t="e">
        <f t="shared" si="8"/>
        <v>#REF!</v>
      </c>
    </row>
    <row r="91" spans="2:8" ht="29.1" customHeight="1">
      <c r="B91" s="520"/>
      <c r="C91" s="522"/>
      <c r="D91" s="524"/>
      <c r="E91" s="3">
        <v>8000</v>
      </c>
      <c r="F91" s="11" t="s">
        <v>48</v>
      </c>
      <c r="G91" s="522"/>
      <c r="H91" s="3"/>
    </row>
    <row r="92" spans="2:8" ht="29.1" customHeight="1">
      <c r="B92" s="520"/>
      <c r="C92" s="522"/>
      <c r="D92" s="524"/>
      <c r="E92" s="3">
        <v>2110</v>
      </c>
      <c r="F92" s="11" t="s">
        <v>47</v>
      </c>
      <c r="G92" s="522"/>
      <c r="H92" s="3" t="e">
        <f>H90+C92-D92-G92</f>
        <v>#REF!</v>
      </c>
    </row>
    <row r="93" spans="2:8" ht="29.1" customHeight="1">
      <c r="B93" s="519">
        <v>44894</v>
      </c>
      <c r="C93" s="521"/>
      <c r="D93" s="523"/>
      <c r="E93" s="3">
        <v>800</v>
      </c>
      <c r="F93" s="11" t="s">
        <v>49</v>
      </c>
      <c r="G93" s="521">
        <f>SUM(E93:E97)</f>
        <v>251740</v>
      </c>
      <c r="H93" s="3" t="e">
        <f t="shared" ref="H93:H95" si="9">H92+C93-D93-G93</f>
        <v>#REF!</v>
      </c>
    </row>
    <row r="94" spans="2:8" ht="29.1" customHeight="1">
      <c r="B94" s="520"/>
      <c r="C94" s="522"/>
      <c r="D94" s="524"/>
      <c r="E94" s="3">
        <v>6200</v>
      </c>
      <c r="F94" s="11" t="s">
        <v>21</v>
      </c>
      <c r="G94" s="522"/>
      <c r="H94" s="3" t="e">
        <f t="shared" si="9"/>
        <v>#REF!</v>
      </c>
    </row>
    <row r="95" spans="2:8" ht="29.1" customHeight="1">
      <c r="B95" s="520"/>
      <c r="C95" s="522"/>
      <c r="D95" s="524"/>
      <c r="E95" s="3">
        <v>32400</v>
      </c>
      <c r="F95" s="11" t="s">
        <v>18</v>
      </c>
      <c r="G95" s="522"/>
      <c r="H95" s="3" t="e">
        <f t="shared" si="9"/>
        <v>#REF!</v>
      </c>
    </row>
    <row r="96" spans="2:8" ht="29.1" customHeight="1">
      <c r="B96" s="520"/>
      <c r="C96" s="522"/>
      <c r="D96" s="524"/>
      <c r="E96" s="3">
        <v>93560</v>
      </c>
      <c r="F96" s="11" t="s">
        <v>39</v>
      </c>
      <c r="G96" s="522"/>
      <c r="H96" s="3"/>
    </row>
    <row r="97" spans="2:8" ht="29.1" customHeight="1">
      <c r="B97" s="520"/>
      <c r="C97" s="522"/>
      <c r="D97" s="524"/>
      <c r="E97" s="3">
        <v>118780</v>
      </c>
      <c r="F97" s="11" t="s">
        <v>47</v>
      </c>
      <c r="G97" s="522"/>
      <c r="H97" s="3" t="e">
        <f>H95+C97-D97-G97</f>
        <v>#REF!</v>
      </c>
    </row>
    <row r="98" spans="2:8" ht="29.1" customHeight="1">
      <c r="B98" s="519">
        <v>44895</v>
      </c>
      <c r="C98" s="521"/>
      <c r="D98" s="523"/>
      <c r="E98" s="3">
        <v>31650</v>
      </c>
      <c r="F98" s="11" t="s">
        <v>46</v>
      </c>
      <c r="G98" s="521">
        <f>SUM(E98:E106)</f>
        <v>1242694</v>
      </c>
      <c r="H98" s="3" t="e">
        <f>H97+C98-D98-G98</f>
        <v>#REF!</v>
      </c>
    </row>
    <row r="99" spans="2:8" ht="29.1" customHeight="1">
      <c r="B99" s="520"/>
      <c r="C99" s="522"/>
      <c r="D99" s="524"/>
      <c r="E99" s="3">
        <v>834641</v>
      </c>
      <c r="F99" s="11" t="s">
        <v>17</v>
      </c>
      <c r="G99" s="522"/>
      <c r="H99" s="3"/>
    </row>
    <row r="100" spans="2:8" ht="29.1" customHeight="1">
      <c r="B100" s="520"/>
      <c r="C100" s="522"/>
      <c r="D100" s="524"/>
      <c r="E100" s="3">
        <v>21070</v>
      </c>
      <c r="F100" s="11" t="s">
        <v>46</v>
      </c>
      <c r="G100" s="522"/>
      <c r="H100" s="3" t="e">
        <f>H98+C100-D100-G100</f>
        <v>#REF!</v>
      </c>
    </row>
    <row r="101" spans="2:8" ht="29.1" customHeight="1">
      <c r="B101" s="520"/>
      <c r="C101" s="522"/>
      <c r="D101" s="524"/>
      <c r="E101" s="3">
        <v>10730</v>
      </c>
      <c r="F101" s="11" t="s">
        <v>50</v>
      </c>
      <c r="G101" s="522"/>
      <c r="H101" s="3" t="e">
        <f t="shared" ref="H101" si="10">H100+C101-D101-G101</f>
        <v>#REF!</v>
      </c>
    </row>
    <row r="102" spans="2:8" ht="29.1" customHeight="1">
      <c r="B102" s="520"/>
      <c r="C102" s="522"/>
      <c r="D102" s="524"/>
      <c r="E102" s="3">
        <v>26223</v>
      </c>
      <c r="F102" s="11" t="s">
        <v>51</v>
      </c>
      <c r="G102" s="522"/>
      <c r="H102" s="3"/>
    </row>
    <row r="103" spans="2:8" ht="29.1" customHeight="1">
      <c r="B103" s="520"/>
      <c r="C103" s="522"/>
      <c r="D103" s="524"/>
      <c r="E103" s="3">
        <v>2110</v>
      </c>
      <c r="F103" s="11" t="s">
        <v>44</v>
      </c>
      <c r="G103" s="522"/>
      <c r="H103" s="3"/>
    </row>
    <row r="104" spans="2:8" ht="29.1" customHeight="1">
      <c r="B104" s="520"/>
      <c r="C104" s="522"/>
      <c r="D104" s="524"/>
      <c r="E104" s="3">
        <v>60000</v>
      </c>
      <c r="F104" s="11" t="s">
        <v>53</v>
      </c>
      <c r="G104" s="522"/>
      <c r="H104" s="3"/>
    </row>
    <row r="105" spans="2:8" ht="29.1" customHeight="1">
      <c r="B105" s="520"/>
      <c r="C105" s="522"/>
      <c r="D105" s="524"/>
      <c r="E105" s="3">
        <v>226350</v>
      </c>
      <c r="F105" s="11" t="s">
        <v>25</v>
      </c>
      <c r="G105" s="522"/>
      <c r="H105" s="3"/>
    </row>
    <row r="106" spans="2:8" ht="29.1" customHeight="1">
      <c r="B106" s="520"/>
      <c r="C106" s="522"/>
      <c r="D106" s="524"/>
      <c r="E106" s="3">
        <v>29920</v>
      </c>
      <c r="F106" s="11" t="s">
        <v>52</v>
      </c>
      <c r="G106" s="522"/>
      <c r="H106" s="3" t="e">
        <f>H101+C106-D106-G106</f>
        <v>#REF!</v>
      </c>
    </row>
    <row r="107" spans="2:8" ht="29.1" customHeight="1">
      <c r="E107" s="8">
        <f>SUM(E5:E106)</f>
        <v>8392161</v>
      </c>
    </row>
  </sheetData>
  <mergeCells count="82">
    <mergeCell ref="B80:B83"/>
    <mergeCell ref="C80:C83"/>
    <mergeCell ref="D80:D83"/>
    <mergeCell ref="G80:G83"/>
    <mergeCell ref="B76:B77"/>
    <mergeCell ref="C76:C77"/>
    <mergeCell ref="D76:D77"/>
    <mergeCell ref="G76:G77"/>
    <mergeCell ref="B78:B79"/>
    <mergeCell ref="C78:C79"/>
    <mergeCell ref="D78:D79"/>
    <mergeCell ref="G78:G79"/>
    <mergeCell ref="B70:B72"/>
    <mergeCell ref="C70:C72"/>
    <mergeCell ref="D70:D72"/>
    <mergeCell ref="G70:G72"/>
    <mergeCell ref="B73:B75"/>
    <mergeCell ref="C73:C75"/>
    <mergeCell ref="D73:D75"/>
    <mergeCell ref="G73:G75"/>
    <mergeCell ref="B8:B9"/>
    <mergeCell ref="C8:C9"/>
    <mergeCell ref="D8:D9"/>
    <mergeCell ref="G8:G9"/>
    <mergeCell ref="B14:B16"/>
    <mergeCell ref="C14:C16"/>
    <mergeCell ref="G14:G16"/>
    <mergeCell ref="B18:B21"/>
    <mergeCell ref="C18:C21"/>
    <mergeCell ref="G18:G21"/>
    <mergeCell ref="B22:B26"/>
    <mergeCell ref="C22:C26"/>
    <mergeCell ref="D22:D26"/>
    <mergeCell ref="G22:G26"/>
    <mergeCell ref="B27:B34"/>
    <mergeCell ref="C27:C34"/>
    <mergeCell ref="D27:D34"/>
    <mergeCell ref="G27:G34"/>
    <mergeCell ref="B35:B38"/>
    <mergeCell ref="C35:C38"/>
    <mergeCell ref="D35:D38"/>
    <mergeCell ref="G35:G38"/>
    <mergeCell ref="B40:B45"/>
    <mergeCell ref="C40:C45"/>
    <mergeCell ref="D40:D45"/>
    <mergeCell ref="G40:G45"/>
    <mergeCell ref="B47:B50"/>
    <mergeCell ref="C47:C50"/>
    <mergeCell ref="D47:D50"/>
    <mergeCell ref="G47:G50"/>
    <mergeCell ref="B51:B52"/>
    <mergeCell ref="C51:C52"/>
    <mergeCell ref="D51:D52"/>
    <mergeCell ref="G51:G52"/>
    <mergeCell ref="B53:B57"/>
    <mergeCell ref="C53:C57"/>
    <mergeCell ref="D53:D57"/>
    <mergeCell ref="G53:G57"/>
    <mergeCell ref="B58:B62"/>
    <mergeCell ref="C58:C62"/>
    <mergeCell ref="D58:D62"/>
    <mergeCell ref="G58:G62"/>
    <mergeCell ref="B63:B69"/>
    <mergeCell ref="C63:C69"/>
    <mergeCell ref="D63:D69"/>
    <mergeCell ref="G63:G69"/>
    <mergeCell ref="B84:B87"/>
    <mergeCell ref="C84:C87"/>
    <mergeCell ref="D84:D87"/>
    <mergeCell ref="G84:G87"/>
    <mergeCell ref="B88:B92"/>
    <mergeCell ref="C88:C92"/>
    <mergeCell ref="D88:D92"/>
    <mergeCell ref="G88:G92"/>
    <mergeCell ref="B93:B97"/>
    <mergeCell ref="C93:C97"/>
    <mergeCell ref="D93:D97"/>
    <mergeCell ref="G93:G97"/>
    <mergeCell ref="B98:B106"/>
    <mergeCell ref="C98:C106"/>
    <mergeCell ref="D98:D106"/>
    <mergeCell ref="G98:G106"/>
  </mergeCells>
  <phoneticPr fontId="1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C10D7-E544-9E4B-8A6F-D3220C3B8314}">
  <sheetPr codeName="Sheet6"/>
  <dimension ref="A1:G156"/>
  <sheetViews>
    <sheetView workbookViewId="0">
      <selection activeCell="I34" sqref="I34"/>
    </sheetView>
  </sheetViews>
  <sheetFormatPr defaultColWidth="10.6328125" defaultRowHeight="15.6"/>
  <cols>
    <col min="1" max="1" width="7" style="33" customWidth="1"/>
    <col min="2" max="2" width="2.90625" style="33" customWidth="1"/>
    <col min="3" max="6" width="13" style="33" customWidth="1"/>
    <col min="7" max="7" width="8.54296875" style="33" customWidth="1"/>
    <col min="8" max="16384" width="10.6328125" style="33"/>
  </cols>
  <sheetData>
    <row r="1" spans="1:7" ht="27" customHeight="1">
      <c r="A1" s="547" t="s">
        <v>37</v>
      </c>
      <c r="B1" s="547"/>
      <c r="C1" s="548"/>
      <c r="D1" s="549"/>
      <c r="E1" s="549"/>
      <c r="F1" s="549"/>
      <c r="G1" s="549"/>
    </row>
    <row r="2" spans="1:7" ht="27" customHeight="1">
      <c r="A2" s="550" t="s">
        <v>0</v>
      </c>
      <c r="B2" s="550"/>
      <c r="C2" s="10" t="s">
        <v>1</v>
      </c>
      <c r="D2" s="20" t="s">
        <v>4</v>
      </c>
      <c r="E2" s="20" t="s">
        <v>69</v>
      </c>
      <c r="F2" s="20" t="s">
        <v>5</v>
      </c>
      <c r="G2" s="20" t="s">
        <v>67</v>
      </c>
    </row>
    <row r="3" spans="1:7" ht="30.9" customHeight="1">
      <c r="A3" s="34">
        <v>44958</v>
      </c>
      <c r="B3" s="35" t="s">
        <v>84</v>
      </c>
      <c r="C3" s="29">
        <v>156900</v>
      </c>
      <c r="D3" s="31">
        <v>110325</v>
      </c>
      <c r="E3" s="30">
        <f>C3-D3</f>
        <v>46575</v>
      </c>
      <c r="F3" s="25">
        <f>E3</f>
        <v>46575</v>
      </c>
      <c r="G3" s="23"/>
    </row>
    <row r="4" spans="1:7" ht="30.9" customHeight="1">
      <c r="A4" s="34">
        <v>44959</v>
      </c>
      <c r="B4" s="35" t="s">
        <v>85</v>
      </c>
      <c r="C4" s="29">
        <v>349841</v>
      </c>
      <c r="D4" s="31">
        <v>108665</v>
      </c>
      <c r="E4" s="30">
        <f t="shared" ref="E4:E31" si="0">C4-D4</f>
        <v>241176</v>
      </c>
      <c r="F4" s="25">
        <f>F3+E4</f>
        <v>287751</v>
      </c>
      <c r="G4" s="23"/>
    </row>
    <row r="5" spans="1:7" ht="30.9" customHeight="1">
      <c r="A5" s="34">
        <v>44960</v>
      </c>
      <c r="B5" s="35" t="s">
        <v>86</v>
      </c>
      <c r="C5" s="29">
        <v>243550</v>
      </c>
      <c r="D5" s="31">
        <v>163250</v>
      </c>
      <c r="E5" s="30">
        <f t="shared" si="0"/>
        <v>80300</v>
      </c>
      <c r="F5" s="25">
        <f t="shared" ref="F5:F29" si="1">F4+E5</f>
        <v>368051</v>
      </c>
      <c r="G5" s="24"/>
    </row>
    <row r="6" spans="1:7" ht="30.9" customHeight="1">
      <c r="A6" s="34">
        <v>44961</v>
      </c>
      <c r="B6" s="35" t="s">
        <v>87</v>
      </c>
      <c r="C6" s="29">
        <v>423870</v>
      </c>
      <c r="D6" s="31">
        <v>28635</v>
      </c>
      <c r="E6" s="30">
        <f t="shared" si="0"/>
        <v>395235</v>
      </c>
      <c r="F6" s="25">
        <f t="shared" si="1"/>
        <v>763286</v>
      </c>
      <c r="G6" s="24"/>
    </row>
    <row r="7" spans="1:7" ht="30.9" customHeight="1">
      <c r="A7" s="34">
        <v>44962</v>
      </c>
      <c r="B7" s="35" t="s">
        <v>88</v>
      </c>
      <c r="C7" s="29">
        <v>390667</v>
      </c>
      <c r="D7" s="31">
        <v>334895</v>
      </c>
      <c r="E7" s="30">
        <f t="shared" si="0"/>
        <v>55772</v>
      </c>
      <c r="F7" s="25">
        <f t="shared" si="1"/>
        <v>819058</v>
      </c>
      <c r="G7" s="24"/>
    </row>
    <row r="8" spans="1:7" ht="30.9" customHeight="1">
      <c r="A8" s="34">
        <v>44963</v>
      </c>
      <c r="B8" s="35" t="s">
        <v>89</v>
      </c>
      <c r="C8" s="29">
        <v>150304</v>
      </c>
      <c r="D8" s="31">
        <v>122886</v>
      </c>
      <c r="E8" s="30">
        <f t="shared" si="0"/>
        <v>27418</v>
      </c>
      <c r="F8" s="25">
        <f t="shared" si="1"/>
        <v>846476</v>
      </c>
      <c r="G8" s="24"/>
    </row>
    <row r="9" spans="1:7" ht="30.9" customHeight="1">
      <c r="A9" s="34">
        <v>44964</v>
      </c>
      <c r="B9" s="35" t="s">
        <v>90</v>
      </c>
      <c r="C9" s="29">
        <v>253040</v>
      </c>
      <c r="D9" s="31">
        <v>652907</v>
      </c>
      <c r="E9" s="30">
        <f t="shared" si="0"/>
        <v>-399867</v>
      </c>
      <c r="F9" s="25">
        <f t="shared" si="1"/>
        <v>446609</v>
      </c>
      <c r="G9" s="24"/>
    </row>
    <row r="10" spans="1:7" ht="30.9" customHeight="1">
      <c r="A10" s="34">
        <v>44965</v>
      </c>
      <c r="B10" s="35" t="s">
        <v>91</v>
      </c>
      <c r="C10" s="29">
        <v>242255</v>
      </c>
      <c r="D10" s="31">
        <v>262933</v>
      </c>
      <c r="E10" s="30">
        <f t="shared" si="0"/>
        <v>-20678</v>
      </c>
      <c r="F10" s="25">
        <f t="shared" si="1"/>
        <v>425931</v>
      </c>
      <c r="G10" s="24"/>
    </row>
    <row r="11" spans="1:7" ht="30.9" customHeight="1">
      <c r="A11" s="34">
        <v>44966</v>
      </c>
      <c r="B11" s="35" t="s">
        <v>92</v>
      </c>
      <c r="C11" s="29">
        <v>161847</v>
      </c>
      <c r="D11" s="31">
        <v>128934</v>
      </c>
      <c r="E11" s="30">
        <f t="shared" si="0"/>
        <v>32913</v>
      </c>
      <c r="F11" s="25">
        <f t="shared" si="1"/>
        <v>458844</v>
      </c>
      <c r="G11" s="24"/>
    </row>
    <row r="12" spans="1:7" ht="30.9" customHeight="1">
      <c r="A12" s="34">
        <v>44967</v>
      </c>
      <c r="B12" s="35" t="s">
        <v>93</v>
      </c>
      <c r="C12" s="29">
        <v>286707</v>
      </c>
      <c r="D12" s="31">
        <v>206633</v>
      </c>
      <c r="E12" s="30">
        <f t="shared" si="0"/>
        <v>80074</v>
      </c>
      <c r="F12" s="25">
        <f t="shared" si="1"/>
        <v>538918</v>
      </c>
      <c r="G12" s="24"/>
    </row>
    <row r="13" spans="1:7" ht="30.9" customHeight="1">
      <c r="A13" s="34">
        <v>44968</v>
      </c>
      <c r="B13" s="35" t="s">
        <v>94</v>
      </c>
      <c r="C13" s="29">
        <v>384625</v>
      </c>
      <c r="D13" s="31">
        <v>318780</v>
      </c>
      <c r="E13" s="30">
        <f t="shared" si="0"/>
        <v>65845</v>
      </c>
      <c r="F13" s="25">
        <f t="shared" si="1"/>
        <v>604763</v>
      </c>
      <c r="G13" s="24"/>
    </row>
    <row r="14" spans="1:7" ht="30.9" customHeight="1">
      <c r="A14" s="34">
        <v>44969</v>
      </c>
      <c r="B14" s="35" t="s">
        <v>95</v>
      </c>
      <c r="C14" s="29">
        <v>342732</v>
      </c>
      <c r="D14" s="31">
        <v>56510</v>
      </c>
      <c r="E14" s="30">
        <f t="shared" si="0"/>
        <v>286222</v>
      </c>
      <c r="F14" s="25">
        <f t="shared" si="1"/>
        <v>890985</v>
      </c>
      <c r="G14" s="24"/>
    </row>
    <row r="15" spans="1:7" ht="30.9" customHeight="1">
      <c r="A15" s="34">
        <v>44970</v>
      </c>
      <c r="B15" s="35" t="s">
        <v>96</v>
      </c>
      <c r="C15" s="29">
        <v>194289</v>
      </c>
      <c r="D15" s="31">
        <v>448900</v>
      </c>
      <c r="E15" s="30">
        <f t="shared" si="0"/>
        <v>-254611</v>
      </c>
      <c r="F15" s="25">
        <f t="shared" si="1"/>
        <v>636374</v>
      </c>
      <c r="G15" s="24"/>
    </row>
    <row r="16" spans="1:7" ht="30.9" customHeight="1">
      <c r="A16" s="34">
        <v>44971</v>
      </c>
      <c r="B16" s="35" t="s">
        <v>97</v>
      </c>
      <c r="C16" s="29">
        <v>338536</v>
      </c>
      <c r="D16" s="31">
        <v>485421</v>
      </c>
      <c r="E16" s="30">
        <f t="shared" si="0"/>
        <v>-146885</v>
      </c>
      <c r="F16" s="25">
        <f t="shared" si="1"/>
        <v>489489</v>
      </c>
      <c r="G16" s="24"/>
    </row>
    <row r="17" spans="1:7" ht="30.9" customHeight="1">
      <c r="A17" s="34">
        <v>44972</v>
      </c>
      <c r="B17" s="35" t="s">
        <v>91</v>
      </c>
      <c r="C17" s="29">
        <v>237818</v>
      </c>
      <c r="D17" s="31">
        <v>179774</v>
      </c>
      <c r="E17" s="30">
        <f t="shared" si="0"/>
        <v>58044</v>
      </c>
      <c r="F17" s="25">
        <f t="shared" si="1"/>
        <v>547533</v>
      </c>
      <c r="G17" s="24"/>
    </row>
    <row r="18" spans="1:7" ht="30.9" customHeight="1">
      <c r="A18" s="34">
        <v>44973</v>
      </c>
      <c r="B18" s="35" t="s">
        <v>92</v>
      </c>
      <c r="C18" s="29">
        <v>264127</v>
      </c>
      <c r="D18" s="31">
        <v>556795</v>
      </c>
      <c r="E18" s="30">
        <f t="shared" si="0"/>
        <v>-292668</v>
      </c>
      <c r="F18" s="25">
        <f t="shared" si="1"/>
        <v>254865</v>
      </c>
      <c r="G18" s="24"/>
    </row>
    <row r="19" spans="1:7" ht="30.9" customHeight="1">
      <c r="A19" s="34">
        <v>44974</v>
      </c>
      <c r="B19" s="35" t="s">
        <v>93</v>
      </c>
      <c r="C19" s="29">
        <v>411011</v>
      </c>
      <c r="D19" s="31">
        <v>334548</v>
      </c>
      <c r="E19" s="30">
        <f t="shared" si="0"/>
        <v>76463</v>
      </c>
      <c r="F19" s="25">
        <f t="shared" si="1"/>
        <v>331328</v>
      </c>
      <c r="G19" s="24"/>
    </row>
    <row r="20" spans="1:7" ht="30.9" customHeight="1">
      <c r="A20" s="34">
        <v>44975</v>
      </c>
      <c r="B20" s="35" t="s">
        <v>94</v>
      </c>
      <c r="C20" s="29">
        <v>321687</v>
      </c>
      <c r="D20" s="31">
        <v>85700</v>
      </c>
      <c r="E20" s="30">
        <f t="shared" si="0"/>
        <v>235987</v>
      </c>
      <c r="F20" s="25">
        <f t="shared" si="1"/>
        <v>567315</v>
      </c>
      <c r="G20" s="24"/>
    </row>
    <row r="21" spans="1:7" ht="30.9" customHeight="1">
      <c r="A21" s="34">
        <v>44976</v>
      </c>
      <c r="B21" s="35" t="s">
        <v>95</v>
      </c>
      <c r="C21" s="29">
        <v>437101</v>
      </c>
      <c r="D21" s="31">
        <v>101401</v>
      </c>
      <c r="E21" s="30">
        <f t="shared" si="0"/>
        <v>335700</v>
      </c>
      <c r="F21" s="25">
        <f t="shared" si="1"/>
        <v>903015</v>
      </c>
      <c r="G21" s="24"/>
    </row>
    <row r="22" spans="1:7" ht="30.9" customHeight="1">
      <c r="A22" s="34">
        <v>44977</v>
      </c>
      <c r="B22" s="35" t="s">
        <v>96</v>
      </c>
      <c r="C22" s="29">
        <v>145286</v>
      </c>
      <c r="D22" s="31">
        <v>275808</v>
      </c>
      <c r="E22" s="30">
        <f t="shared" si="0"/>
        <v>-130522</v>
      </c>
      <c r="F22" s="25">
        <f t="shared" si="1"/>
        <v>772493</v>
      </c>
      <c r="G22" s="24"/>
    </row>
    <row r="23" spans="1:7" ht="30.9" customHeight="1">
      <c r="A23" s="34">
        <v>44978</v>
      </c>
      <c r="B23" s="35" t="s">
        <v>97</v>
      </c>
      <c r="C23" s="29">
        <v>262820</v>
      </c>
      <c r="D23" s="31">
        <v>432898</v>
      </c>
      <c r="E23" s="30">
        <f t="shared" si="0"/>
        <v>-170078</v>
      </c>
      <c r="F23" s="25">
        <f t="shared" si="1"/>
        <v>602415</v>
      </c>
      <c r="G23" s="24"/>
    </row>
    <row r="24" spans="1:7" ht="30.9" customHeight="1">
      <c r="A24" s="34">
        <v>44979</v>
      </c>
      <c r="B24" s="35" t="s">
        <v>91</v>
      </c>
      <c r="C24" s="29">
        <v>161846</v>
      </c>
      <c r="D24" s="31">
        <v>132184</v>
      </c>
      <c r="E24" s="30">
        <f t="shared" si="0"/>
        <v>29662</v>
      </c>
      <c r="F24" s="25">
        <f t="shared" si="1"/>
        <v>632077</v>
      </c>
      <c r="G24" s="24"/>
    </row>
    <row r="25" spans="1:7" ht="30.9" customHeight="1">
      <c r="A25" s="34">
        <v>44980</v>
      </c>
      <c r="B25" s="35" t="s">
        <v>92</v>
      </c>
      <c r="C25" s="29">
        <v>319938</v>
      </c>
      <c r="D25" s="31">
        <v>87516</v>
      </c>
      <c r="E25" s="30">
        <f t="shared" si="0"/>
        <v>232422</v>
      </c>
      <c r="F25" s="25">
        <f t="shared" si="1"/>
        <v>864499</v>
      </c>
      <c r="G25" s="24"/>
    </row>
    <row r="26" spans="1:7" ht="30.9" customHeight="1">
      <c r="A26" s="34">
        <v>44981</v>
      </c>
      <c r="B26" s="35" t="s">
        <v>93</v>
      </c>
      <c r="C26" s="29">
        <v>350629</v>
      </c>
      <c r="D26" s="31">
        <v>321013</v>
      </c>
      <c r="E26" s="30">
        <f t="shared" si="0"/>
        <v>29616</v>
      </c>
      <c r="F26" s="25">
        <f t="shared" si="1"/>
        <v>894115</v>
      </c>
      <c r="G26" s="24"/>
    </row>
    <row r="27" spans="1:7" ht="30.9" customHeight="1">
      <c r="A27" s="34">
        <v>44982</v>
      </c>
      <c r="B27" s="35" t="s">
        <v>94</v>
      </c>
      <c r="C27" s="29">
        <v>394633</v>
      </c>
      <c r="D27" s="31">
        <v>293907</v>
      </c>
      <c r="E27" s="30">
        <f t="shared" si="0"/>
        <v>100726</v>
      </c>
      <c r="F27" s="25">
        <f t="shared" si="1"/>
        <v>994841</v>
      </c>
      <c r="G27" s="24"/>
    </row>
    <row r="28" spans="1:7" ht="30.9" customHeight="1">
      <c r="A28" s="34">
        <v>44983</v>
      </c>
      <c r="B28" s="35" t="s">
        <v>95</v>
      </c>
      <c r="C28" s="29">
        <v>409056</v>
      </c>
      <c r="D28" s="31">
        <v>223735</v>
      </c>
      <c r="E28" s="30">
        <f t="shared" si="0"/>
        <v>185321</v>
      </c>
      <c r="F28" s="25">
        <f t="shared" si="1"/>
        <v>1180162</v>
      </c>
      <c r="G28" s="24"/>
    </row>
    <row r="29" spans="1:7" ht="30.9" customHeight="1">
      <c r="A29" s="34">
        <v>44984</v>
      </c>
      <c r="B29" s="35" t="s">
        <v>96</v>
      </c>
      <c r="C29" s="29">
        <v>206742</v>
      </c>
      <c r="D29" s="31">
        <v>90020</v>
      </c>
      <c r="E29" s="30">
        <f t="shared" si="0"/>
        <v>116722</v>
      </c>
      <c r="F29" s="25">
        <f t="shared" si="1"/>
        <v>1296884</v>
      </c>
      <c r="G29" s="24"/>
    </row>
    <row r="30" spans="1:7" ht="30.9" customHeight="1">
      <c r="A30" s="34">
        <v>44985</v>
      </c>
      <c r="B30" s="35" t="s">
        <v>97</v>
      </c>
      <c r="C30" s="29">
        <v>356126</v>
      </c>
      <c r="D30" s="31">
        <v>425439</v>
      </c>
      <c r="E30" s="30">
        <f t="shared" si="0"/>
        <v>-69313</v>
      </c>
      <c r="F30" s="25">
        <f>F29+E30</f>
        <v>1227571</v>
      </c>
      <c r="G30" s="24"/>
    </row>
    <row r="31" spans="1:7" ht="30.9" customHeight="1">
      <c r="A31" s="34"/>
      <c r="B31" s="35"/>
      <c r="C31" s="29"/>
      <c r="D31" s="31">
        <v>190000</v>
      </c>
      <c r="E31" s="30">
        <f t="shared" si="0"/>
        <v>-190000</v>
      </c>
      <c r="F31" s="25">
        <f>F30+E31</f>
        <v>1037571</v>
      </c>
      <c r="G31" s="24"/>
    </row>
    <row r="32" spans="1:7" ht="30.9" customHeight="1">
      <c r="A32" s="34"/>
      <c r="B32" s="35"/>
      <c r="C32" s="26"/>
      <c r="D32" s="25">
        <f>F155</f>
        <v>60000</v>
      </c>
      <c r="E32" s="26"/>
      <c r="F32" s="25"/>
      <c r="G32" s="24"/>
    </row>
    <row r="33" spans="1:7" ht="30.9" customHeight="1">
      <c r="A33" s="34"/>
      <c r="B33" s="35"/>
      <c r="C33" s="25">
        <f>SUM(C3:C30)</f>
        <v>8197983</v>
      </c>
      <c r="D33" s="25">
        <f>F156</f>
        <v>6737507</v>
      </c>
      <c r="E33" s="26"/>
      <c r="F33" s="25">
        <f>C33-D33</f>
        <v>1460476</v>
      </c>
      <c r="G33" s="24"/>
    </row>
    <row r="35" spans="1:7" ht="33" customHeight="1">
      <c r="A35" s="551" t="s">
        <v>83</v>
      </c>
      <c r="B35" s="551"/>
      <c r="C35" s="551"/>
      <c r="D35" s="551"/>
      <c r="E35" s="551"/>
      <c r="F35" s="551"/>
      <c r="G35" s="551"/>
    </row>
    <row r="36" spans="1:7" ht="20.399999999999999">
      <c r="A36" s="550" t="s">
        <v>0</v>
      </c>
      <c r="B36" s="550"/>
      <c r="C36" s="10" t="s">
        <v>70</v>
      </c>
      <c r="D36" s="20" t="s">
        <v>71</v>
      </c>
      <c r="E36" s="20" t="s">
        <v>72</v>
      </c>
      <c r="F36" s="20" t="s">
        <v>73</v>
      </c>
      <c r="G36" s="20" t="s">
        <v>74</v>
      </c>
    </row>
    <row r="37" spans="1:7" ht="30.9" customHeight="1">
      <c r="A37" s="535">
        <v>44958</v>
      </c>
      <c r="B37" s="538" t="s">
        <v>84</v>
      </c>
      <c r="C37" s="25"/>
      <c r="D37" s="25">
        <v>23555</v>
      </c>
      <c r="E37" s="25" t="s">
        <v>100</v>
      </c>
      <c r="F37" s="541">
        <f>SUM(D37:D41)</f>
        <v>110325</v>
      </c>
      <c r="G37" s="23"/>
    </row>
    <row r="38" spans="1:7" ht="30.9" customHeight="1">
      <c r="A38" s="536"/>
      <c r="B38" s="539"/>
      <c r="C38" s="25"/>
      <c r="D38" s="25">
        <v>5000</v>
      </c>
      <c r="E38" s="25" t="s">
        <v>102</v>
      </c>
      <c r="F38" s="545"/>
      <c r="G38" s="23"/>
    </row>
    <row r="39" spans="1:7" ht="30.9" customHeight="1">
      <c r="A39" s="536"/>
      <c r="B39" s="539"/>
      <c r="C39" s="25"/>
      <c r="D39" s="25">
        <v>37900</v>
      </c>
      <c r="E39" s="25" t="s">
        <v>12</v>
      </c>
      <c r="F39" s="545"/>
      <c r="G39" s="23"/>
    </row>
    <row r="40" spans="1:7" ht="30.9" customHeight="1">
      <c r="A40" s="536"/>
      <c r="B40" s="539"/>
      <c r="C40" s="25"/>
      <c r="D40" s="25">
        <v>30400</v>
      </c>
      <c r="E40" s="25" t="s">
        <v>30</v>
      </c>
      <c r="F40" s="545"/>
      <c r="G40" s="23"/>
    </row>
    <row r="41" spans="1:7" ht="30.9" customHeight="1">
      <c r="A41" s="537"/>
      <c r="B41" s="540"/>
      <c r="C41" s="25"/>
      <c r="D41" s="25">
        <v>13470</v>
      </c>
      <c r="E41" s="25" t="s">
        <v>101</v>
      </c>
      <c r="F41" s="546"/>
      <c r="G41" s="23"/>
    </row>
    <row r="42" spans="1:7" ht="30.9" customHeight="1">
      <c r="A42" s="535">
        <v>44959</v>
      </c>
      <c r="B42" s="538" t="s">
        <v>85</v>
      </c>
      <c r="C42" s="26"/>
      <c r="D42" s="25">
        <v>44700</v>
      </c>
      <c r="E42" s="26" t="s">
        <v>103</v>
      </c>
      <c r="F42" s="541">
        <f>SUM(D42:D44)</f>
        <v>108665</v>
      </c>
      <c r="G42" s="24"/>
    </row>
    <row r="43" spans="1:7" ht="30.9" customHeight="1">
      <c r="A43" s="536"/>
      <c r="B43" s="539"/>
      <c r="C43" s="26"/>
      <c r="D43" s="25">
        <v>44900</v>
      </c>
      <c r="E43" s="26" t="s">
        <v>41</v>
      </c>
      <c r="F43" s="542"/>
      <c r="G43" s="24"/>
    </row>
    <row r="44" spans="1:7" ht="30.9" customHeight="1">
      <c r="A44" s="537"/>
      <c r="B44" s="540"/>
      <c r="C44" s="26"/>
      <c r="D44" s="25">
        <v>19065</v>
      </c>
      <c r="E44" s="26" t="s">
        <v>104</v>
      </c>
      <c r="F44" s="543"/>
      <c r="G44" s="24"/>
    </row>
    <row r="45" spans="1:7" ht="30.9" customHeight="1">
      <c r="A45" s="535">
        <v>44960</v>
      </c>
      <c r="B45" s="538" t="s">
        <v>86</v>
      </c>
      <c r="C45" s="26"/>
      <c r="D45" s="25">
        <v>2110</v>
      </c>
      <c r="E45" s="26" t="s">
        <v>44</v>
      </c>
      <c r="F45" s="541">
        <f>SUM(D45:D47)</f>
        <v>28635</v>
      </c>
      <c r="G45" s="24"/>
    </row>
    <row r="46" spans="1:7" ht="30.9" customHeight="1">
      <c r="A46" s="536"/>
      <c r="B46" s="539"/>
      <c r="C46" s="26"/>
      <c r="D46" s="25">
        <v>5005</v>
      </c>
      <c r="E46" s="26" t="s">
        <v>21</v>
      </c>
      <c r="F46" s="542"/>
      <c r="G46" s="24"/>
    </row>
    <row r="47" spans="1:7" ht="30.9" customHeight="1">
      <c r="A47" s="537"/>
      <c r="B47" s="540"/>
      <c r="C47" s="26"/>
      <c r="D47" s="25">
        <v>21520</v>
      </c>
      <c r="E47" s="26" t="s">
        <v>27</v>
      </c>
      <c r="F47" s="543"/>
      <c r="G47" s="24"/>
    </row>
    <row r="48" spans="1:7" ht="30.9" customHeight="1">
      <c r="A48" s="32">
        <v>44961</v>
      </c>
      <c r="B48" s="24" t="s">
        <v>87</v>
      </c>
      <c r="C48" s="26"/>
      <c r="D48" s="25">
        <v>163250</v>
      </c>
      <c r="E48" s="26" t="s">
        <v>11</v>
      </c>
      <c r="F48" s="25">
        <f>D48</f>
        <v>163250</v>
      </c>
      <c r="G48" s="24"/>
    </row>
    <row r="49" spans="1:7" ht="30.9" customHeight="1">
      <c r="A49" s="535">
        <v>44962</v>
      </c>
      <c r="B49" s="538" t="s">
        <v>88</v>
      </c>
      <c r="C49" s="26"/>
      <c r="D49" s="25">
        <v>370</v>
      </c>
      <c r="E49" s="26"/>
      <c r="F49" s="541">
        <f>SUM(D49:D52)</f>
        <v>334895</v>
      </c>
      <c r="G49" s="24"/>
    </row>
    <row r="50" spans="1:7" ht="30.9" customHeight="1">
      <c r="A50" s="536"/>
      <c r="B50" s="539"/>
      <c r="C50" s="26" t="s">
        <v>39</v>
      </c>
      <c r="D50" s="25">
        <v>79560</v>
      </c>
      <c r="E50" s="26" t="s">
        <v>105</v>
      </c>
      <c r="F50" s="545"/>
      <c r="G50" s="24"/>
    </row>
    <row r="51" spans="1:7" ht="30.9" customHeight="1">
      <c r="A51" s="536"/>
      <c r="B51" s="539"/>
      <c r="C51" s="26"/>
      <c r="D51" s="25">
        <v>28010</v>
      </c>
      <c r="E51" s="26" t="s">
        <v>103</v>
      </c>
      <c r="F51" s="545"/>
      <c r="G51" s="24"/>
    </row>
    <row r="52" spans="1:7" ht="30.9" customHeight="1">
      <c r="A52" s="537"/>
      <c r="B52" s="540"/>
      <c r="C52" s="26" t="s">
        <v>106</v>
      </c>
      <c r="D52" s="25">
        <v>226955</v>
      </c>
      <c r="E52" s="26" t="s">
        <v>17</v>
      </c>
      <c r="F52" s="546"/>
      <c r="G52" s="24"/>
    </row>
    <row r="53" spans="1:7" ht="30.9" customHeight="1">
      <c r="A53" s="535">
        <v>44963</v>
      </c>
      <c r="B53" s="538" t="s">
        <v>89</v>
      </c>
      <c r="C53" s="26"/>
      <c r="D53" s="25">
        <v>27640</v>
      </c>
      <c r="E53" s="26" t="s">
        <v>108</v>
      </c>
      <c r="F53" s="541">
        <f>SUM(D53:D56)</f>
        <v>122880</v>
      </c>
      <c r="G53" s="24"/>
    </row>
    <row r="54" spans="1:7" ht="30.9" customHeight="1">
      <c r="A54" s="536"/>
      <c r="B54" s="539"/>
      <c r="C54" s="26"/>
      <c r="D54" s="25">
        <v>59660</v>
      </c>
      <c r="E54" s="26" t="s">
        <v>109</v>
      </c>
      <c r="F54" s="545"/>
      <c r="G54" s="24"/>
    </row>
    <row r="55" spans="1:7" ht="30.9" customHeight="1">
      <c r="A55" s="536"/>
      <c r="B55" s="539"/>
      <c r="C55" s="26"/>
      <c r="D55" s="25">
        <v>16240</v>
      </c>
      <c r="E55" s="26" t="s">
        <v>110</v>
      </c>
      <c r="F55" s="545"/>
      <c r="G55" s="24"/>
    </row>
    <row r="56" spans="1:7" ht="30.9" customHeight="1">
      <c r="A56" s="537"/>
      <c r="B56" s="540"/>
      <c r="C56" s="26"/>
      <c r="D56" s="25">
        <v>19340</v>
      </c>
      <c r="E56" s="26" t="s">
        <v>107</v>
      </c>
      <c r="F56" s="546"/>
      <c r="G56" s="24"/>
    </row>
    <row r="57" spans="1:7" ht="30.9" customHeight="1">
      <c r="A57" s="535">
        <v>44964</v>
      </c>
      <c r="B57" s="538" t="s">
        <v>90</v>
      </c>
      <c r="C57" s="26" t="s">
        <v>106</v>
      </c>
      <c r="D57" s="25">
        <v>546744</v>
      </c>
      <c r="E57" s="26" t="s">
        <v>17</v>
      </c>
      <c r="F57" s="541">
        <f>SUM(D57:D60)</f>
        <v>652907</v>
      </c>
      <c r="G57" s="24"/>
    </row>
    <row r="58" spans="1:7" ht="30.9" customHeight="1">
      <c r="A58" s="536"/>
      <c r="B58" s="539"/>
      <c r="C58" s="26"/>
      <c r="D58" s="25">
        <v>65393</v>
      </c>
      <c r="E58" s="26" t="s">
        <v>111</v>
      </c>
      <c r="F58" s="545"/>
      <c r="G58" s="24"/>
    </row>
    <row r="59" spans="1:7" ht="30.9" customHeight="1">
      <c r="A59" s="536"/>
      <c r="B59" s="539"/>
      <c r="C59" s="26"/>
      <c r="D59" s="25">
        <v>30330</v>
      </c>
      <c r="E59" s="26" t="s">
        <v>112</v>
      </c>
      <c r="F59" s="545"/>
      <c r="G59" s="24"/>
    </row>
    <row r="60" spans="1:7" ht="30.9" customHeight="1">
      <c r="A60" s="537"/>
      <c r="B60" s="540"/>
      <c r="C60" s="26"/>
      <c r="D60" s="25">
        <v>10440</v>
      </c>
      <c r="E60" s="26" t="s">
        <v>13</v>
      </c>
      <c r="F60" s="546"/>
      <c r="G60" s="24"/>
    </row>
    <row r="61" spans="1:7" ht="30.9" customHeight="1">
      <c r="A61" s="535">
        <v>44965</v>
      </c>
      <c r="B61" s="538" t="s">
        <v>91</v>
      </c>
      <c r="C61" s="26"/>
      <c r="D61" s="25">
        <v>36980</v>
      </c>
      <c r="E61" s="26" t="s">
        <v>13</v>
      </c>
      <c r="F61" s="541">
        <f>SUM(D61:D66)</f>
        <v>262933</v>
      </c>
      <c r="G61" s="24"/>
    </row>
    <row r="62" spans="1:7" ht="30.9" customHeight="1">
      <c r="A62" s="536"/>
      <c r="B62" s="539"/>
      <c r="C62" s="26"/>
      <c r="D62" s="25">
        <v>14000</v>
      </c>
      <c r="E62" s="26" t="s">
        <v>30</v>
      </c>
      <c r="F62" s="545"/>
      <c r="G62" s="24"/>
    </row>
    <row r="63" spans="1:7" ht="30.9" customHeight="1">
      <c r="A63" s="536"/>
      <c r="B63" s="539"/>
      <c r="C63" s="26"/>
      <c r="D63" s="25">
        <v>37700</v>
      </c>
      <c r="E63" s="26" t="s">
        <v>11</v>
      </c>
      <c r="F63" s="545"/>
      <c r="G63" s="24"/>
    </row>
    <row r="64" spans="1:7" ht="30.9" customHeight="1">
      <c r="A64" s="536"/>
      <c r="B64" s="539"/>
      <c r="C64" s="26"/>
      <c r="D64" s="25">
        <v>17900</v>
      </c>
      <c r="E64" s="26" t="s">
        <v>113</v>
      </c>
      <c r="F64" s="545"/>
      <c r="G64" s="24"/>
    </row>
    <row r="65" spans="1:7" ht="30.9" customHeight="1">
      <c r="A65" s="536"/>
      <c r="B65" s="539"/>
      <c r="C65" s="26"/>
      <c r="D65" s="25">
        <v>119083</v>
      </c>
      <c r="E65" s="26" t="s">
        <v>106</v>
      </c>
      <c r="F65" s="545"/>
      <c r="G65" s="24"/>
    </row>
    <row r="66" spans="1:7" ht="30.9" customHeight="1">
      <c r="A66" s="537"/>
      <c r="B66" s="540"/>
      <c r="C66" s="26"/>
      <c r="D66" s="25">
        <v>37270</v>
      </c>
      <c r="E66" s="26" t="s">
        <v>18</v>
      </c>
      <c r="F66" s="546"/>
      <c r="G66" s="24"/>
    </row>
    <row r="67" spans="1:7" ht="30.9" customHeight="1">
      <c r="A67" s="535">
        <v>44966</v>
      </c>
      <c r="B67" s="538" t="s">
        <v>92</v>
      </c>
      <c r="C67" s="26"/>
      <c r="D67" s="25">
        <v>1830</v>
      </c>
      <c r="E67" s="26" t="s">
        <v>44</v>
      </c>
      <c r="F67" s="541">
        <f>SUM(D67:D71)</f>
        <v>128934</v>
      </c>
      <c r="G67" s="24"/>
    </row>
    <row r="68" spans="1:7" ht="30.9" customHeight="1">
      <c r="A68" s="536"/>
      <c r="B68" s="539"/>
      <c r="C68" s="26"/>
      <c r="D68" s="25">
        <v>2534</v>
      </c>
      <c r="E68" s="26" t="s">
        <v>114</v>
      </c>
      <c r="F68" s="545"/>
      <c r="G68" s="24"/>
    </row>
    <row r="69" spans="1:7" ht="30.9" customHeight="1">
      <c r="A69" s="536"/>
      <c r="B69" s="539"/>
      <c r="C69" s="26"/>
      <c r="D69" s="25">
        <v>50750</v>
      </c>
      <c r="E69" s="26" t="s">
        <v>18</v>
      </c>
      <c r="F69" s="545"/>
      <c r="G69" s="24"/>
    </row>
    <row r="70" spans="1:7" ht="30.9" customHeight="1">
      <c r="A70" s="536"/>
      <c r="B70" s="539"/>
      <c r="C70" s="26"/>
      <c r="D70" s="25">
        <v>40720</v>
      </c>
      <c r="E70" s="26" t="s">
        <v>115</v>
      </c>
      <c r="F70" s="545"/>
      <c r="G70" s="24"/>
    </row>
    <row r="71" spans="1:7" ht="30.9" customHeight="1">
      <c r="A71" s="537"/>
      <c r="B71" s="540"/>
      <c r="C71" s="26"/>
      <c r="D71" s="25">
        <v>33100</v>
      </c>
      <c r="E71" s="26" t="s">
        <v>116</v>
      </c>
      <c r="F71" s="546"/>
      <c r="G71" s="24"/>
    </row>
    <row r="72" spans="1:7" ht="30.9" customHeight="1">
      <c r="A72" s="535">
        <v>44967</v>
      </c>
      <c r="B72" s="538" t="s">
        <v>93</v>
      </c>
      <c r="C72" s="26" t="s">
        <v>39</v>
      </c>
      <c r="D72" s="25">
        <v>137968</v>
      </c>
      <c r="E72" s="26" t="s">
        <v>105</v>
      </c>
      <c r="F72" s="541">
        <f>SUM(D72:D75)</f>
        <v>206633</v>
      </c>
      <c r="G72" s="24"/>
    </row>
    <row r="73" spans="1:7" ht="30.9" customHeight="1">
      <c r="A73" s="536"/>
      <c r="B73" s="539"/>
      <c r="C73" s="26"/>
      <c r="D73" s="25">
        <v>7555</v>
      </c>
      <c r="E73" s="26" t="s">
        <v>21</v>
      </c>
      <c r="F73" s="545"/>
      <c r="G73" s="24"/>
    </row>
    <row r="74" spans="1:7" ht="30.9" customHeight="1">
      <c r="A74" s="536"/>
      <c r="B74" s="539"/>
      <c r="C74" s="26" t="s">
        <v>118</v>
      </c>
      <c r="D74" s="25">
        <v>34750</v>
      </c>
      <c r="E74" s="26" t="s">
        <v>117</v>
      </c>
      <c r="F74" s="545"/>
      <c r="G74" s="24"/>
    </row>
    <row r="75" spans="1:7" ht="30.9" customHeight="1">
      <c r="A75" s="537"/>
      <c r="B75" s="540"/>
      <c r="C75" s="26"/>
      <c r="D75" s="25">
        <v>26360</v>
      </c>
      <c r="E75" s="26" t="s">
        <v>119</v>
      </c>
      <c r="F75" s="546"/>
      <c r="G75" s="24"/>
    </row>
    <row r="76" spans="1:7" ht="30.9" customHeight="1">
      <c r="A76" s="535">
        <v>44968</v>
      </c>
      <c r="B76" s="538" t="s">
        <v>94</v>
      </c>
      <c r="C76" s="26"/>
      <c r="D76" s="25">
        <v>65500</v>
      </c>
      <c r="E76" s="26" t="s">
        <v>120</v>
      </c>
      <c r="F76" s="541">
        <f>SUM(D76:D80)</f>
        <v>318780</v>
      </c>
      <c r="G76" s="24"/>
    </row>
    <row r="77" spans="1:7" ht="30.9" customHeight="1">
      <c r="A77" s="536"/>
      <c r="B77" s="539"/>
      <c r="C77" s="26"/>
      <c r="D77" s="25">
        <v>30330</v>
      </c>
      <c r="E77" s="26" t="s">
        <v>112</v>
      </c>
      <c r="F77" s="545"/>
      <c r="G77" s="24"/>
    </row>
    <row r="78" spans="1:7" ht="30.9" customHeight="1">
      <c r="A78" s="536"/>
      <c r="B78" s="539"/>
      <c r="C78" s="26"/>
      <c r="D78" s="25">
        <v>10960</v>
      </c>
      <c r="E78" s="26" t="s">
        <v>121</v>
      </c>
      <c r="F78" s="545"/>
      <c r="G78" s="24"/>
    </row>
    <row r="79" spans="1:7" ht="30.9" customHeight="1">
      <c r="A79" s="536"/>
      <c r="B79" s="539"/>
      <c r="C79" s="26"/>
      <c r="D79" s="25">
        <v>11440</v>
      </c>
      <c r="E79" s="26" t="s">
        <v>122</v>
      </c>
      <c r="F79" s="545"/>
      <c r="G79" s="24"/>
    </row>
    <row r="80" spans="1:7" ht="30.9" customHeight="1">
      <c r="A80" s="536"/>
      <c r="B80" s="539"/>
      <c r="C80" s="26"/>
      <c r="D80" s="25">
        <v>200550</v>
      </c>
      <c r="E80" s="26" t="s">
        <v>123</v>
      </c>
      <c r="F80" s="546"/>
      <c r="G80" s="24"/>
    </row>
    <row r="81" spans="1:7" ht="30.9" customHeight="1">
      <c r="A81" s="32">
        <v>44969</v>
      </c>
      <c r="B81" s="24" t="s">
        <v>95</v>
      </c>
      <c r="C81" s="26" t="s">
        <v>39</v>
      </c>
      <c r="D81" s="25">
        <v>56510</v>
      </c>
      <c r="E81" s="26" t="s">
        <v>105</v>
      </c>
      <c r="F81" s="25">
        <f>D81</f>
        <v>56510</v>
      </c>
      <c r="G81" s="24"/>
    </row>
    <row r="82" spans="1:7" ht="30.9" customHeight="1">
      <c r="A82" s="535">
        <v>44970</v>
      </c>
      <c r="B82" s="538" t="s">
        <v>96</v>
      </c>
      <c r="C82" s="26" t="s">
        <v>124</v>
      </c>
      <c r="D82" s="25">
        <v>443700</v>
      </c>
      <c r="E82" s="26" t="s">
        <v>25</v>
      </c>
      <c r="F82" s="541">
        <f>SUM(D82:D83)</f>
        <v>458900</v>
      </c>
      <c r="G82" s="24"/>
    </row>
    <row r="83" spans="1:7" ht="30.9" customHeight="1">
      <c r="A83" s="537"/>
      <c r="B83" s="540"/>
      <c r="C83" s="26"/>
      <c r="D83" s="25">
        <v>15200</v>
      </c>
      <c r="E83" s="26" t="s">
        <v>125</v>
      </c>
      <c r="F83" s="546"/>
      <c r="G83" s="24"/>
    </row>
    <row r="84" spans="1:7" ht="30.9" customHeight="1">
      <c r="A84" s="535">
        <v>44971</v>
      </c>
      <c r="B84" s="538" t="s">
        <v>97</v>
      </c>
      <c r="C84" s="26" t="s">
        <v>39</v>
      </c>
      <c r="D84" s="25">
        <v>100639</v>
      </c>
      <c r="E84" s="26" t="s">
        <v>105</v>
      </c>
      <c r="F84" s="541">
        <f>SUM(D84:D87)</f>
        <v>485421</v>
      </c>
      <c r="G84" s="24"/>
    </row>
    <row r="85" spans="1:7" ht="30.9" customHeight="1">
      <c r="A85" s="536"/>
      <c r="B85" s="539"/>
      <c r="C85" s="26"/>
      <c r="D85" s="25">
        <v>42062</v>
      </c>
      <c r="E85" s="26" t="s">
        <v>126</v>
      </c>
      <c r="F85" s="545"/>
      <c r="G85" s="24"/>
    </row>
    <row r="86" spans="1:7" ht="30.9" customHeight="1">
      <c r="A86" s="536"/>
      <c r="B86" s="539"/>
      <c r="C86" s="26" t="s">
        <v>106</v>
      </c>
      <c r="D86" s="25">
        <v>329250</v>
      </c>
      <c r="E86" s="26" t="s">
        <v>17</v>
      </c>
      <c r="F86" s="545"/>
      <c r="G86" s="24"/>
    </row>
    <row r="87" spans="1:7" ht="30.9" customHeight="1">
      <c r="A87" s="537"/>
      <c r="B87" s="540"/>
      <c r="C87" s="26"/>
      <c r="D87" s="25">
        <v>13470</v>
      </c>
      <c r="E87" s="26" t="s">
        <v>112</v>
      </c>
      <c r="F87" s="546"/>
      <c r="G87" s="24"/>
    </row>
    <row r="88" spans="1:7" ht="30.9" customHeight="1">
      <c r="A88" s="535">
        <v>44972</v>
      </c>
      <c r="B88" s="538" t="s">
        <v>91</v>
      </c>
      <c r="C88" s="26"/>
      <c r="D88" s="25">
        <v>2419</v>
      </c>
      <c r="E88" s="26" t="s">
        <v>127</v>
      </c>
      <c r="F88" s="541">
        <f>SUM(D88:D92)</f>
        <v>179773</v>
      </c>
      <c r="G88" s="24"/>
    </row>
    <row r="89" spans="1:7" ht="30.9" customHeight="1">
      <c r="A89" s="536"/>
      <c r="B89" s="539"/>
      <c r="C89" s="26"/>
      <c r="D89" s="25">
        <v>22400</v>
      </c>
      <c r="E89" s="26" t="s">
        <v>128</v>
      </c>
      <c r="F89" s="545"/>
      <c r="G89" s="24"/>
    </row>
    <row r="90" spans="1:7" ht="30.9" customHeight="1">
      <c r="A90" s="536"/>
      <c r="B90" s="539"/>
      <c r="C90" s="26" t="s">
        <v>39</v>
      </c>
      <c r="D90" s="25">
        <v>94854</v>
      </c>
      <c r="E90" s="26" t="s">
        <v>105</v>
      </c>
      <c r="F90" s="545"/>
      <c r="G90" s="24"/>
    </row>
    <row r="91" spans="1:7" ht="30.9" customHeight="1">
      <c r="A91" s="536"/>
      <c r="B91" s="539"/>
      <c r="C91" s="26"/>
      <c r="D91" s="25">
        <v>44900</v>
      </c>
      <c r="E91" s="26" t="s">
        <v>41</v>
      </c>
      <c r="F91" s="545"/>
      <c r="G91" s="24"/>
    </row>
    <row r="92" spans="1:7" ht="30.9" customHeight="1">
      <c r="A92" s="537"/>
      <c r="B92" s="540"/>
      <c r="C92" s="26"/>
      <c r="D92" s="25">
        <v>15200</v>
      </c>
      <c r="E92" s="26" t="s">
        <v>129</v>
      </c>
      <c r="F92" s="546"/>
      <c r="G92" s="24"/>
    </row>
    <row r="93" spans="1:7" ht="30.9" customHeight="1">
      <c r="A93" s="535">
        <v>44973</v>
      </c>
      <c r="B93" s="538" t="s">
        <v>92</v>
      </c>
      <c r="C93" s="26"/>
      <c r="D93" s="25">
        <v>17700</v>
      </c>
      <c r="E93" s="26" t="s">
        <v>113</v>
      </c>
      <c r="F93" s="541">
        <f>SUM(D93:D100)</f>
        <v>556795</v>
      </c>
      <c r="G93" s="24"/>
    </row>
    <row r="94" spans="1:7" ht="30.9" customHeight="1">
      <c r="A94" s="536"/>
      <c r="B94" s="539"/>
      <c r="C94" s="26"/>
      <c r="D94" s="25">
        <v>78150</v>
      </c>
      <c r="E94" s="26" t="s">
        <v>130</v>
      </c>
      <c r="F94" s="545"/>
      <c r="G94" s="24"/>
    </row>
    <row r="95" spans="1:7" ht="30.9" customHeight="1">
      <c r="A95" s="536"/>
      <c r="B95" s="539"/>
      <c r="C95" s="26"/>
      <c r="D95" s="25">
        <v>26440</v>
      </c>
      <c r="E95" s="26" t="s">
        <v>131</v>
      </c>
      <c r="F95" s="545"/>
      <c r="G95" s="24"/>
    </row>
    <row r="96" spans="1:7" ht="30.9" customHeight="1">
      <c r="A96" s="536"/>
      <c r="B96" s="539"/>
      <c r="C96" s="26"/>
      <c r="D96" s="25">
        <v>28023</v>
      </c>
      <c r="E96" s="26" t="s">
        <v>127</v>
      </c>
      <c r="F96" s="545"/>
      <c r="G96" s="24"/>
    </row>
    <row r="97" spans="1:7" ht="30.9" customHeight="1">
      <c r="A97" s="536"/>
      <c r="B97" s="539"/>
      <c r="C97" s="26" t="s">
        <v>106</v>
      </c>
      <c r="D97" s="25">
        <v>325062</v>
      </c>
      <c r="E97" s="26" t="s">
        <v>17</v>
      </c>
      <c r="F97" s="545"/>
      <c r="G97" s="24"/>
    </row>
    <row r="98" spans="1:7" ht="30.9" customHeight="1">
      <c r="A98" s="536"/>
      <c r="B98" s="539"/>
      <c r="C98" s="26"/>
      <c r="D98" s="25">
        <v>44700</v>
      </c>
      <c r="E98" s="26" t="s">
        <v>103</v>
      </c>
      <c r="F98" s="545"/>
      <c r="G98" s="24"/>
    </row>
    <row r="99" spans="1:7" ht="30.9" customHeight="1">
      <c r="A99" s="536"/>
      <c r="B99" s="539"/>
      <c r="C99" s="26"/>
      <c r="D99" s="25">
        <v>15200</v>
      </c>
      <c r="E99" s="26" t="s">
        <v>132</v>
      </c>
      <c r="F99" s="545"/>
      <c r="G99" s="24"/>
    </row>
    <row r="100" spans="1:7" ht="30.9" customHeight="1">
      <c r="A100" s="537"/>
      <c r="B100" s="540"/>
      <c r="C100" s="26"/>
      <c r="D100" s="25">
        <v>21520</v>
      </c>
      <c r="E100" s="26" t="s">
        <v>27</v>
      </c>
      <c r="F100" s="546"/>
      <c r="G100" s="24"/>
    </row>
    <row r="101" spans="1:7" ht="30.9" customHeight="1">
      <c r="A101" s="535">
        <v>44974</v>
      </c>
      <c r="B101" s="538" t="s">
        <v>93</v>
      </c>
      <c r="C101" s="26"/>
      <c r="D101" s="25">
        <v>28470</v>
      </c>
      <c r="E101" s="26" t="s">
        <v>112</v>
      </c>
      <c r="F101" s="541">
        <f>SUM(D101:D106)</f>
        <v>334548</v>
      </c>
      <c r="G101" s="24"/>
    </row>
    <row r="102" spans="1:7" ht="30.9" customHeight="1">
      <c r="A102" s="536"/>
      <c r="B102" s="539"/>
      <c r="C102" s="26"/>
      <c r="D102" s="25">
        <v>16300</v>
      </c>
      <c r="E102" s="26" t="s">
        <v>133</v>
      </c>
      <c r="F102" s="545"/>
      <c r="G102" s="24"/>
    </row>
    <row r="103" spans="1:7" ht="30.9" customHeight="1">
      <c r="A103" s="536"/>
      <c r="B103" s="539"/>
      <c r="C103" s="26" t="s">
        <v>106</v>
      </c>
      <c r="D103" s="25">
        <v>150770</v>
      </c>
      <c r="E103" s="26" t="s">
        <v>17</v>
      </c>
      <c r="F103" s="545"/>
      <c r="G103" s="24"/>
    </row>
    <row r="104" spans="1:7" ht="30.9" customHeight="1">
      <c r="A104" s="536"/>
      <c r="B104" s="539"/>
      <c r="C104" s="26"/>
      <c r="D104" s="25">
        <v>18070</v>
      </c>
      <c r="E104" s="26" t="s">
        <v>134</v>
      </c>
      <c r="F104" s="545"/>
      <c r="G104" s="24"/>
    </row>
    <row r="105" spans="1:7" ht="30.9" customHeight="1">
      <c r="A105" s="536"/>
      <c r="B105" s="539"/>
      <c r="C105" s="26"/>
      <c r="D105" s="25">
        <v>24000</v>
      </c>
      <c r="E105" s="26" t="s">
        <v>116</v>
      </c>
      <c r="F105" s="545"/>
      <c r="G105" s="24"/>
    </row>
    <row r="106" spans="1:7" ht="30.9" customHeight="1">
      <c r="A106" s="537"/>
      <c r="B106" s="540"/>
      <c r="C106" s="26" t="s">
        <v>39</v>
      </c>
      <c r="D106" s="25">
        <v>96938</v>
      </c>
      <c r="E106" s="26" t="s">
        <v>105</v>
      </c>
      <c r="F106" s="546"/>
      <c r="G106" s="24"/>
    </row>
    <row r="107" spans="1:7" ht="30.9" customHeight="1">
      <c r="A107" s="535">
        <v>44975</v>
      </c>
      <c r="B107" s="538" t="s">
        <v>58</v>
      </c>
      <c r="C107" s="26"/>
      <c r="D107" s="25">
        <v>19200</v>
      </c>
      <c r="E107" s="26" t="s">
        <v>18</v>
      </c>
      <c r="F107" s="541">
        <f>SUM(D107:D108)</f>
        <v>85700</v>
      </c>
      <c r="G107" s="24"/>
    </row>
    <row r="108" spans="1:7" ht="30.9" customHeight="1">
      <c r="A108" s="537"/>
      <c r="B108" s="540"/>
      <c r="C108" s="26"/>
      <c r="D108" s="25">
        <v>66500</v>
      </c>
      <c r="E108" s="26" t="s">
        <v>120</v>
      </c>
      <c r="F108" s="546"/>
      <c r="G108" s="24"/>
    </row>
    <row r="109" spans="1:7" ht="30.9" customHeight="1">
      <c r="A109" s="535">
        <v>44976</v>
      </c>
      <c r="B109" s="544" t="s">
        <v>60</v>
      </c>
      <c r="C109" s="26"/>
      <c r="D109" s="25">
        <v>1830</v>
      </c>
      <c r="E109" s="26" t="s">
        <v>44</v>
      </c>
      <c r="F109" s="541">
        <f>SUM(D109:D113)</f>
        <v>101401</v>
      </c>
      <c r="G109" s="24"/>
    </row>
    <row r="110" spans="1:7" ht="30.9" customHeight="1">
      <c r="A110" s="536"/>
      <c r="B110" s="539"/>
      <c r="C110" s="26"/>
      <c r="D110" s="25">
        <v>15330</v>
      </c>
      <c r="E110" s="26" t="s">
        <v>112</v>
      </c>
      <c r="F110" s="545"/>
      <c r="G110" s="24"/>
    </row>
    <row r="111" spans="1:7" ht="30.9" customHeight="1">
      <c r="A111" s="536"/>
      <c r="B111" s="539"/>
      <c r="C111" s="26"/>
      <c r="D111" s="25">
        <v>31200</v>
      </c>
      <c r="E111" s="26" t="s">
        <v>135</v>
      </c>
      <c r="F111" s="545"/>
      <c r="G111" s="24"/>
    </row>
    <row r="112" spans="1:7" ht="30.9" customHeight="1">
      <c r="A112" s="536"/>
      <c r="B112" s="539"/>
      <c r="C112" s="26"/>
      <c r="D112" s="25">
        <v>16240</v>
      </c>
      <c r="E112" s="26" t="s">
        <v>110</v>
      </c>
      <c r="F112" s="545"/>
      <c r="G112" s="24"/>
    </row>
    <row r="113" spans="1:7" ht="30.9" customHeight="1">
      <c r="A113" s="537"/>
      <c r="B113" s="540"/>
      <c r="C113" s="26"/>
      <c r="D113" s="25">
        <v>36801</v>
      </c>
      <c r="E113" s="26" t="s">
        <v>13</v>
      </c>
      <c r="F113" s="546"/>
      <c r="G113" s="24"/>
    </row>
    <row r="114" spans="1:7" ht="30.9" customHeight="1">
      <c r="A114" s="535">
        <v>44977</v>
      </c>
      <c r="B114" s="538" t="s">
        <v>96</v>
      </c>
      <c r="C114" s="26" t="s">
        <v>39</v>
      </c>
      <c r="D114" s="25">
        <v>49935</v>
      </c>
      <c r="E114" s="26" t="s">
        <v>105</v>
      </c>
      <c r="F114" s="541">
        <f>SUM(D114:D119)</f>
        <v>275808</v>
      </c>
      <c r="G114" s="24"/>
    </row>
    <row r="115" spans="1:7" ht="30.9" customHeight="1">
      <c r="A115" s="536"/>
      <c r="B115" s="539"/>
      <c r="C115" s="26" t="s">
        <v>39</v>
      </c>
      <c r="D115" s="25">
        <v>60930</v>
      </c>
      <c r="E115" s="26" t="s">
        <v>105</v>
      </c>
      <c r="F115" s="545"/>
      <c r="G115" s="24"/>
    </row>
    <row r="116" spans="1:7" ht="30.9" customHeight="1">
      <c r="A116" s="536"/>
      <c r="B116" s="539"/>
      <c r="C116" s="26"/>
      <c r="D116" s="25">
        <v>35400</v>
      </c>
      <c r="E116" s="26" t="s">
        <v>12</v>
      </c>
      <c r="F116" s="545"/>
      <c r="G116" s="24"/>
    </row>
    <row r="117" spans="1:7" ht="30.9" customHeight="1">
      <c r="A117" s="536"/>
      <c r="B117" s="539"/>
      <c r="C117" s="26"/>
      <c r="D117" s="25">
        <v>22563</v>
      </c>
      <c r="E117" s="26" t="s">
        <v>126</v>
      </c>
      <c r="F117" s="545"/>
      <c r="G117" s="24"/>
    </row>
    <row r="118" spans="1:7" ht="30.9" customHeight="1">
      <c r="A118" s="536"/>
      <c r="B118" s="539"/>
      <c r="C118" s="26" t="s">
        <v>136</v>
      </c>
      <c r="D118" s="25">
        <v>2980</v>
      </c>
      <c r="E118" s="26" t="s">
        <v>137</v>
      </c>
      <c r="F118" s="545"/>
      <c r="G118" s="24"/>
    </row>
    <row r="119" spans="1:7" ht="30.9" customHeight="1">
      <c r="A119" s="537"/>
      <c r="B119" s="540"/>
      <c r="C119" s="26"/>
      <c r="D119" s="25">
        <v>104000</v>
      </c>
      <c r="E119" s="26" t="s">
        <v>138</v>
      </c>
      <c r="F119" s="546"/>
      <c r="G119" s="24"/>
    </row>
    <row r="120" spans="1:7" ht="30.9" customHeight="1">
      <c r="A120" s="535">
        <v>44978</v>
      </c>
      <c r="B120" s="538" t="s">
        <v>97</v>
      </c>
      <c r="C120" s="26"/>
      <c r="D120" s="25">
        <v>4697</v>
      </c>
      <c r="E120" s="26" t="s">
        <v>21</v>
      </c>
      <c r="F120" s="36"/>
      <c r="G120" s="24"/>
    </row>
    <row r="121" spans="1:7" ht="30.9" customHeight="1">
      <c r="A121" s="536"/>
      <c r="B121" s="539"/>
      <c r="C121" s="26"/>
      <c r="D121" s="25">
        <v>44700</v>
      </c>
      <c r="E121" s="26" t="s">
        <v>103</v>
      </c>
      <c r="F121" s="36"/>
      <c r="G121" s="24"/>
    </row>
    <row r="122" spans="1:7" ht="30.9" customHeight="1">
      <c r="A122" s="536"/>
      <c r="B122" s="539"/>
      <c r="C122" s="26"/>
      <c r="D122" s="25">
        <v>19065</v>
      </c>
      <c r="E122" s="26" t="s">
        <v>104</v>
      </c>
      <c r="F122" s="36"/>
      <c r="G122" s="24"/>
    </row>
    <row r="123" spans="1:7" ht="30.9" customHeight="1">
      <c r="A123" s="536"/>
      <c r="B123" s="539"/>
      <c r="C123" s="26"/>
      <c r="D123" s="25">
        <v>63960</v>
      </c>
      <c r="E123" s="26" t="s">
        <v>115</v>
      </c>
      <c r="F123" s="36"/>
      <c r="G123" s="24"/>
    </row>
    <row r="124" spans="1:7" ht="30.9" customHeight="1">
      <c r="A124" s="537"/>
      <c r="B124" s="540"/>
      <c r="C124" s="26" t="s">
        <v>106</v>
      </c>
      <c r="D124" s="25">
        <v>300476</v>
      </c>
      <c r="E124" s="26" t="s">
        <v>17</v>
      </c>
      <c r="F124" s="26"/>
      <c r="G124" s="24"/>
    </row>
    <row r="125" spans="1:7" ht="30.9" customHeight="1">
      <c r="A125" s="535">
        <v>44979</v>
      </c>
      <c r="B125" s="538" t="s">
        <v>91</v>
      </c>
      <c r="C125" s="26"/>
      <c r="D125" s="25">
        <v>24000</v>
      </c>
      <c r="E125" s="26" t="s">
        <v>116</v>
      </c>
      <c r="F125" s="541">
        <f>SUM(D125:D127)</f>
        <v>132184</v>
      </c>
      <c r="G125" s="24"/>
    </row>
    <row r="126" spans="1:7" ht="30.9" customHeight="1">
      <c r="A126" s="536"/>
      <c r="B126" s="539"/>
      <c r="C126" s="26"/>
      <c r="D126" s="25">
        <v>16700</v>
      </c>
      <c r="E126" s="26" t="s">
        <v>139</v>
      </c>
      <c r="F126" s="542"/>
      <c r="G126" s="24"/>
    </row>
    <row r="127" spans="1:7" ht="30.9" customHeight="1">
      <c r="A127" s="537"/>
      <c r="B127" s="540"/>
      <c r="C127" s="26"/>
      <c r="D127" s="25">
        <v>91484</v>
      </c>
      <c r="E127" s="26" t="s">
        <v>11</v>
      </c>
      <c r="F127" s="543"/>
      <c r="G127" s="24"/>
    </row>
    <row r="128" spans="1:7" ht="30.9" customHeight="1">
      <c r="A128" s="535">
        <v>44980</v>
      </c>
      <c r="B128" s="538" t="s">
        <v>92</v>
      </c>
      <c r="C128" s="26"/>
      <c r="D128" s="25">
        <v>1874</v>
      </c>
      <c r="E128" s="26" t="s">
        <v>114</v>
      </c>
      <c r="F128" s="541">
        <f>SUM(D128:D130)</f>
        <v>87516</v>
      </c>
      <c r="G128" s="24"/>
    </row>
    <row r="129" spans="1:7" ht="30.9" customHeight="1">
      <c r="A129" s="536"/>
      <c r="B129" s="539"/>
      <c r="C129" s="26" t="s">
        <v>39</v>
      </c>
      <c r="D129" s="25">
        <v>83812</v>
      </c>
      <c r="E129" s="26" t="s">
        <v>105</v>
      </c>
      <c r="F129" s="542"/>
      <c r="G129" s="24"/>
    </row>
    <row r="130" spans="1:7" ht="30.9" customHeight="1">
      <c r="A130" s="537"/>
      <c r="B130" s="540"/>
      <c r="C130" s="26"/>
      <c r="D130" s="25">
        <v>1830</v>
      </c>
      <c r="E130" s="26" t="s">
        <v>44</v>
      </c>
      <c r="F130" s="543"/>
      <c r="G130" s="24"/>
    </row>
    <row r="131" spans="1:7" ht="30.9" customHeight="1">
      <c r="A131" s="535">
        <v>44981</v>
      </c>
      <c r="B131" s="538" t="s">
        <v>93</v>
      </c>
      <c r="C131" s="26"/>
      <c r="D131" s="25">
        <v>22900</v>
      </c>
      <c r="E131" s="26" t="s">
        <v>30</v>
      </c>
      <c r="F131" s="541">
        <f>SUM(D131:D135)</f>
        <v>321013</v>
      </c>
      <c r="G131" s="24"/>
    </row>
    <row r="132" spans="1:7" ht="30.9" customHeight="1">
      <c r="A132" s="536"/>
      <c r="B132" s="539"/>
      <c r="C132" s="26"/>
      <c r="D132" s="25">
        <v>4963</v>
      </c>
      <c r="E132" s="26" t="s">
        <v>21</v>
      </c>
      <c r="F132" s="542"/>
      <c r="G132" s="24"/>
    </row>
    <row r="133" spans="1:7" ht="30.9" customHeight="1">
      <c r="A133" s="536"/>
      <c r="B133" s="539"/>
      <c r="C133" s="26"/>
      <c r="D133" s="25">
        <v>41000</v>
      </c>
      <c r="E133" s="26" t="s">
        <v>141</v>
      </c>
      <c r="F133" s="542"/>
      <c r="G133" s="24"/>
    </row>
    <row r="134" spans="1:7" ht="30.9" customHeight="1">
      <c r="A134" s="536"/>
      <c r="B134" s="539"/>
      <c r="C134" s="26"/>
      <c r="D134" s="25">
        <v>26400</v>
      </c>
      <c r="E134" s="26" t="s">
        <v>18</v>
      </c>
      <c r="F134" s="542"/>
      <c r="G134" s="24"/>
    </row>
    <row r="135" spans="1:7" ht="30.9" customHeight="1">
      <c r="A135" s="537"/>
      <c r="B135" s="540"/>
      <c r="C135" s="26"/>
      <c r="D135" s="25">
        <v>225750</v>
      </c>
      <c r="E135" s="26" t="s">
        <v>25</v>
      </c>
      <c r="F135" s="543"/>
      <c r="G135" s="24"/>
    </row>
    <row r="136" spans="1:7" ht="30.9" customHeight="1">
      <c r="A136" s="535">
        <v>44982</v>
      </c>
      <c r="B136" s="538" t="s">
        <v>94</v>
      </c>
      <c r="C136" s="26"/>
      <c r="D136" s="25">
        <v>13470</v>
      </c>
      <c r="E136" s="26" t="s">
        <v>101</v>
      </c>
      <c r="F136" s="541">
        <f>SUM(D136:D142)</f>
        <v>293907</v>
      </c>
      <c r="G136" s="24"/>
    </row>
    <row r="137" spans="1:7" ht="30.9" customHeight="1">
      <c r="A137" s="536"/>
      <c r="B137" s="539"/>
      <c r="C137" s="26"/>
      <c r="D137" s="25">
        <v>61500</v>
      </c>
      <c r="E137" s="26" t="s">
        <v>120</v>
      </c>
      <c r="F137" s="542"/>
      <c r="G137" s="24"/>
    </row>
    <row r="138" spans="1:7" ht="30.9" customHeight="1">
      <c r="A138" s="536"/>
      <c r="B138" s="539"/>
      <c r="C138" s="26"/>
      <c r="D138" s="25">
        <v>13898</v>
      </c>
      <c r="E138" s="26" t="s">
        <v>142</v>
      </c>
      <c r="F138" s="542"/>
      <c r="G138" s="24"/>
    </row>
    <row r="139" spans="1:7" ht="30.9" customHeight="1">
      <c r="A139" s="536"/>
      <c r="B139" s="539"/>
      <c r="C139" s="26"/>
      <c r="D139" s="25">
        <v>65360</v>
      </c>
      <c r="E139" s="26" t="s">
        <v>13</v>
      </c>
      <c r="F139" s="542"/>
      <c r="G139" s="24"/>
    </row>
    <row r="140" spans="1:7" ht="30.9" customHeight="1">
      <c r="A140" s="536"/>
      <c r="B140" s="539"/>
      <c r="C140" s="26" t="s">
        <v>140</v>
      </c>
      <c r="D140" s="25">
        <v>72710</v>
      </c>
      <c r="E140" s="26" t="s">
        <v>105</v>
      </c>
      <c r="F140" s="542"/>
      <c r="G140" s="24"/>
    </row>
    <row r="141" spans="1:7" ht="30.9" customHeight="1">
      <c r="A141" s="536"/>
      <c r="B141" s="539"/>
      <c r="C141" s="26"/>
      <c r="D141" s="25">
        <v>59169</v>
      </c>
      <c r="E141" s="26" t="s">
        <v>108</v>
      </c>
      <c r="F141" s="542"/>
      <c r="G141" s="24"/>
    </row>
    <row r="142" spans="1:7" ht="30.9" customHeight="1">
      <c r="A142" s="537"/>
      <c r="B142" s="540"/>
      <c r="C142" s="26"/>
      <c r="D142" s="25">
        <v>7800</v>
      </c>
      <c r="E142" s="26" t="s">
        <v>143</v>
      </c>
      <c r="F142" s="543"/>
      <c r="G142" s="24"/>
    </row>
    <row r="143" spans="1:7" ht="30.9" customHeight="1">
      <c r="A143" s="535">
        <v>44983</v>
      </c>
      <c r="B143" s="538" t="s">
        <v>95</v>
      </c>
      <c r="C143" s="26"/>
      <c r="D143" s="25">
        <v>75240</v>
      </c>
      <c r="E143" s="26" t="s">
        <v>144</v>
      </c>
      <c r="F143" s="541">
        <f>SUM(D143:D147)</f>
        <v>223735</v>
      </c>
      <c r="G143" s="24"/>
    </row>
    <row r="144" spans="1:7" ht="30.9" customHeight="1">
      <c r="A144" s="536"/>
      <c r="B144" s="539"/>
      <c r="C144" s="26"/>
      <c r="D144" s="25">
        <v>36070</v>
      </c>
      <c r="E144" s="26" t="s">
        <v>53</v>
      </c>
      <c r="F144" s="542"/>
      <c r="G144" s="24"/>
    </row>
    <row r="145" spans="1:7" ht="30.9" customHeight="1">
      <c r="A145" s="536"/>
      <c r="B145" s="539"/>
      <c r="C145" s="26"/>
      <c r="D145" s="25">
        <v>19065</v>
      </c>
      <c r="E145" s="26" t="s">
        <v>14</v>
      </c>
      <c r="F145" s="542"/>
      <c r="G145" s="24"/>
    </row>
    <row r="146" spans="1:7" ht="30.9" customHeight="1">
      <c r="A146" s="536"/>
      <c r="B146" s="539"/>
      <c r="C146" s="26" t="s">
        <v>39</v>
      </c>
      <c r="D146" s="25">
        <v>63660</v>
      </c>
      <c r="E146" s="26" t="s">
        <v>105</v>
      </c>
      <c r="F146" s="542"/>
      <c r="G146" s="24"/>
    </row>
    <row r="147" spans="1:7" ht="30.9" customHeight="1">
      <c r="A147" s="537"/>
      <c r="B147" s="540"/>
      <c r="C147" s="26"/>
      <c r="D147" s="25">
        <v>29700</v>
      </c>
      <c r="E147" s="26" t="s">
        <v>145</v>
      </c>
      <c r="F147" s="543"/>
      <c r="G147" s="24"/>
    </row>
    <row r="148" spans="1:7" ht="30.9" customHeight="1">
      <c r="A148" s="535">
        <v>44984</v>
      </c>
      <c r="B148" s="538" t="s">
        <v>96</v>
      </c>
      <c r="C148" s="26"/>
      <c r="D148" s="25">
        <v>45200</v>
      </c>
      <c r="E148" s="26" t="s">
        <v>12</v>
      </c>
      <c r="F148" s="541">
        <f>SUM(D148:D149)</f>
        <v>90020</v>
      </c>
      <c r="G148" s="24"/>
    </row>
    <row r="149" spans="1:7" ht="30.9" customHeight="1">
      <c r="A149" s="537"/>
      <c r="B149" s="540"/>
      <c r="C149" s="26"/>
      <c r="D149" s="25">
        <v>44820</v>
      </c>
      <c r="E149" s="26" t="s">
        <v>146</v>
      </c>
      <c r="F149" s="543"/>
      <c r="G149" s="24"/>
    </row>
    <row r="150" spans="1:7" ht="30.9" customHeight="1">
      <c r="A150" s="535">
        <v>44985</v>
      </c>
      <c r="B150" s="538" t="s">
        <v>97</v>
      </c>
      <c r="C150" s="26" t="s">
        <v>106</v>
      </c>
      <c r="D150" s="25">
        <v>397729</v>
      </c>
      <c r="E150" s="26" t="s">
        <v>17</v>
      </c>
      <c r="F150" s="541">
        <f>SUM(D150:D153)</f>
        <v>425439</v>
      </c>
      <c r="G150" s="24"/>
    </row>
    <row r="151" spans="1:7" ht="30.9" customHeight="1">
      <c r="A151" s="536"/>
      <c r="B151" s="539"/>
      <c r="C151" s="26"/>
      <c r="D151" s="25">
        <v>1710</v>
      </c>
      <c r="E151" s="26" t="s">
        <v>44</v>
      </c>
      <c r="F151" s="542"/>
      <c r="G151" s="24"/>
    </row>
    <row r="152" spans="1:7" ht="30.9" customHeight="1">
      <c r="A152" s="536"/>
      <c r="B152" s="539"/>
      <c r="C152" s="26"/>
      <c r="D152" s="25">
        <v>16000</v>
      </c>
      <c r="E152" s="26" t="s">
        <v>147</v>
      </c>
      <c r="F152" s="542"/>
      <c r="G152" s="24"/>
    </row>
    <row r="153" spans="1:7" ht="30.9" customHeight="1">
      <c r="A153" s="537"/>
      <c r="B153" s="540"/>
      <c r="C153" s="26"/>
      <c r="D153" s="25">
        <v>10000</v>
      </c>
      <c r="E153" s="26" t="s">
        <v>148</v>
      </c>
      <c r="F153" s="543"/>
      <c r="G153" s="24"/>
    </row>
    <row r="154" spans="1:7" ht="30.9" customHeight="1">
      <c r="A154" s="32"/>
      <c r="B154" s="24"/>
      <c r="C154" s="26"/>
      <c r="D154" s="25">
        <v>130000</v>
      </c>
      <c r="E154" s="26" t="s">
        <v>32</v>
      </c>
      <c r="F154" s="25">
        <f>D154</f>
        <v>130000</v>
      </c>
      <c r="G154" s="24"/>
    </row>
    <row r="155" spans="1:7" ht="30.9" customHeight="1">
      <c r="A155" s="32"/>
      <c r="B155" s="24"/>
      <c r="C155" s="26"/>
      <c r="D155" s="25">
        <v>60000</v>
      </c>
      <c r="E155" s="26" t="s">
        <v>149</v>
      </c>
      <c r="F155" s="25">
        <f>D155</f>
        <v>60000</v>
      </c>
      <c r="G155" s="24"/>
    </row>
    <row r="156" spans="1:7" ht="30.9" customHeight="1">
      <c r="A156" s="532"/>
      <c r="B156" s="533"/>
      <c r="C156" s="533"/>
      <c r="D156" s="533"/>
      <c r="E156" s="534"/>
      <c r="F156" s="25">
        <f>SUM(F37:F155)</f>
        <v>6737507</v>
      </c>
      <c r="G156" s="24"/>
    </row>
  </sheetData>
  <mergeCells count="83">
    <mergeCell ref="A37:A41"/>
    <mergeCell ref="B37:B41"/>
    <mergeCell ref="F37:F41"/>
    <mergeCell ref="A1:B1"/>
    <mergeCell ref="C1:G1"/>
    <mergeCell ref="A2:B2"/>
    <mergeCell ref="A35:G35"/>
    <mergeCell ref="A36:B36"/>
    <mergeCell ref="A42:A44"/>
    <mergeCell ref="B42:B44"/>
    <mergeCell ref="F42:F44"/>
    <mergeCell ref="A45:A47"/>
    <mergeCell ref="B45:B47"/>
    <mergeCell ref="F45:F47"/>
    <mergeCell ref="A49:A52"/>
    <mergeCell ref="B49:B52"/>
    <mergeCell ref="F49:F52"/>
    <mergeCell ref="A53:A56"/>
    <mergeCell ref="B53:B56"/>
    <mergeCell ref="F53:F56"/>
    <mergeCell ref="A57:A60"/>
    <mergeCell ref="B57:B60"/>
    <mergeCell ref="F57:F60"/>
    <mergeCell ref="A61:A66"/>
    <mergeCell ref="B61:B66"/>
    <mergeCell ref="F61:F66"/>
    <mergeCell ref="A67:A71"/>
    <mergeCell ref="B67:B71"/>
    <mergeCell ref="F67:F71"/>
    <mergeCell ref="A72:A75"/>
    <mergeCell ref="B72:B75"/>
    <mergeCell ref="F72:F75"/>
    <mergeCell ref="A76:A80"/>
    <mergeCell ref="B76:B80"/>
    <mergeCell ref="F76:F80"/>
    <mergeCell ref="A82:A83"/>
    <mergeCell ref="B82:B83"/>
    <mergeCell ref="F82:F83"/>
    <mergeCell ref="A84:A87"/>
    <mergeCell ref="B84:B87"/>
    <mergeCell ref="F84:F87"/>
    <mergeCell ref="A88:A92"/>
    <mergeCell ref="B88:B92"/>
    <mergeCell ref="F88:F92"/>
    <mergeCell ref="A107:A108"/>
    <mergeCell ref="B107:B108"/>
    <mergeCell ref="F107:F108"/>
    <mergeCell ref="A93:A100"/>
    <mergeCell ref="B93:B100"/>
    <mergeCell ref="F93:F100"/>
    <mergeCell ref="A101:A106"/>
    <mergeCell ref="B101:B106"/>
    <mergeCell ref="F101:F106"/>
    <mergeCell ref="A125:A127"/>
    <mergeCell ref="B125:B127"/>
    <mergeCell ref="F125:F127"/>
    <mergeCell ref="A109:A113"/>
    <mergeCell ref="B109:B113"/>
    <mergeCell ref="F109:F113"/>
    <mergeCell ref="A114:A119"/>
    <mergeCell ref="B114:B119"/>
    <mergeCell ref="F114:F119"/>
    <mergeCell ref="A120:A124"/>
    <mergeCell ref="B120:B124"/>
    <mergeCell ref="A128:A130"/>
    <mergeCell ref="B128:B130"/>
    <mergeCell ref="F128:F130"/>
    <mergeCell ref="A131:A135"/>
    <mergeCell ref="B131:B135"/>
    <mergeCell ref="F131:F135"/>
    <mergeCell ref="A156:E156"/>
    <mergeCell ref="A136:A142"/>
    <mergeCell ref="B136:B142"/>
    <mergeCell ref="F136:F142"/>
    <mergeCell ref="A143:A147"/>
    <mergeCell ref="B143:B147"/>
    <mergeCell ref="F143:F147"/>
    <mergeCell ref="A148:A149"/>
    <mergeCell ref="B148:B149"/>
    <mergeCell ref="F148:F149"/>
    <mergeCell ref="A150:A153"/>
    <mergeCell ref="B150:B153"/>
    <mergeCell ref="F150:F153"/>
  </mergeCells>
  <phoneticPr fontId="1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49E6-85F5-3D44-9785-9C0AE8346AAA}">
  <sheetPr codeName="Sheet7"/>
  <dimension ref="A1:I225"/>
  <sheetViews>
    <sheetView topLeftCell="A43" zoomScale="101" workbookViewId="0">
      <selection activeCell="K63" sqref="K63"/>
    </sheetView>
  </sheetViews>
  <sheetFormatPr defaultColWidth="10.6328125" defaultRowHeight="15"/>
  <cols>
    <col min="1" max="1" width="6.6328125" style="19" customWidth="1"/>
    <col min="2" max="2" width="2.90625" style="19" customWidth="1"/>
    <col min="3" max="6" width="13" style="19" customWidth="1"/>
    <col min="7" max="7" width="8.54296875" style="19" customWidth="1"/>
    <col min="8" max="8" width="10.6328125" style="19" customWidth="1"/>
    <col min="9" max="16384" width="10.6328125" style="19"/>
  </cols>
  <sheetData>
    <row r="1" spans="1:7" ht="27" customHeight="1">
      <c r="A1" s="547" t="s">
        <v>37</v>
      </c>
      <c r="B1" s="547"/>
      <c r="C1" s="555"/>
      <c r="D1" s="556"/>
      <c r="E1" s="556"/>
      <c r="F1" s="556"/>
      <c r="G1" s="556"/>
    </row>
    <row r="2" spans="1:7" ht="27" customHeight="1">
      <c r="A2" s="557" t="s">
        <v>0</v>
      </c>
      <c r="B2" s="557"/>
      <c r="C2" s="45" t="s">
        <v>1</v>
      </c>
      <c r="D2" s="46" t="s">
        <v>4</v>
      </c>
      <c r="E2" s="46" t="s">
        <v>69</v>
      </c>
      <c r="F2" s="46" t="s">
        <v>5</v>
      </c>
      <c r="G2" s="46" t="s">
        <v>67</v>
      </c>
    </row>
    <row r="3" spans="1:7" ht="30.9" customHeight="1">
      <c r="A3" s="27">
        <v>44986</v>
      </c>
      <c r="B3" s="28" t="s">
        <v>66</v>
      </c>
      <c r="C3" s="25">
        <v>418832</v>
      </c>
      <c r="D3" s="25">
        <f>F38</f>
        <v>45569</v>
      </c>
      <c r="E3" s="25">
        <f>C3-D3</f>
        <v>373263</v>
      </c>
      <c r="F3" s="25">
        <f>E3</f>
        <v>373263</v>
      </c>
      <c r="G3" s="22"/>
    </row>
    <row r="4" spans="1:7" ht="30.9" customHeight="1">
      <c r="A4" s="27">
        <v>44987</v>
      </c>
      <c r="B4" s="28" t="s">
        <v>68</v>
      </c>
      <c r="C4" s="25">
        <v>289820</v>
      </c>
      <c r="D4" s="25">
        <f>F41</f>
        <v>83955</v>
      </c>
      <c r="E4" s="25">
        <f t="shared" ref="E4:E34" si="0">C4-D4</f>
        <v>205865</v>
      </c>
      <c r="F4" s="25">
        <f>F3+E4</f>
        <v>579128</v>
      </c>
      <c r="G4" s="22"/>
    </row>
    <row r="5" spans="1:7" ht="30.9" customHeight="1">
      <c r="A5" s="27">
        <v>44988</v>
      </c>
      <c r="B5" s="28" t="s">
        <v>56</v>
      </c>
      <c r="C5" s="25">
        <v>589257</v>
      </c>
      <c r="D5" s="25">
        <f>F44</f>
        <v>190842</v>
      </c>
      <c r="E5" s="25">
        <f t="shared" si="0"/>
        <v>398415</v>
      </c>
      <c r="F5" s="25">
        <f>F4+E5</f>
        <v>977543</v>
      </c>
      <c r="G5" s="21"/>
    </row>
    <row r="6" spans="1:7" ht="30.9" customHeight="1">
      <c r="A6" s="27">
        <v>44989</v>
      </c>
      <c r="B6" s="28" t="s">
        <v>58</v>
      </c>
      <c r="C6" s="25">
        <v>463659</v>
      </c>
      <c r="D6" s="25">
        <f>F52</f>
        <v>263162</v>
      </c>
      <c r="E6" s="25">
        <f t="shared" si="0"/>
        <v>200497</v>
      </c>
      <c r="F6" s="25">
        <f t="shared" ref="F6:F34" si="1">F5+E6</f>
        <v>1178040</v>
      </c>
      <c r="G6" s="21"/>
    </row>
    <row r="7" spans="1:7" ht="30.9" customHeight="1">
      <c r="A7" s="27">
        <v>44990</v>
      </c>
      <c r="B7" s="28" t="s">
        <v>60</v>
      </c>
      <c r="C7" s="25">
        <v>401658</v>
      </c>
      <c r="D7" s="25">
        <f>F61</f>
        <v>118683</v>
      </c>
      <c r="E7" s="25">
        <f t="shared" si="0"/>
        <v>282975</v>
      </c>
      <c r="F7" s="25">
        <f t="shared" si="1"/>
        <v>1461015</v>
      </c>
      <c r="G7" s="21"/>
    </row>
    <row r="8" spans="1:7" ht="30.9" customHeight="1">
      <c r="A8" s="27">
        <v>44991</v>
      </c>
      <c r="B8" s="28" t="s">
        <v>62</v>
      </c>
      <c r="C8" s="25">
        <v>195456</v>
      </c>
      <c r="D8" s="25">
        <f>F65</f>
        <v>996094</v>
      </c>
      <c r="E8" s="25">
        <f t="shared" si="0"/>
        <v>-800638</v>
      </c>
      <c r="F8" s="25">
        <f t="shared" si="1"/>
        <v>660377</v>
      </c>
      <c r="G8" s="21"/>
    </row>
    <row r="9" spans="1:7" ht="30.9" customHeight="1">
      <c r="A9" s="27">
        <v>44992</v>
      </c>
      <c r="B9" s="28" t="s">
        <v>64</v>
      </c>
      <c r="C9" s="25">
        <v>185887</v>
      </c>
      <c r="D9" s="25">
        <f>F71</f>
        <v>245332</v>
      </c>
      <c r="E9" s="25">
        <f t="shared" si="0"/>
        <v>-59445</v>
      </c>
      <c r="F9" s="25">
        <f t="shared" si="1"/>
        <v>600932</v>
      </c>
      <c r="G9" s="21"/>
    </row>
    <row r="10" spans="1:7" ht="30.9" customHeight="1">
      <c r="A10" s="27">
        <v>44993</v>
      </c>
      <c r="B10" s="28" t="s">
        <v>65</v>
      </c>
      <c r="C10" s="25">
        <v>243908</v>
      </c>
      <c r="D10" s="25">
        <f>F75</f>
        <v>176477</v>
      </c>
      <c r="E10" s="25">
        <f t="shared" si="0"/>
        <v>67431</v>
      </c>
      <c r="F10" s="25">
        <f t="shared" si="1"/>
        <v>668363</v>
      </c>
      <c r="G10" s="21"/>
    </row>
    <row r="11" spans="1:7" ht="30.9" customHeight="1">
      <c r="A11" s="27">
        <v>44994</v>
      </c>
      <c r="B11" s="28" t="s">
        <v>54</v>
      </c>
      <c r="C11" s="25">
        <v>196885</v>
      </c>
      <c r="D11" s="25">
        <f>F80</f>
        <v>127305</v>
      </c>
      <c r="E11" s="25">
        <f t="shared" si="0"/>
        <v>69580</v>
      </c>
      <c r="F11" s="25">
        <f t="shared" si="1"/>
        <v>737943</v>
      </c>
      <c r="G11" s="21"/>
    </row>
    <row r="12" spans="1:7" ht="30.9" customHeight="1">
      <c r="A12" s="27">
        <v>44995</v>
      </c>
      <c r="B12" s="28" t="s">
        <v>55</v>
      </c>
      <c r="C12" s="25">
        <v>416444</v>
      </c>
      <c r="D12" s="25">
        <f>F83</f>
        <v>41230</v>
      </c>
      <c r="E12" s="25">
        <f t="shared" si="0"/>
        <v>375214</v>
      </c>
      <c r="F12" s="25">
        <f>F11+E12</f>
        <v>1113157</v>
      </c>
      <c r="G12" s="21"/>
    </row>
    <row r="13" spans="1:7" ht="30.9" customHeight="1">
      <c r="A13" s="27">
        <v>44996</v>
      </c>
      <c r="B13" s="28" t="s">
        <v>57</v>
      </c>
      <c r="C13" s="25">
        <v>591768</v>
      </c>
      <c r="D13" s="25">
        <f>F85</f>
        <v>42446</v>
      </c>
      <c r="E13" s="25">
        <f t="shared" si="0"/>
        <v>549322</v>
      </c>
      <c r="F13" s="25">
        <f>F12+E13</f>
        <v>1662479</v>
      </c>
      <c r="G13" s="21"/>
    </row>
    <row r="14" spans="1:7" ht="30.9" customHeight="1">
      <c r="A14" s="27">
        <v>44997</v>
      </c>
      <c r="B14" s="28" t="s">
        <v>59</v>
      </c>
      <c r="C14" s="25">
        <v>386901</v>
      </c>
      <c r="D14" s="25">
        <f>F88</f>
        <v>871431</v>
      </c>
      <c r="E14" s="25">
        <f t="shared" si="0"/>
        <v>-484530</v>
      </c>
      <c r="F14" s="25">
        <f>F13+E14</f>
        <v>1177949</v>
      </c>
      <c r="G14" s="21"/>
    </row>
    <row r="15" spans="1:7" ht="30.9" customHeight="1">
      <c r="A15" s="27">
        <v>44998</v>
      </c>
      <c r="B15" s="28" t="s">
        <v>61</v>
      </c>
      <c r="C15" s="25">
        <v>213669</v>
      </c>
      <c r="D15" s="25">
        <f>F95</f>
        <v>107786</v>
      </c>
      <c r="E15" s="25">
        <f t="shared" si="0"/>
        <v>105883</v>
      </c>
      <c r="F15" s="25">
        <f>F14+E15</f>
        <v>1283832</v>
      </c>
      <c r="G15" s="21"/>
    </row>
    <row r="16" spans="1:7" ht="30.9" customHeight="1">
      <c r="A16" s="27">
        <v>44999</v>
      </c>
      <c r="B16" s="28" t="s">
        <v>63</v>
      </c>
      <c r="C16" s="25">
        <v>286213</v>
      </c>
      <c r="D16" s="25">
        <f>F98</f>
        <v>184313</v>
      </c>
      <c r="E16" s="25">
        <f t="shared" si="0"/>
        <v>101900</v>
      </c>
      <c r="F16" s="25">
        <f t="shared" si="1"/>
        <v>1385732</v>
      </c>
      <c r="G16" s="21"/>
    </row>
    <row r="17" spans="1:7" ht="30.9" customHeight="1">
      <c r="A17" s="27">
        <v>45000</v>
      </c>
      <c r="B17" s="28" t="s">
        <v>65</v>
      </c>
      <c r="C17" s="25">
        <v>214192</v>
      </c>
      <c r="D17" s="25">
        <f>F103</f>
        <v>230206</v>
      </c>
      <c r="E17" s="25">
        <f t="shared" si="0"/>
        <v>-16014</v>
      </c>
      <c r="F17" s="25">
        <f>F16+E17</f>
        <v>1369718</v>
      </c>
      <c r="G17" s="21"/>
    </row>
    <row r="18" spans="1:7" ht="30.9" customHeight="1">
      <c r="A18" s="27">
        <v>45001</v>
      </c>
      <c r="B18" s="28" t="s">
        <v>54</v>
      </c>
      <c r="C18" s="25">
        <v>181386</v>
      </c>
      <c r="D18" s="25">
        <f>F109</f>
        <v>144374</v>
      </c>
      <c r="E18" s="25">
        <f t="shared" si="0"/>
        <v>37012</v>
      </c>
      <c r="F18" s="25">
        <f t="shared" si="1"/>
        <v>1406730</v>
      </c>
      <c r="G18" s="21"/>
    </row>
    <row r="19" spans="1:7" ht="30.9" customHeight="1">
      <c r="A19" s="27">
        <v>45002</v>
      </c>
      <c r="B19" s="28" t="s">
        <v>55</v>
      </c>
      <c r="C19" s="25">
        <v>581148</v>
      </c>
      <c r="D19" s="25">
        <f>F115</f>
        <v>138200</v>
      </c>
      <c r="E19" s="25">
        <f t="shared" si="0"/>
        <v>442948</v>
      </c>
      <c r="F19" s="25">
        <f t="shared" si="1"/>
        <v>1849678</v>
      </c>
      <c r="G19" s="21"/>
    </row>
    <row r="20" spans="1:7" ht="30.9" customHeight="1">
      <c r="A20" s="27">
        <v>45003</v>
      </c>
      <c r="B20" s="28" t="s">
        <v>57</v>
      </c>
      <c r="C20" s="25">
        <v>360237</v>
      </c>
      <c r="D20" s="25">
        <f>F120</f>
        <v>235100</v>
      </c>
      <c r="E20" s="25">
        <f t="shared" si="0"/>
        <v>125137</v>
      </c>
      <c r="F20" s="25">
        <f t="shared" si="1"/>
        <v>1974815</v>
      </c>
      <c r="G20" s="21"/>
    </row>
    <row r="21" spans="1:7" ht="30.9" customHeight="1">
      <c r="A21" s="27">
        <v>45004</v>
      </c>
      <c r="B21" s="28" t="s">
        <v>59</v>
      </c>
      <c r="C21" s="25">
        <v>280605</v>
      </c>
      <c r="D21" s="25">
        <f>F125</f>
        <v>183908</v>
      </c>
      <c r="E21" s="25">
        <f t="shared" si="0"/>
        <v>96697</v>
      </c>
      <c r="F21" s="25">
        <f t="shared" si="1"/>
        <v>2071512</v>
      </c>
      <c r="G21" s="21"/>
    </row>
    <row r="22" spans="1:7" ht="30.9" customHeight="1">
      <c r="A22" s="27">
        <v>45005</v>
      </c>
      <c r="B22" s="28" t="s">
        <v>61</v>
      </c>
      <c r="C22" s="25">
        <v>261819</v>
      </c>
      <c r="D22" s="25">
        <f>F129</f>
        <v>662444</v>
      </c>
      <c r="E22" s="25">
        <f t="shared" si="0"/>
        <v>-400625</v>
      </c>
      <c r="F22" s="25">
        <f t="shared" si="1"/>
        <v>1670887</v>
      </c>
      <c r="G22" s="21"/>
    </row>
    <row r="23" spans="1:7" ht="30.9" customHeight="1">
      <c r="A23" s="27">
        <v>45006</v>
      </c>
      <c r="B23" s="28" t="s">
        <v>63</v>
      </c>
      <c r="C23" s="25">
        <v>232191</v>
      </c>
      <c r="D23" s="25">
        <f>F133</f>
        <v>80970</v>
      </c>
      <c r="E23" s="25">
        <f t="shared" si="0"/>
        <v>151221</v>
      </c>
      <c r="F23" s="25">
        <f t="shared" si="1"/>
        <v>1822108</v>
      </c>
      <c r="G23" s="21"/>
    </row>
    <row r="24" spans="1:7" ht="30.9" customHeight="1">
      <c r="A24" s="27">
        <v>45007</v>
      </c>
      <c r="B24" s="28" t="s">
        <v>65</v>
      </c>
      <c r="C24" s="25">
        <v>169153</v>
      </c>
      <c r="D24" s="25">
        <f>F138</f>
        <v>72324</v>
      </c>
      <c r="E24" s="25">
        <f t="shared" si="0"/>
        <v>96829</v>
      </c>
      <c r="F24" s="25">
        <f t="shared" si="1"/>
        <v>1918937</v>
      </c>
      <c r="G24" s="21"/>
    </row>
    <row r="25" spans="1:7" ht="30.9" customHeight="1">
      <c r="A25" s="27">
        <v>45008</v>
      </c>
      <c r="B25" s="28" t="s">
        <v>54</v>
      </c>
      <c r="C25" s="25">
        <v>244680</v>
      </c>
      <c r="D25" s="25">
        <f>F139</f>
        <v>86060</v>
      </c>
      <c r="E25" s="25">
        <f t="shared" si="0"/>
        <v>158620</v>
      </c>
      <c r="F25" s="25">
        <f>F24+E25</f>
        <v>2077557</v>
      </c>
      <c r="G25" s="21"/>
    </row>
    <row r="26" spans="1:7" ht="30.9" customHeight="1">
      <c r="A26" s="27">
        <v>45009</v>
      </c>
      <c r="B26" s="28" t="s">
        <v>55</v>
      </c>
      <c r="C26" s="25">
        <v>438725</v>
      </c>
      <c r="D26" s="25">
        <f>F143</f>
        <v>114890</v>
      </c>
      <c r="E26" s="25">
        <f t="shared" si="0"/>
        <v>323835</v>
      </c>
      <c r="F26" s="25">
        <f t="shared" si="1"/>
        <v>2401392</v>
      </c>
      <c r="G26" s="21"/>
    </row>
    <row r="27" spans="1:7" ht="30.9" customHeight="1">
      <c r="A27" s="27">
        <v>45010</v>
      </c>
      <c r="B27" s="28" t="s">
        <v>57</v>
      </c>
      <c r="C27" s="25">
        <v>550730</v>
      </c>
      <c r="D27" s="25">
        <f>F146</f>
        <v>684758</v>
      </c>
      <c r="E27" s="25">
        <f t="shared" si="0"/>
        <v>-134028</v>
      </c>
      <c r="F27" s="25">
        <f>F26+E27</f>
        <v>2267364</v>
      </c>
      <c r="G27" s="21"/>
    </row>
    <row r="28" spans="1:7" ht="30.9" customHeight="1">
      <c r="A28" s="27">
        <v>45011</v>
      </c>
      <c r="B28" s="28" t="s">
        <v>59</v>
      </c>
      <c r="C28" s="25">
        <v>340934</v>
      </c>
      <c r="D28" s="25">
        <f>F153</f>
        <v>38392</v>
      </c>
      <c r="E28" s="25">
        <f t="shared" si="0"/>
        <v>302542</v>
      </c>
      <c r="F28" s="25">
        <f t="shared" si="1"/>
        <v>2569906</v>
      </c>
      <c r="G28" s="21"/>
    </row>
    <row r="29" spans="1:7" ht="30.9" customHeight="1">
      <c r="A29" s="27">
        <v>45012</v>
      </c>
      <c r="B29" s="28" t="s">
        <v>61</v>
      </c>
      <c r="C29" s="25">
        <v>0</v>
      </c>
      <c r="D29" s="25">
        <f>F155</f>
        <v>42795</v>
      </c>
      <c r="E29" s="25">
        <f t="shared" si="0"/>
        <v>-42795</v>
      </c>
      <c r="F29" s="25">
        <f t="shared" si="1"/>
        <v>2527111</v>
      </c>
      <c r="G29" s="21"/>
    </row>
    <row r="30" spans="1:7" ht="30.9" customHeight="1">
      <c r="A30" s="27">
        <v>45013</v>
      </c>
      <c r="B30" s="28" t="s">
        <v>63</v>
      </c>
      <c r="C30" s="25">
        <v>319435</v>
      </c>
      <c r="D30" s="25">
        <f>F156</f>
        <v>712172</v>
      </c>
      <c r="E30" s="25">
        <f t="shared" si="0"/>
        <v>-392737</v>
      </c>
      <c r="F30" s="25">
        <f>F29+E30</f>
        <v>2134374</v>
      </c>
      <c r="G30" s="21"/>
    </row>
    <row r="31" spans="1:7" ht="30.9" customHeight="1">
      <c r="A31" s="27">
        <v>45014</v>
      </c>
      <c r="B31" s="28" t="s">
        <v>65</v>
      </c>
      <c r="C31" s="25">
        <v>282375</v>
      </c>
      <c r="D31" s="25">
        <f>F162</f>
        <v>259900</v>
      </c>
      <c r="E31" s="25">
        <f t="shared" si="0"/>
        <v>22475</v>
      </c>
      <c r="F31" s="25">
        <f>F30+E31</f>
        <v>2156849</v>
      </c>
      <c r="G31" s="21"/>
    </row>
    <row r="32" spans="1:7" ht="30.9" customHeight="1">
      <c r="A32" s="27">
        <v>45015</v>
      </c>
      <c r="B32" s="28" t="s">
        <v>54</v>
      </c>
      <c r="C32" s="25">
        <v>302199</v>
      </c>
      <c r="D32" s="25">
        <f>F165</f>
        <v>141888</v>
      </c>
      <c r="E32" s="25">
        <f t="shared" si="0"/>
        <v>160311</v>
      </c>
      <c r="F32" s="25">
        <f t="shared" si="1"/>
        <v>2317160</v>
      </c>
      <c r="G32" s="21"/>
    </row>
    <row r="33" spans="1:7" ht="30.9" customHeight="1">
      <c r="A33" s="27">
        <v>45016</v>
      </c>
      <c r="B33" s="28" t="s">
        <v>55</v>
      </c>
      <c r="C33" s="25">
        <v>705681</v>
      </c>
      <c r="D33" s="25">
        <f>F171</f>
        <v>315830</v>
      </c>
      <c r="E33" s="25">
        <f t="shared" si="0"/>
        <v>389851</v>
      </c>
      <c r="F33" s="25">
        <f t="shared" si="1"/>
        <v>2707011</v>
      </c>
      <c r="G33" s="21"/>
    </row>
    <row r="34" spans="1:7" ht="30.9" customHeight="1">
      <c r="A34" s="559"/>
      <c r="B34" s="560"/>
      <c r="C34" s="561"/>
      <c r="D34" s="25">
        <v>708321</v>
      </c>
      <c r="E34" s="25">
        <f t="shared" si="0"/>
        <v>-708321</v>
      </c>
      <c r="F34" s="25">
        <f t="shared" si="1"/>
        <v>1998690</v>
      </c>
      <c r="G34" s="21"/>
    </row>
    <row r="35" spans="1:7" ht="39" customHeight="1">
      <c r="A35" s="558" t="s">
        <v>171</v>
      </c>
      <c r="B35" s="558"/>
      <c r="C35" s="43">
        <f>SUM(C3:C33)</f>
        <v>10345847</v>
      </c>
      <c r="D35" s="43">
        <f>SUM(D3:D33)</f>
        <v>7638836</v>
      </c>
      <c r="E35" s="44"/>
      <c r="F35" s="44"/>
      <c r="G35" s="44"/>
    </row>
    <row r="36" spans="1:7" ht="51.9" customHeight="1">
      <c r="A36" s="554" t="s">
        <v>172</v>
      </c>
      <c r="B36" s="554"/>
      <c r="C36" s="554"/>
      <c r="D36" s="554"/>
      <c r="E36" s="554"/>
      <c r="F36" s="554"/>
      <c r="G36" s="554"/>
    </row>
    <row r="37" spans="1:7" ht="20.399999999999999">
      <c r="A37" s="550" t="s">
        <v>0</v>
      </c>
      <c r="B37" s="550"/>
      <c r="C37" s="10" t="s">
        <v>70</v>
      </c>
      <c r="D37" s="20" t="s">
        <v>71</v>
      </c>
      <c r="E37" s="20" t="s">
        <v>72</v>
      </c>
      <c r="F37" s="20" t="s">
        <v>73</v>
      </c>
      <c r="G37" s="20" t="s">
        <v>74</v>
      </c>
    </row>
    <row r="38" spans="1:7" ht="30.9" customHeight="1">
      <c r="A38" s="535">
        <v>44986</v>
      </c>
      <c r="B38" s="538" t="s">
        <v>84</v>
      </c>
      <c r="C38" s="25" t="s">
        <v>75</v>
      </c>
      <c r="D38" s="25">
        <v>17099</v>
      </c>
      <c r="E38" s="25" t="s">
        <v>76</v>
      </c>
      <c r="F38" s="541">
        <f>SUM(D38:D39)</f>
        <v>45569</v>
      </c>
      <c r="G38" s="23"/>
    </row>
    <row r="39" spans="1:7" ht="30.9" customHeight="1">
      <c r="A39" s="537"/>
      <c r="B39" s="540"/>
      <c r="C39" s="25" t="s">
        <v>77</v>
      </c>
      <c r="D39" s="25">
        <v>28470</v>
      </c>
      <c r="E39" s="25" t="s">
        <v>78</v>
      </c>
      <c r="F39" s="546"/>
      <c r="G39" s="23"/>
    </row>
    <row r="40" spans="1:7" ht="30.9" customHeight="1">
      <c r="A40" s="40"/>
      <c r="B40" s="41"/>
      <c r="C40" s="25"/>
      <c r="D40" s="25">
        <v>130000</v>
      </c>
      <c r="E40" s="25" t="s">
        <v>32</v>
      </c>
      <c r="F40" s="42"/>
      <c r="G40" s="23"/>
    </row>
    <row r="41" spans="1:7" ht="30.9" customHeight="1">
      <c r="A41" s="535">
        <v>44987</v>
      </c>
      <c r="B41" s="538" t="s">
        <v>85</v>
      </c>
      <c r="C41" s="26" t="s">
        <v>79</v>
      </c>
      <c r="D41" s="25">
        <v>8730</v>
      </c>
      <c r="E41" s="26" t="s">
        <v>80</v>
      </c>
      <c r="F41" s="541">
        <f>SUM(D41:D43)</f>
        <v>83955</v>
      </c>
      <c r="G41" s="24"/>
    </row>
    <row r="42" spans="1:7" ht="30.9" customHeight="1">
      <c r="A42" s="536"/>
      <c r="B42" s="539"/>
      <c r="C42" s="26" t="s">
        <v>98</v>
      </c>
      <c r="D42" s="25">
        <v>48400</v>
      </c>
      <c r="E42" s="26" t="s">
        <v>99</v>
      </c>
      <c r="F42" s="542"/>
      <c r="G42" s="24"/>
    </row>
    <row r="43" spans="1:7" ht="30.9" customHeight="1">
      <c r="A43" s="537"/>
      <c r="B43" s="540"/>
      <c r="C43" s="26" t="s">
        <v>81</v>
      </c>
      <c r="D43" s="25">
        <v>26825</v>
      </c>
      <c r="E43" s="26" t="s">
        <v>82</v>
      </c>
      <c r="F43" s="543"/>
      <c r="G43" s="24"/>
    </row>
    <row r="44" spans="1:7" ht="30.9" customHeight="1">
      <c r="A44" s="535">
        <v>44988</v>
      </c>
      <c r="B44" s="538" t="s">
        <v>86</v>
      </c>
      <c r="C44" s="26" t="s">
        <v>153</v>
      </c>
      <c r="D44" s="25">
        <v>3634</v>
      </c>
      <c r="E44" s="26" t="s">
        <v>114</v>
      </c>
      <c r="F44" s="541">
        <f>SUM(D44:D51)</f>
        <v>190842</v>
      </c>
      <c r="G44" s="24"/>
    </row>
    <row r="45" spans="1:7" ht="30.9" customHeight="1">
      <c r="A45" s="536"/>
      <c r="B45" s="539"/>
      <c r="C45" s="26" t="s">
        <v>154</v>
      </c>
      <c r="D45" s="25">
        <v>26738</v>
      </c>
      <c r="E45" s="26" t="s">
        <v>150</v>
      </c>
      <c r="F45" s="542"/>
      <c r="G45" s="24"/>
    </row>
    <row r="46" spans="1:7" ht="30.9" customHeight="1">
      <c r="A46" s="536"/>
      <c r="B46" s="539"/>
      <c r="C46" s="26" t="s">
        <v>18</v>
      </c>
      <c r="D46" s="25">
        <v>1830</v>
      </c>
      <c r="E46" s="26" t="s">
        <v>44</v>
      </c>
      <c r="F46" s="542"/>
      <c r="G46" s="24"/>
    </row>
    <row r="47" spans="1:7" ht="30.9" customHeight="1">
      <c r="A47" s="536"/>
      <c r="B47" s="539"/>
      <c r="C47" s="26"/>
      <c r="D47" s="25">
        <v>6000</v>
      </c>
      <c r="E47" s="26" t="s">
        <v>151</v>
      </c>
      <c r="F47" s="542"/>
      <c r="G47" s="24"/>
    </row>
    <row r="48" spans="1:7" ht="30.9" customHeight="1">
      <c r="A48" s="536"/>
      <c r="B48" s="539"/>
      <c r="C48" s="26"/>
      <c r="D48" s="25">
        <v>46320</v>
      </c>
      <c r="E48" s="26" t="s">
        <v>103</v>
      </c>
      <c r="F48" s="542"/>
      <c r="G48" s="24"/>
    </row>
    <row r="49" spans="1:7" ht="30.9" customHeight="1">
      <c r="A49" s="536"/>
      <c r="B49" s="539"/>
      <c r="C49" s="26" t="s">
        <v>39</v>
      </c>
      <c r="D49" s="25">
        <v>46660</v>
      </c>
      <c r="E49" s="26" t="s">
        <v>103</v>
      </c>
      <c r="F49" s="542"/>
      <c r="G49" s="24"/>
    </row>
    <row r="50" spans="1:7" ht="30.9" customHeight="1">
      <c r="A50" s="536"/>
      <c r="B50" s="539"/>
      <c r="C50" s="26" t="s">
        <v>155</v>
      </c>
      <c r="D50" s="25">
        <v>36700</v>
      </c>
      <c r="E50" s="26" t="s">
        <v>18</v>
      </c>
      <c r="F50" s="542"/>
      <c r="G50" s="24"/>
    </row>
    <row r="51" spans="1:7" ht="30.9" customHeight="1">
      <c r="A51" s="537"/>
      <c r="B51" s="540"/>
      <c r="C51" s="26" t="s">
        <v>98</v>
      </c>
      <c r="D51" s="25">
        <v>22960</v>
      </c>
      <c r="E51" s="26" t="s">
        <v>152</v>
      </c>
      <c r="F51" s="543"/>
      <c r="G51" s="24"/>
    </row>
    <row r="52" spans="1:7" ht="30.9" customHeight="1">
      <c r="A52" s="535">
        <v>44989</v>
      </c>
      <c r="B52" s="538" t="s">
        <v>87</v>
      </c>
      <c r="C52" s="26" t="s">
        <v>98</v>
      </c>
      <c r="D52" s="25">
        <v>37560</v>
      </c>
      <c r="E52" s="26" t="s">
        <v>156</v>
      </c>
      <c r="F52" s="541">
        <f>SUM(D52:D60)</f>
        <v>263162</v>
      </c>
      <c r="G52" s="24"/>
    </row>
    <row r="53" spans="1:7" ht="30.9" customHeight="1">
      <c r="A53" s="536"/>
      <c r="B53" s="539"/>
      <c r="C53" s="26" t="s">
        <v>157</v>
      </c>
      <c r="D53" s="25">
        <v>42190</v>
      </c>
      <c r="E53" s="26" t="s">
        <v>158</v>
      </c>
      <c r="F53" s="542"/>
      <c r="G53" s="24"/>
    </row>
    <row r="54" spans="1:7" ht="30.9" customHeight="1">
      <c r="A54" s="536"/>
      <c r="B54" s="539"/>
      <c r="C54" s="26" t="s">
        <v>98</v>
      </c>
      <c r="D54" s="25">
        <v>20400</v>
      </c>
      <c r="E54" s="26" t="s">
        <v>12</v>
      </c>
      <c r="F54" s="542"/>
      <c r="G54" s="24"/>
    </row>
    <row r="55" spans="1:7" ht="30.9" customHeight="1">
      <c r="A55" s="536"/>
      <c r="B55" s="539"/>
      <c r="C55" s="26" t="s">
        <v>159</v>
      </c>
      <c r="D55" s="25">
        <v>11400</v>
      </c>
      <c r="E55" s="26" t="s">
        <v>122</v>
      </c>
      <c r="F55" s="542"/>
      <c r="G55" s="24"/>
    </row>
    <row r="56" spans="1:7" ht="30.9" customHeight="1">
      <c r="A56" s="536"/>
      <c r="B56" s="539"/>
      <c r="C56" s="26" t="s">
        <v>159</v>
      </c>
      <c r="D56" s="25">
        <v>40720</v>
      </c>
      <c r="E56" s="26" t="s">
        <v>160</v>
      </c>
      <c r="F56" s="542"/>
      <c r="G56" s="24"/>
    </row>
    <row r="57" spans="1:7" ht="30.9" customHeight="1">
      <c r="A57" s="536"/>
      <c r="B57" s="539"/>
      <c r="C57" s="26" t="s">
        <v>75</v>
      </c>
      <c r="D57" s="25">
        <v>52614</v>
      </c>
      <c r="E57" s="26" t="s">
        <v>25</v>
      </c>
      <c r="F57" s="542"/>
      <c r="G57" s="24"/>
    </row>
    <row r="58" spans="1:7" ht="30.9" customHeight="1">
      <c r="A58" s="536"/>
      <c r="B58" s="539"/>
      <c r="C58" s="26" t="s">
        <v>23</v>
      </c>
      <c r="D58" s="25">
        <v>5048</v>
      </c>
      <c r="E58" s="26" t="s">
        <v>21</v>
      </c>
      <c r="F58" s="542"/>
      <c r="G58" s="24"/>
    </row>
    <row r="59" spans="1:7" ht="30.9" customHeight="1">
      <c r="A59" s="536"/>
      <c r="B59" s="539"/>
      <c r="C59" s="26" t="s">
        <v>77</v>
      </c>
      <c r="D59" s="25">
        <v>30330</v>
      </c>
      <c r="E59" s="26" t="s">
        <v>112</v>
      </c>
      <c r="F59" s="542"/>
      <c r="G59" s="24"/>
    </row>
    <row r="60" spans="1:7" ht="30.9" customHeight="1">
      <c r="A60" s="537"/>
      <c r="B60" s="540"/>
      <c r="C60" s="26" t="s">
        <v>98</v>
      </c>
      <c r="D60" s="25">
        <v>22900</v>
      </c>
      <c r="E60" s="26" t="s">
        <v>30</v>
      </c>
      <c r="F60" s="543"/>
      <c r="G60" s="24"/>
    </row>
    <row r="61" spans="1:7" ht="30.9" customHeight="1">
      <c r="A61" s="535">
        <v>44990</v>
      </c>
      <c r="B61" s="538" t="s">
        <v>88</v>
      </c>
      <c r="C61" s="26" t="s">
        <v>23</v>
      </c>
      <c r="D61" s="25">
        <v>3860</v>
      </c>
      <c r="E61" s="26" t="s">
        <v>21</v>
      </c>
      <c r="F61" s="541">
        <f>SUM(D61:D64)</f>
        <v>118683</v>
      </c>
      <c r="G61" s="24"/>
    </row>
    <row r="62" spans="1:7" ht="30.9" customHeight="1">
      <c r="A62" s="536"/>
      <c r="B62" s="539"/>
      <c r="C62" s="26"/>
      <c r="D62" s="25">
        <v>33190</v>
      </c>
      <c r="E62" s="26" t="s">
        <v>161</v>
      </c>
      <c r="F62" s="542"/>
      <c r="G62" s="24"/>
    </row>
    <row r="63" spans="1:7" ht="30.9" customHeight="1">
      <c r="A63" s="536"/>
      <c r="B63" s="539"/>
      <c r="C63" s="26" t="s">
        <v>75</v>
      </c>
      <c r="D63" s="25">
        <v>57633</v>
      </c>
      <c r="E63" s="26" t="s">
        <v>25</v>
      </c>
      <c r="F63" s="542"/>
      <c r="G63" s="24"/>
    </row>
    <row r="64" spans="1:7" ht="30.9" customHeight="1">
      <c r="A64" s="537"/>
      <c r="B64" s="540"/>
      <c r="C64" s="26" t="s">
        <v>98</v>
      </c>
      <c r="D64" s="25">
        <v>24000</v>
      </c>
      <c r="E64" s="26" t="s">
        <v>116</v>
      </c>
      <c r="F64" s="543"/>
      <c r="G64" s="24"/>
    </row>
    <row r="65" spans="1:7" ht="30.9" customHeight="1">
      <c r="A65" s="535">
        <v>44991</v>
      </c>
      <c r="B65" s="538" t="s">
        <v>89</v>
      </c>
      <c r="C65" s="26" t="s">
        <v>124</v>
      </c>
      <c r="D65" s="25">
        <v>437575</v>
      </c>
      <c r="E65" s="26" t="s">
        <v>25</v>
      </c>
      <c r="F65" s="541">
        <f>SUM(D65:D69)</f>
        <v>996094</v>
      </c>
      <c r="G65" s="24"/>
    </row>
    <row r="66" spans="1:7" ht="30.9" customHeight="1">
      <c r="A66" s="536"/>
      <c r="B66" s="539"/>
      <c r="C66" s="26" t="s">
        <v>162</v>
      </c>
      <c r="D66" s="25">
        <v>469979</v>
      </c>
      <c r="E66" s="26" t="s">
        <v>17</v>
      </c>
      <c r="F66" s="542"/>
      <c r="G66" s="24"/>
    </row>
    <row r="67" spans="1:7" ht="30.9" customHeight="1">
      <c r="A67" s="536"/>
      <c r="B67" s="539"/>
      <c r="C67" s="26" t="s">
        <v>98</v>
      </c>
      <c r="D67" s="25">
        <v>24000</v>
      </c>
      <c r="E67" s="26" t="s">
        <v>116</v>
      </c>
      <c r="F67" s="542"/>
      <c r="G67" s="24"/>
    </row>
    <row r="68" spans="1:7" ht="30.9" customHeight="1">
      <c r="A68" s="536"/>
      <c r="B68" s="539"/>
      <c r="C68" s="26"/>
      <c r="D68" s="25">
        <v>19340</v>
      </c>
      <c r="E68" s="26" t="s">
        <v>107</v>
      </c>
      <c r="F68" s="542"/>
      <c r="G68" s="24"/>
    </row>
    <row r="69" spans="1:7" ht="30.9" customHeight="1">
      <c r="A69" s="537"/>
      <c r="B69" s="540"/>
      <c r="C69" s="26" t="s">
        <v>163</v>
      </c>
      <c r="D69" s="25">
        <v>45200</v>
      </c>
      <c r="E69" s="26" t="s">
        <v>12</v>
      </c>
      <c r="F69" s="543"/>
      <c r="G69" s="24"/>
    </row>
    <row r="70" spans="1:7" ht="30.9" customHeight="1">
      <c r="A70" s="37"/>
      <c r="B70" s="38"/>
      <c r="C70" s="26"/>
      <c r="D70" s="25">
        <v>60550</v>
      </c>
      <c r="E70" s="26" t="s">
        <v>164</v>
      </c>
      <c r="F70" s="39"/>
      <c r="G70" s="24"/>
    </row>
    <row r="71" spans="1:7" ht="30.9" customHeight="1">
      <c r="A71" s="535">
        <v>44992</v>
      </c>
      <c r="B71" s="538" t="s">
        <v>90</v>
      </c>
      <c r="C71" s="26"/>
      <c r="D71" s="25">
        <v>155910</v>
      </c>
      <c r="E71" s="26" t="s">
        <v>165</v>
      </c>
      <c r="F71" s="541">
        <f>SUM(D71:D74)</f>
        <v>245332</v>
      </c>
      <c r="G71" s="24"/>
    </row>
    <row r="72" spans="1:7" ht="30.9" customHeight="1">
      <c r="A72" s="536"/>
      <c r="B72" s="539"/>
      <c r="C72" s="26"/>
      <c r="D72" s="25">
        <v>66192</v>
      </c>
      <c r="E72" s="26" t="s">
        <v>18</v>
      </c>
      <c r="F72" s="542"/>
      <c r="G72" s="24"/>
    </row>
    <row r="73" spans="1:7" ht="30.9" customHeight="1">
      <c r="A73" s="536"/>
      <c r="B73" s="539"/>
      <c r="C73" s="26" t="s">
        <v>159</v>
      </c>
      <c r="D73" s="25">
        <v>21400</v>
      </c>
      <c r="E73" s="26" t="s">
        <v>166</v>
      </c>
      <c r="F73" s="542"/>
      <c r="G73" s="24"/>
    </row>
    <row r="74" spans="1:7" ht="30.9" customHeight="1">
      <c r="A74" s="537"/>
      <c r="B74" s="540"/>
      <c r="C74" s="26"/>
      <c r="D74" s="25">
        <v>1830</v>
      </c>
      <c r="E74" s="26" t="s">
        <v>44</v>
      </c>
      <c r="F74" s="543"/>
      <c r="G74" s="24"/>
    </row>
    <row r="75" spans="1:7" ht="30.9" customHeight="1">
      <c r="A75" s="535">
        <v>44993</v>
      </c>
      <c r="B75" s="538" t="s">
        <v>91</v>
      </c>
      <c r="C75" s="26" t="s">
        <v>98</v>
      </c>
      <c r="D75" s="25">
        <v>15000</v>
      </c>
      <c r="E75" s="26" t="s">
        <v>167</v>
      </c>
      <c r="F75" s="541">
        <f>SUM(D75:D79)</f>
        <v>176477</v>
      </c>
      <c r="G75" s="24"/>
    </row>
    <row r="76" spans="1:7" ht="30.9" customHeight="1">
      <c r="A76" s="536"/>
      <c r="B76" s="539"/>
      <c r="C76" s="26"/>
      <c r="D76" s="25">
        <v>12127</v>
      </c>
      <c r="E76" s="26" t="s">
        <v>168</v>
      </c>
      <c r="F76" s="542"/>
      <c r="G76" s="24"/>
    </row>
    <row r="77" spans="1:7" ht="30.9" customHeight="1">
      <c r="A77" s="536"/>
      <c r="B77" s="539"/>
      <c r="C77" s="26"/>
      <c r="D77" s="25">
        <v>25410</v>
      </c>
      <c r="E77" s="26" t="s">
        <v>169</v>
      </c>
      <c r="F77" s="542"/>
      <c r="G77" s="24"/>
    </row>
    <row r="78" spans="1:7" ht="30.9" customHeight="1">
      <c r="A78" s="536"/>
      <c r="B78" s="539"/>
      <c r="C78" s="26"/>
      <c r="D78" s="25">
        <v>49540</v>
      </c>
      <c r="E78" s="26" t="s">
        <v>33</v>
      </c>
      <c r="F78" s="542"/>
      <c r="G78" s="24"/>
    </row>
    <row r="79" spans="1:7" ht="30.9" customHeight="1">
      <c r="A79" s="537"/>
      <c r="B79" s="540"/>
      <c r="C79" s="26"/>
      <c r="D79" s="25">
        <v>74400</v>
      </c>
      <c r="E79" s="26" t="s">
        <v>170</v>
      </c>
      <c r="F79" s="543"/>
      <c r="G79" s="24"/>
    </row>
    <row r="80" spans="1:7" ht="30.9" customHeight="1">
      <c r="A80" s="535">
        <v>44994</v>
      </c>
      <c r="B80" s="538" t="s">
        <v>92</v>
      </c>
      <c r="C80" s="26"/>
      <c r="D80" s="25">
        <v>13470</v>
      </c>
      <c r="E80" s="26" t="s">
        <v>173</v>
      </c>
      <c r="F80" s="541">
        <f>SUM(D80:D82)</f>
        <v>127305</v>
      </c>
      <c r="G80" s="24"/>
    </row>
    <row r="81" spans="1:7" ht="30.9" customHeight="1">
      <c r="A81" s="536"/>
      <c r="B81" s="539"/>
      <c r="C81" s="26"/>
      <c r="D81" s="25">
        <v>32835</v>
      </c>
      <c r="E81" s="26" t="s">
        <v>174</v>
      </c>
      <c r="F81" s="542"/>
      <c r="G81" s="24"/>
    </row>
    <row r="82" spans="1:7" ht="30.9" customHeight="1">
      <c r="A82" s="537"/>
      <c r="B82" s="540"/>
      <c r="C82" s="26"/>
      <c r="D82" s="25">
        <v>81000</v>
      </c>
      <c r="E82" s="26" t="s">
        <v>175</v>
      </c>
      <c r="F82" s="543"/>
      <c r="G82" s="24"/>
    </row>
    <row r="83" spans="1:7" ht="30.9" customHeight="1">
      <c r="A83" s="535">
        <v>44995</v>
      </c>
      <c r="B83" s="538" t="s">
        <v>93</v>
      </c>
      <c r="C83" s="26"/>
      <c r="D83" s="25">
        <v>15330</v>
      </c>
      <c r="E83" s="26" t="s">
        <v>112</v>
      </c>
      <c r="F83" s="541">
        <f>SUM(D83:D84)</f>
        <v>41230</v>
      </c>
      <c r="G83" s="24"/>
    </row>
    <row r="84" spans="1:7" ht="30.9" customHeight="1">
      <c r="A84" s="537"/>
      <c r="B84" s="540"/>
      <c r="C84" s="26"/>
      <c r="D84" s="25">
        <v>25900</v>
      </c>
      <c r="E84" s="26" t="s">
        <v>176</v>
      </c>
      <c r="F84" s="543"/>
      <c r="G84" s="24"/>
    </row>
    <row r="85" spans="1:7" ht="30.9" customHeight="1">
      <c r="A85" s="535">
        <v>44996</v>
      </c>
      <c r="B85" s="538" t="s">
        <v>94</v>
      </c>
      <c r="C85" s="26"/>
      <c r="D85" s="25">
        <v>8500</v>
      </c>
      <c r="E85" s="26" t="s">
        <v>169</v>
      </c>
      <c r="F85" s="541">
        <f>SUM(D85:D87)</f>
        <v>42446</v>
      </c>
      <c r="G85" s="24"/>
    </row>
    <row r="86" spans="1:7" ht="30.9" customHeight="1">
      <c r="A86" s="536"/>
      <c r="B86" s="539"/>
      <c r="C86" s="26"/>
      <c r="D86" s="25">
        <v>15330</v>
      </c>
      <c r="E86" s="26" t="s">
        <v>177</v>
      </c>
      <c r="F86" s="542"/>
      <c r="G86" s="24"/>
    </row>
    <row r="87" spans="1:7" ht="30.9" customHeight="1">
      <c r="A87" s="537"/>
      <c r="B87" s="540"/>
      <c r="C87" s="26"/>
      <c r="D87" s="25">
        <v>18616</v>
      </c>
      <c r="E87" s="26" t="s">
        <v>178</v>
      </c>
      <c r="F87" s="543"/>
      <c r="G87" s="24"/>
    </row>
    <row r="88" spans="1:7" ht="30.9" customHeight="1">
      <c r="A88" s="535">
        <v>44997</v>
      </c>
      <c r="B88" s="538" t="s">
        <v>95</v>
      </c>
      <c r="C88" s="26"/>
      <c r="D88" s="25">
        <v>15280</v>
      </c>
      <c r="E88" s="26" t="s">
        <v>179</v>
      </c>
      <c r="F88" s="541">
        <f>SUM(D88:D94)</f>
        <v>871431</v>
      </c>
      <c r="G88" s="24"/>
    </row>
    <row r="89" spans="1:7" ht="30.9" customHeight="1">
      <c r="A89" s="536"/>
      <c r="B89" s="539"/>
      <c r="C89" s="26"/>
      <c r="D89" s="25">
        <v>2110</v>
      </c>
      <c r="E89" s="26" t="s">
        <v>44</v>
      </c>
      <c r="F89" s="542"/>
      <c r="G89" s="24"/>
    </row>
    <row r="90" spans="1:7" ht="30.9" customHeight="1">
      <c r="A90" s="536"/>
      <c r="B90" s="539"/>
      <c r="C90" s="26"/>
      <c r="D90" s="25">
        <v>15330</v>
      </c>
      <c r="E90" s="26" t="s">
        <v>112</v>
      </c>
      <c r="F90" s="542"/>
      <c r="G90" s="24"/>
    </row>
    <row r="91" spans="1:7" ht="30.9" customHeight="1">
      <c r="A91" s="536"/>
      <c r="B91" s="539"/>
      <c r="C91" s="26" t="s">
        <v>136</v>
      </c>
      <c r="D91" s="25">
        <v>2980</v>
      </c>
      <c r="E91" s="26" t="s">
        <v>180</v>
      </c>
      <c r="F91" s="542"/>
      <c r="G91" s="24"/>
    </row>
    <row r="92" spans="1:7" ht="30.9" customHeight="1">
      <c r="A92" s="536"/>
      <c r="B92" s="539"/>
      <c r="C92" s="26" t="s">
        <v>162</v>
      </c>
      <c r="D92" s="25">
        <v>590506</v>
      </c>
      <c r="E92" s="26" t="s">
        <v>17</v>
      </c>
      <c r="F92" s="542"/>
      <c r="G92" s="24"/>
    </row>
    <row r="93" spans="1:7" ht="30.9" customHeight="1">
      <c r="A93" s="536"/>
      <c r="B93" s="539"/>
      <c r="C93" s="26" t="s">
        <v>124</v>
      </c>
      <c r="D93" s="25">
        <v>238225</v>
      </c>
      <c r="E93" s="26" t="s">
        <v>25</v>
      </c>
      <c r="F93" s="542"/>
      <c r="G93" s="24"/>
    </row>
    <row r="94" spans="1:7" ht="30.9" customHeight="1">
      <c r="A94" s="537"/>
      <c r="B94" s="540"/>
      <c r="C94" s="26"/>
      <c r="D94" s="25">
        <v>7000</v>
      </c>
      <c r="E94" s="26" t="s">
        <v>176</v>
      </c>
      <c r="F94" s="543"/>
      <c r="G94" s="24"/>
    </row>
    <row r="95" spans="1:7" ht="30.9" customHeight="1">
      <c r="A95" s="535">
        <v>44998</v>
      </c>
      <c r="B95" s="538" t="s">
        <v>96</v>
      </c>
      <c r="C95" s="26"/>
      <c r="D95" s="25">
        <v>19340</v>
      </c>
      <c r="E95" s="26" t="s">
        <v>107</v>
      </c>
      <c r="F95" s="541">
        <f>SUM(D95:D97)</f>
        <v>107786</v>
      </c>
      <c r="G95" s="24"/>
    </row>
    <row r="96" spans="1:7" ht="30.9" customHeight="1">
      <c r="A96" s="536"/>
      <c r="B96" s="539"/>
      <c r="C96" s="26"/>
      <c r="D96" s="25">
        <v>45480</v>
      </c>
      <c r="E96" s="26" t="s">
        <v>181</v>
      </c>
      <c r="F96" s="542"/>
      <c r="G96" s="24"/>
    </row>
    <row r="97" spans="1:7" ht="30.9" customHeight="1">
      <c r="A97" s="537"/>
      <c r="B97" s="540"/>
      <c r="C97" s="26"/>
      <c r="D97" s="25">
        <v>42966</v>
      </c>
      <c r="E97" s="26" t="s">
        <v>13</v>
      </c>
      <c r="F97" s="543"/>
      <c r="G97" s="24"/>
    </row>
    <row r="98" spans="1:7" ht="30.9" customHeight="1">
      <c r="A98" s="535">
        <v>44999</v>
      </c>
      <c r="B98" s="538" t="s">
        <v>97</v>
      </c>
      <c r="C98" s="26"/>
      <c r="D98" s="25">
        <v>13470</v>
      </c>
      <c r="E98" s="26" t="s">
        <v>182</v>
      </c>
      <c r="F98" s="541">
        <f>SUM(D98:D102)</f>
        <v>184313</v>
      </c>
      <c r="G98" s="24"/>
    </row>
    <row r="99" spans="1:7" ht="30.9" customHeight="1">
      <c r="A99" s="536"/>
      <c r="B99" s="539"/>
      <c r="C99" s="26"/>
      <c r="D99" s="25">
        <v>47150</v>
      </c>
      <c r="E99" s="26" t="s">
        <v>103</v>
      </c>
      <c r="F99" s="542"/>
      <c r="G99" s="24"/>
    </row>
    <row r="100" spans="1:7" ht="30.9" customHeight="1">
      <c r="A100" s="536"/>
      <c r="B100" s="539"/>
      <c r="C100" s="26"/>
      <c r="D100" s="25">
        <v>23375</v>
      </c>
      <c r="E100" s="26" t="s">
        <v>183</v>
      </c>
      <c r="F100" s="542"/>
      <c r="G100" s="24"/>
    </row>
    <row r="101" spans="1:7" ht="30.9" customHeight="1">
      <c r="A101" s="536"/>
      <c r="B101" s="539"/>
      <c r="C101" s="26"/>
      <c r="D101" s="25">
        <v>30900</v>
      </c>
      <c r="E101" s="26" t="s">
        <v>184</v>
      </c>
      <c r="F101" s="542"/>
      <c r="G101" s="24"/>
    </row>
    <row r="102" spans="1:7" ht="30.9" customHeight="1">
      <c r="A102" s="537"/>
      <c r="B102" s="540"/>
      <c r="C102" s="26"/>
      <c r="D102" s="25">
        <v>69418</v>
      </c>
      <c r="E102" s="26" t="s">
        <v>185</v>
      </c>
      <c r="F102" s="543"/>
      <c r="G102" s="24"/>
    </row>
    <row r="103" spans="1:7" ht="30.9" customHeight="1">
      <c r="A103" s="535">
        <v>45000</v>
      </c>
      <c r="B103" s="538" t="s">
        <v>91</v>
      </c>
      <c r="C103" s="26"/>
      <c r="D103" s="25">
        <v>1830</v>
      </c>
      <c r="E103" s="26" t="s">
        <v>44</v>
      </c>
      <c r="F103" s="541">
        <f>SUM(D103:D108)</f>
        <v>230206</v>
      </c>
      <c r="G103" s="24"/>
    </row>
    <row r="104" spans="1:7" ht="30.9" customHeight="1">
      <c r="A104" s="536"/>
      <c r="B104" s="539"/>
      <c r="C104" s="26"/>
      <c r="D104" s="25">
        <v>22480</v>
      </c>
      <c r="E104" s="26" t="s">
        <v>186</v>
      </c>
      <c r="F104" s="542"/>
      <c r="G104" s="24"/>
    </row>
    <row r="105" spans="1:7" ht="30.9" customHeight="1">
      <c r="A105" s="536"/>
      <c r="B105" s="539"/>
      <c r="C105" s="26"/>
      <c r="D105" s="25">
        <v>55300</v>
      </c>
      <c r="E105" s="26" t="s">
        <v>187</v>
      </c>
      <c r="F105" s="542"/>
      <c r="G105" s="24"/>
    </row>
    <row r="106" spans="1:7" ht="30.9" customHeight="1">
      <c r="A106" s="536"/>
      <c r="B106" s="539"/>
      <c r="C106" s="26"/>
      <c r="D106" s="25">
        <v>21600</v>
      </c>
      <c r="E106" s="26" t="s">
        <v>188</v>
      </c>
      <c r="F106" s="542"/>
      <c r="G106" s="24"/>
    </row>
    <row r="107" spans="1:7" ht="30.9" customHeight="1">
      <c r="A107" s="536"/>
      <c r="B107" s="539"/>
      <c r="C107" s="26"/>
      <c r="D107" s="25">
        <v>37696</v>
      </c>
      <c r="E107" s="26" t="s">
        <v>13</v>
      </c>
      <c r="F107" s="542"/>
      <c r="G107" s="24"/>
    </row>
    <row r="108" spans="1:7" ht="30.9" customHeight="1">
      <c r="A108" s="537"/>
      <c r="B108" s="540"/>
      <c r="C108" s="26"/>
      <c r="D108" s="25">
        <v>91300</v>
      </c>
      <c r="E108" s="26" t="s">
        <v>12</v>
      </c>
      <c r="F108" s="543"/>
      <c r="G108" s="24"/>
    </row>
    <row r="109" spans="1:7" ht="30.9" customHeight="1">
      <c r="A109" s="535">
        <v>45001</v>
      </c>
      <c r="B109" s="538" t="s">
        <v>92</v>
      </c>
      <c r="C109" s="26"/>
      <c r="D109" s="25">
        <v>67000</v>
      </c>
      <c r="E109" s="26" t="s">
        <v>191</v>
      </c>
      <c r="F109" s="541">
        <f>SUM(D109:D114)</f>
        <v>144374</v>
      </c>
      <c r="G109" s="24"/>
    </row>
    <row r="110" spans="1:7" ht="30.9" customHeight="1">
      <c r="A110" s="536"/>
      <c r="B110" s="539"/>
      <c r="C110" s="26"/>
      <c r="D110" s="25">
        <v>28000</v>
      </c>
      <c r="E110" s="26" t="s">
        <v>192</v>
      </c>
      <c r="F110" s="545"/>
      <c r="G110" s="24"/>
    </row>
    <row r="111" spans="1:7" ht="30.9" customHeight="1">
      <c r="A111" s="536"/>
      <c r="B111" s="539"/>
      <c r="C111" s="26"/>
      <c r="D111" s="25">
        <v>1830</v>
      </c>
      <c r="E111" s="26" t="s">
        <v>44</v>
      </c>
      <c r="F111" s="545"/>
      <c r="G111" s="24"/>
    </row>
    <row r="112" spans="1:7" ht="30.9" customHeight="1">
      <c r="A112" s="536"/>
      <c r="B112" s="539"/>
      <c r="C112" s="26"/>
      <c r="D112" s="25">
        <v>2554</v>
      </c>
      <c r="E112" s="26" t="s">
        <v>193</v>
      </c>
      <c r="F112" s="545"/>
      <c r="G112" s="24"/>
    </row>
    <row r="113" spans="1:7" ht="30.9" customHeight="1">
      <c r="A113" s="536"/>
      <c r="B113" s="539"/>
      <c r="C113" s="26"/>
      <c r="D113" s="25">
        <v>11440</v>
      </c>
      <c r="E113" s="26" t="s">
        <v>194</v>
      </c>
      <c r="F113" s="545"/>
      <c r="G113" s="24"/>
    </row>
    <row r="114" spans="1:7" ht="30.9" customHeight="1">
      <c r="A114" s="537"/>
      <c r="B114" s="540"/>
      <c r="C114" s="26"/>
      <c r="D114" s="25">
        <v>33550</v>
      </c>
      <c r="E114" s="26" t="s">
        <v>176</v>
      </c>
      <c r="F114" s="546"/>
      <c r="G114" s="24"/>
    </row>
    <row r="115" spans="1:7" ht="30.9" customHeight="1">
      <c r="A115" s="535">
        <v>45002</v>
      </c>
      <c r="B115" s="538" t="s">
        <v>93</v>
      </c>
      <c r="C115" s="26"/>
      <c r="D115" s="25">
        <v>21300</v>
      </c>
      <c r="E115" s="26" t="s">
        <v>195</v>
      </c>
      <c r="F115" s="541">
        <f>SUM(D115:D119)</f>
        <v>138200</v>
      </c>
      <c r="G115" s="24"/>
    </row>
    <row r="116" spans="1:7" ht="30.9" customHeight="1">
      <c r="A116" s="536"/>
      <c r="B116" s="539"/>
      <c r="C116" s="26"/>
      <c r="D116" s="25">
        <v>24900</v>
      </c>
      <c r="E116" s="26" t="s">
        <v>204</v>
      </c>
      <c r="F116" s="545"/>
      <c r="G116" s="24"/>
    </row>
    <row r="117" spans="1:7" ht="30.9" customHeight="1">
      <c r="A117" s="536"/>
      <c r="B117" s="539"/>
      <c r="C117" s="26"/>
      <c r="D117" s="25">
        <v>24000</v>
      </c>
      <c r="E117" s="26" t="s">
        <v>116</v>
      </c>
      <c r="F117" s="545"/>
      <c r="G117" s="24"/>
    </row>
    <row r="118" spans="1:7" ht="30.9" customHeight="1">
      <c r="A118" s="536"/>
      <c r="B118" s="539"/>
      <c r="C118" s="26"/>
      <c r="D118" s="25">
        <v>21670</v>
      </c>
      <c r="E118" s="26" t="s">
        <v>196</v>
      </c>
      <c r="F118" s="545"/>
      <c r="G118" s="24"/>
    </row>
    <row r="119" spans="1:7" ht="30.9" customHeight="1">
      <c r="A119" s="537"/>
      <c r="B119" s="540"/>
      <c r="C119" s="26"/>
      <c r="D119" s="25">
        <v>46330</v>
      </c>
      <c r="E119" s="26" t="s">
        <v>169</v>
      </c>
      <c r="F119" s="546"/>
      <c r="G119" s="24"/>
    </row>
    <row r="120" spans="1:7" ht="30.9" customHeight="1">
      <c r="A120" s="535">
        <v>45003</v>
      </c>
      <c r="B120" s="538" t="s">
        <v>94</v>
      </c>
      <c r="C120" s="26"/>
      <c r="D120" s="25">
        <v>48000</v>
      </c>
      <c r="E120" s="26" t="s">
        <v>197</v>
      </c>
      <c r="F120" s="541">
        <f>SUM(D120:D124)</f>
        <v>235100</v>
      </c>
      <c r="G120" s="24"/>
    </row>
    <row r="121" spans="1:7" ht="30.9" customHeight="1">
      <c r="A121" s="536"/>
      <c r="B121" s="539"/>
      <c r="C121" s="26"/>
      <c r="D121" s="25">
        <v>58000</v>
      </c>
      <c r="E121" s="26" t="s">
        <v>197</v>
      </c>
      <c r="F121" s="545"/>
      <c r="G121" s="24"/>
    </row>
    <row r="122" spans="1:7" ht="30.9" customHeight="1">
      <c r="A122" s="536"/>
      <c r="B122" s="539"/>
      <c r="C122" s="26"/>
      <c r="D122" s="25">
        <v>18600</v>
      </c>
      <c r="E122" s="26" t="s">
        <v>198</v>
      </c>
      <c r="F122" s="545"/>
      <c r="G122" s="24"/>
    </row>
    <row r="123" spans="1:7" ht="30.9" customHeight="1">
      <c r="A123" s="536"/>
      <c r="B123" s="539"/>
      <c r="C123" s="26"/>
      <c r="D123" s="25">
        <v>67600</v>
      </c>
      <c r="E123" s="26" t="s">
        <v>199</v>
      </c>
      <c r="F123" s="545"/>
      <c r="G123" s="24"/>
    </row>
    <row r="124" spans="1:7" ht="30.9" customHeight="1">
      <c r="A124" s="537"/>
      <c r="B124" s="540"/>
      <c r="C124" s="26"/>
      <c r="D124" s="25">
        <v>42900</v>
      </c>
      <c r="E124" s="26" t="s">
        <v>200</v>
      </c>
      <c r="F124" s="546"/>
      <c r="G124" s="24"/>
    </row>
    <row r="125" spans="1:7" ht="30.9" customHeight="1">
      <c r="A125" s="535">
        <v>45004</v>
      </c>
      <c r="B125" s="538" t="s">
        <v>95</v>
      </c>
      <c r="C125" s="26"/>
      <c r="D125" s="25">
        <v>31150</v>
      </c>
      <c r="E125" s="26" t="s">
        <v>201</v>
      </c>
      <c r="F125" s="541">
        <f>SUM(D125:D128)</f>
        <v>183908</v>
      </c>
      <c r="G125" s="24"/>
    </row>
    <row r="126" spans="1:7" ht="30.9" customHeight="1">
      <c r="A126" s="536"/>
      <c r="B126" s="539"/>
      <c r="C126" s="26"/>
      <c r="D126" s="25">
        <v>70740</v>
      </c>
      <c r="E126" s="26" t="s">
        <v>202</v>
      </c>
      <c r="F126" s="545"/>
      <c r="G126" s="24"/>
    </row>
    <row r="127" spans="1:7" ht="30.9" customHeight="1">
      <c r="A127" s="536"/>
      <c r="B127" s="539"/>
      <c r="C127" s="26"/>
      <c r="D127" s="25">
        <v>55280</v>
      </c>
      <c r="E127" s="26" t="s">
        <v>203</v>
      </c>
      <c r="F127" s="545"/>
      <c r="G127" s="24"/>
    </row>
    <row r="128" spans="1:7" ht="30.9" customHeight="1">
      <c r="A128" s="537"/>
      <c r="B128" s="540"/>
      <c r="C128" s="26"/>
      <c r="D128" s="25">
        <v>26738</v>
      </c>
      <c r="E128" s="26" t="s">
        <v>150</v>
      </c>
      <c r="F128" s="546"/>
      <c r="G128" s="24"/>
    </row>
    <row r="129" spans="1:7" ht="30.9" customHeight="1">
      <c r="A129" s="535">
        <v>45005</v>
      </c>
      <c r="B129" s="538" t="s">
        <v>96</v>
      </c>
      <c r="C129" s="26"/>
      <c r="D129" s="25">
        <v>34900</v>
      </c>
      <c r="E129" s="26" t="s">
        <v>205</v>
      </c>
      <c r="F129" s="541">
        <f>SUM(D129:D132)</f>
        <v>662444</v>
      </c>
      <c r="G129" s="24"/>
    </row>
    <row r="130" spans="1:7" ht="30.9" customHeight="1">
      <c r="A130" s="536"/>
      <c r="B130" s="539"/>
      <c r="C130" s="26"/>
      <c r="D130" s="25">
        <v>37329</v>
      </c>
      <c r="E130" s="26" t="s">
        <v>178</v>
      </c>
      <c r="F130" s="545"/>
      <c r="G130" s="24"/>
    </row>
    <row r="131" spans="1:7" ht="30.9" customHeight="1">
      <c r="A131" s="536"/>
      <c r="B131" s="539"/>
      <c r="C131" s="26" t="s">
        <v>162</v>
      </c>
      <c r="D131" s="25">
        <v>549495</v>
      </c>
      <c r="E131" s="26" t="s">
        <v>17</v>
      </c>
      <c r="F131" s="545"/>
      <c r="G131" s="24"/>
    </row>
    <row r="132" spans="1:7" ht="30.9" customHeight="1">
      <c r="A132" s="537"/>
      <c r="B132" s="540"/>
      <c r="C132" s="26"/>
      <c r="D132" s="25">
        <v>40720</v>
      </c>
      <c r="E132" s="26" t="s">
        <v>160</v>
      </c>
      <c r="F132" s="546"/>
      <c r="G132" s="24"/>
    </row>
    <row r="133" spans="1:7" ht="30.9" customHeight="1">
      <c r="A133" s="535">
        <v>45006</v>
      </c>
      <c r="B133" s="538" t="s">
        <v>97</v>
      </c>
      <c r="C133" s="39"/>
      <c r="D133" s="25">
        <v>2110</v>
      </c>
      <c r="E133" s="26" t="s">
        <v>44</v>
      </c>
      <c r="F133" s="541">
        <f>SUM(D133:D137)</f>
        <v>80970</v>
      </c>
      <c r="G133" s="24"/>
    </row>
    <row r="134" spans="1:7" ht="30.9" customHeight="1">
      <c r="A134" s="536"/>
      <c r="B134" s="539"/>
      <c r="C134" s="39"/>
      <c r="D134" s="25">
        <v>21720</v>
      </c>
      <c r="E134" s="26" t="s">
        <v>206</v>
      </c>
      <c r="F134" s="545"/>
      <c r="G134" s="24"/>
    </row>
    <row r="135" spans="1:7" ht="30.9" customHeight="1">
      <c r="A135" s="536"/>
      <c r="B135" s="539"/>
      <c r="C135" s="39"/>
      <c r="D135" s="25">
        <v>13040</v>
      </c>
      <c r="E135" s="26" t="s">
        <v>107</v>
      </c>
      <c r="F135" s="545"/>
      <c r="G135" s="24"/>
    </row>
    <row r="136" spans="1:7" ht="30.9" customHeight="1">
      <c r="A136" s="536"/>
      <c r="B136" s="539"/>
      <c r="C136" s="39"/>
      <c r="D136" s="25">
        <v>25770</v>
      </c>
      <c r="E136" s="26" t="s">
        <v>207</v>
      </c>
      <c r="F136" s="545"/>
      <c r="G136" s="24"/>
    </row>
    <row r="137" spans="1:7" ht="30.9" customHeight="1">
      <c r="A137" s="537"/>
      <c r="B137" s="540"/>
      <c r="C137" s="26"/>
      <c r="D137" s="25">
        <v>18330</v>
      </c>
      <c r="E137" s="26" t="s">
        <v>208</v>
      </c>
      <c r="F137" s="546"/>
      <c r="G137" s="24"/>
    </row>
    <row r="138" spans="1:7" ht="30.9" customHeight="1">
      <c r="A138" s="32">
        <v>45007</v>
      </c>
      <c r="B138" s="24" t="s">
        <v>91</v>
      </c>
      <c r="C138" s="26"/>
      <c r="D138" s="25">
        <v>72324</v>
      </c>
      <c r="E138" s="26" t="s">
        <v>210</v>
      </c>
      <c r="F138" s="36">
        <f>D138</f>
        <v>72324</v>
      </c>
      <c r="G138" s="24"/>
    </row>
    <row r="139" spans="1:7" ht="30.9" customHeight="1">
      <c r="A139" s="535">
        <v>45008</v>
      </c>
      <c r="B139" s="538" t="s">
        <v>92</v>
      </c>
      <c r="C139" s="26"/>
      <c r="D139" s="25">
        <v>2110</v>
      </c>
      <c r="E139" s="26" t="s">
        <v>44</v>
      </c>
      <c r="F139" s="541">
        <f>SUM(D139:D142)</f>
        <v>86060</v>
      </c>
      <c r="G139" s="24"/>
    </row>
    <row r="140" spans="1:7" ht="30.9" customHeight="1">
      <c r="A140" s="536"/>
      <c r="B140" s="539"/>
      <c r="C140" s="26"/>
      <c r="D140" s="25">
        <v>7300</v>
      </c>
      <c r="E140" s="26" t="s">
        <v>211</v>
      </c>
      <c r="F140" s="545"/>
      <c r="G140" s="24"/>
    </row>
    <row r="141" spans="1:7" ht="30.9" customHeight="1">
      <c r="A141" s="536"/>
      <c r="B141" s="539"/>
      <c r="C141" s="26"/>
      <c r="D141" s="25">
        <v>46320</v>
      </c>
      <c r="E141" s="26" t="s">
        <v>46</v>
      </c>
      <c r="F141" s="545"/>
      <c r="G141" s="24"/>
    </row>
    <row r="142" spans="1:7" ht="30.9" customHeight="1">
      <c r="A142" s="537"/>
      <c r="B142" s="540"/>
      <c r="C142" s="26"/>
      <c r="D142" s="25">
        <v>30330</v>
      </c>
      <c r="E142" s="26" t="s">
        <v>212</v>
      </c>
      <c r="F142" s="546"/>
      <c r="G142" s="24"/>
    </row>
    <row r="143" spans="1:7" ht="30.9" customHeight="1">
      <c r="A143" s="535">
        <v>45009</v>
      </c>
      <c r="B143" s="538" t="s">
        <v>93</v>
      </c>
      <c r="C143" s="26"/>
      <c r="D143" s="25">
        <v>1830</v>
      </c>
      <c r="E143" s="26" t="s">
        <v>213</v>
      </c>
      <c r="F143" s="541">
        <f>SUM(D143:D145)</f>
        <v>114890</v>
      </c>
      <c r="G143" s="24"/>
    </row>
    <row r="144" spans="1:7" ht="30.9" customHeight="1">
      <c r="A144" s="536"/>
      <c r="B144" s="539"/>
      <c r="C144" s="26"/>
      <c r="D144" s="25">
        <v>90260</v>
      </c>
      <c r="E144" s="26" t="s">
        <v>214</v>
      </c>
      <c r="F144" s="545"/>
      <c r="G144" s="24"/>
    </row>
    <row r="145" spans="1:7" ht="30.9" customHeight="1">
      <c r="A145" s="537"/>
      <c r="B145" s="540"/>
      <c r="C145" s="26"/>
      <c r="D145" s="25">
        <v>22800</v>
      </c>
      <c r="E145" s="26" t="s">
        <v>176</v>
      </c>
      <c r="F145" s="546"/>
      <c r="G145" s="24"/>
    </row>
    <row r="146" spans="1:7" ht="30.9" customHeight="1">
      <c r="A146" s="535">
        <v>45010</v>
      </c>
      <c r="B146" s="538" t="s">
        <v>94</v>
      </c>
      <c r="C146" s="26" t="s">
        <v>124</v>
      </c>
      <c r="D146" s="25">
        <v>446725</v>
      </c>
      <c r="E146" s="26" t="s">
        <v>19</v>
      </c>
      <c r="F146" s="541">
        <f>SUM(D146:D152)</f>
        <v>684758</v>
      </c>
      <c r="G146" s="24"/>
    </row>
    <row r="147" spans="1:7" ht="30.9" customHeight="1">
      <c r="A147" s="536"/>
      <c r="B147" s="539"/>
      <c r="C147" s="26"/>
      <c r="D147" s="25">
        <v>63000</v>
      </c>
      <c r="E147" s="26" t="s">
        <v>197</v>
      </c>
      <c r="F147" s="545"/>
      <c r="G147" s="24"/>
    </row>
    <row r="148" spans="1:7" ht="30.9" customHeight="1">
      <c r="A148" s="536"/>
      <c r="B148" s="539"/>
      <c r="C148" s="26"/>
      <c r="D148" s="25">
        <v>3414</v>
      </c>
      <c r="E148" s="26" t="s">
        <v>215</v>
      </c>
      <c r="F148" s="545"/>
      <c r="G148" s="24"/>
    </row>
    <row r="149" spans="1:7" ht="30.9" customHeight="1">
      <c r="A149" s="536"/>
      <c r="B149" s="539"/>
      <c r="C149" s="26"/>
      <c r="D149" s="25">
        <v>3422</v>
      </c>
      <c r="E149" s="26" t="s">
        <v>21</v>
      </c>
      <c r="F149" s="545"/>
      <c r="G149" s="24"/>
    </row>
    <row r="150" spans="1:7" ht="30.9" customHeight="1">
      <c r="A150" s="536"/>
      <c r="B150" s="539"/>
      <c r="C150" s="26"/>
      <c r="D150" s="25">
        <v>46320</v>
      </c>
      <c r="E150" s="26" t="s">
        <v>103</v>
      </c>
      <c r="F150" s="545"/>
      <c r="G150" s="24"/>
    </row>
    <row r="151" spans="1:7" ht="30.9" customHeight="1">
      <c r="A151" s="536"/>
      <c r="B151" s="539"/>
      <c r="C151" s="26"/>
      <c r="D151" s="25">
        <v>60400</v>
      </c>
      <c r="E151" s="26" t="s">
        <v>12</v>
      </c>
      <c r="F151" s="545"/>
      <c r="G151" s="24"/>
    </row>
    <row r="152" spans="1:7" ht="30.9" customHeight="1">
      <c r="A152" s="537"/>
      <c r="B152" s="540"/>
      <c r="C152" s="26"/>
      <c r="D152" s="25">
        <v>61477</v>
      </c>
      <c r="E152" s="26" t="s">
        <v>13</v>
      </c>
      <c r="F152" s="546"/>
      <c r="G152" s="24"/>
    </row>
    <row r="153" spans="1:7" ht="30.9" customHeight="1">
      <c r="A153" s="535">
        <v>45011</v>
      </c>
      <c r="B153" s="544" t="s">
        <v>216</v>
      </c>
      <c r="C153" s="26"/>
      <c r="D153" s="25">
        <v>17680</v>
      </c>
      <c r="E153" s="26" t="s">
        <v>217</v>
      </c>
      <c r="F153" s="541">
        <f>SUM(D153:D154)</f>
        <v>38392</v>
      </c>
      <c r="G153" s="24"/>
    </row>
    <row r="154" spans="1:7" ht="30.9" customHeight="1">
      <c r="A154" s="537"/>
      <c r="B154" s="552"/>
      <c r="C154" s="26"/>
      <c r="D154" s="25">
        <v>20712</v>
      </c>
      <c r="E154" s="26" t="s">
        <v>143</v>
      </c>
      <c r="F154" s="546"/>
      <c r="G154" s="24"/>
    </row>
    <row r="155" spans="1:7" ht="30.9" customHeight="1">
      <c r="A155" s="32">
        <v>45012</v>
      </c>
      <c r="B155" s="24" t="s">
        <v>96</v>
      </c>
      <c r="C155" s="26"/>
      <c r="D155" s="25">
        <v>42795</v>
      </c>
      <c r="E155" s="26" t="s">
        <v>218</v>
      </c>
      <c r="F155" s="25">
        <f>SUM(D155)</f>
        <v>42795</v>
      </c>
      <c r="G155" s="24"/>
    </row>
    <row r="156" spans="1:7" ht="30.9" customHeight="1">
      <c r="A156" s="535">
        <v>45013</v>
      </c>
      <c r="B156" s="538" t="s">
        <v>97</v>
      </c>
      <c r="C156" s="26"/>
      <c r="D156" s="25">
        <v>568209</v>
      </c>
      <c r="E156" s="26" t="s">
        <v>17</v>
      </c>
      <c r="F156" s="541">
        <f>SUM(D156:D161)</f>
        <v>712172</v>
      </c>
      <c r="G156" s="24"/>
    </row>
    <row r="157" spans="1:7" ht="30.9" customHeight="1">
      <c r="A157" s="536"/>
      <c r="B157" s="539"/>
      <c r="C157" s="26"/>
      <c r="D157" s="25">
        <v>19530</v>
      </c>
      <c r="E157" s="26" t="s">
        <v>219</v>
      </c>
      <c r="F157" s="545"/>
      <c r="G157" s="24"/>
    </row>
    <row r="158" spans="1:7" ht="30.9" customHeight="1">
      <c r="A158" s="536"/>
      <c r="B158" s="539"/>
      <c r="C158" s="26"/>
      <c r="D158" s="25">
        <v>19340</v>
      </c>
      <c r="E158" s="26" t="s">
        <v>107</v>
      </c>
      <c r="F158" s="545"/>
      <c r="G158" s="24"/>
    </row>
    <row r="159" spans="1:7" ht="30.9" customHeight="1">
      <c r="A159" s="536"/>
      <c r="B159" s="539"/>
      <c r="C159" s="26"/>
      <c r="D159" s="25">
        <v>18600</v>
      </c>
      <c r="E159" s="26" t="s">
        <v>113</v>
      </c>
      <c r="F159" s="545"/>
      <c r="G159" s="24"/>
    </row>
    <row r="160" spans="1:7" ht="30.9" customHeight="1">
      <c r="A160" s="536"/>
      <c r="B160" s="539"/>
      <c r="C160" s="26"/>
      <c r="D160" s="25">
        <v>48980</v>
      </c>
      <c r="E160" s="26" t="s">
        <v>33</v>
      </c>
      <c r="F160" s="545"/>
      <c r="G160" s="24"/>
    </row>
    <row r="161" spans="1:7" ht="30.9" customHeight="1">
      <c r="A161" s="537"/>
      <c r="B161" s="540"/>
      <c r="C161" s="26"/>
      <c r="D161" s="25">
        <v>37513</v>
      </c>
      <c r="E161" s="26" t="s">
        <v>134</v>
      </c>
      <c r="F161" s="546"/>
      <c r="G161" s="24"/>
    </row>
    <row r="162" spans="1:7" ht="30.9" customHeight="1">
      <c r="A162" s="553">
        <v>45014</v>
      </c>
      <c r="B162" s="547" t="s">
        <v>91</v>
      </c>
      <c r="C162" s="26"/>
      <c r="D162" s="25">
        <v>246100</v>
      </c>
      <c r="E162" s="26" t="s">
        <v>25</v>
      </c>
      <c r="F162" s="541">
        <f>SUM(D162:D164)</f>
        <v>259900</v>
      </c>
      <c r="G162" s="24"/>
    </row>
    <row r="163" spans="1:7" ht="30.9" customHeight="1">
      <c r="A163" s="553"/>
      <c r="B163" s="547"/>
      <c r="C163" s="26"/>
      <c r="D163" s="25">
        <v>1830</v>
      </c>
      <c r="E163" s="26" t="s">
        <v>44</v>
      </c>
      <c r="F163" s="545"/>
      <c r="G163" s="24"/>
    </row>
    <row r="164" spans="1:7" ht="30.9" customHeight="1">
      <c r="A164" s="553"/>
      <c r="B164" s="547"/>
      <c r="C164" s="26"/>
      <c r="D164" s="25">
        <v>11970</v>
      </c>
      <c r="E164" s="26" t="s">
        <v>42</v>
      </c>
      <c r="F164" s="546"/>
      <c r="G164" s="24"/>
    </row>
    <row r="165" spans="1:7" ht="30.9" customHeight="1">
      <c r="A165" s="553">
        <v>45015</v>
      </c>
      <c r="B165" s="547" t="s">
        <v>92</v>
      </c>
      <c r="C165" s="26"/>
      <c r="D165" s="25">
        <v>5937</v>
      </c>
      <c r="E165" s="26" t="s">
        <v>220</v>
      </c>
      <c r="F165" s="541">
        <f>SUM(D165:D170)</f>
        <v>141888</v>
      </c>
      <c r="G165" s="24"/>
    </row>
    <row r="166" spans="1:7" ht="30.9" customHeight="1">
      <c r="A166" s="553"/>
      <c r="B166" s="547"/>
      <c r="C166" s="26"/>
      <c r="D166" s="25">
        <v>86150</v>
      </c>
      <c r="E166" s="26" t="s">
        <v>117</v>
      </c>
      <c r="F166" s="545"/>
      <c r="G166" s="24"/>
    </row>
    <row r="167" spans="1:7" ht="30.9" customHeight="1">
      <c r="A167" s="553"/>
      <c r="B167" s="547"/>
      <c r="C167" s="26"/>
      <c r="D167" s="25">
        <v>7470</v>
      </c>
      <c r="E167" s="26" t="s">
        <v>221</v>
      </c>
      <c r="F167" s="545"/>
      <c r="G167" s="24"/>
    </row>
    <row r="168" spans="1:7" ht="30.9" customHeight="1">
      <c r="A168" s="553"/>
      <c r="B168" s="547"/>
      <c r="C168" s="26"/>
      <c r="D168" s="25">
        <v>9880</v>
      </c>
      <c r="E168" s="26" t="s">
        <v>222</v>
      </c>
      <c r="F168" s="545"/>
      <c r="G168" s="24"/>
    </row>
    <row r="169" spans="1:7" ht="30.9" customHeight="1">
      <c r="A169" s="553"/>
      <c r="B169" s="547"/>
      <c r="C169" s="26"/>
      <c r="D169" s="25">
        <v>28560</v>
      </c>
      <c r="E169" s="26" t="s">
        <v>18</v>
      </c>
      <c r="F169" s="545"/>
      <c r="G169" s="24"/>
    </row>
    <row r="170" spans="1:7" ht="30.9" customHeight="1">
      <c r="A170" s="553"/>
      <c r="B170" s="547"/>
      <c r="C170" s="26"/>
      <c r="D170" s="25">
        <v>3891</v>
      </c>
      <c r="E170" s="26" t="s">
        <v>21</v>
      </c>
      <c r="F170" s="546"/>
      <c r="G170" s="24"/>
    </row>
    <row r="171" spans="1:7" ht="30.9" customHeight="1">
      <c r="A171" s="535">
        <v>45016</v>
      </c>
      <c r="B171" s="538" t="s">
        <v>93</v>
      </c>
      <c r="C171" s="26"/>
      <c r="D171" s="25">
        <v>60720</v>
      </c>
      <c r="E171" s="26" t="s">
        <v>116</v>
      </c>
      <c r="F171" s="541">
        <f>SUM(D171:D177)</f>
        <v>315830</v>
      </c>
      <c r="G171" s="24"/>
    </row>
    <row r="172" spans="1:7" ht="30.9" customHeight="1">
      <c r="A172" s="536"/>
      <c r="B172" s="539"/>
      <c r="C172" s="26"/>
      <c r="D172" s="25">
        <v>46230</v>
      </c>
      <c r="E172" s="26" t="s">
        <v>103</v>
      </c>
      <c r="F172" s="545"/>
      <c r="G172" s="24"/>
    </row>
    <row r="173" spans="1:7" ht="30.9" customHeight="1">
      <c r="A173" s="536"/>
      <c r="B173" s="539"/>
      <c r="C173" s="26"/>
      <c r="D173" s="25">
        <v>56830</v>
      </c>
      <c r="E173" s="26" t="s">
        <v>112</v>
      </c>
      <c r="F173" s="545"/>
      <c r="G173" s="24"/>
    </row>
    <row r="174" spans="1:7" ht="30.9" customHeight="1">
      <c r="A174" s="536"/>
      <c r="B174" s="539"/>
      <c r="C174" s="26"/>
      <c r="D174" s="25">
        <v>2110</v>
      </c>
      <c r="E174" s="26" t="s">
        <v>44</v>
      </c>
      <c r="F174" s="545"/>
      <c r="G174" s="24"/>
    </row>
    <row r="175" spans="1:7" ht="30.9" customHeight="1">
      <c r="A175" s="536"/>
      <c r="B175" s="539"/>
      <c r="C175" s="26"/>
      <c r="D175" s="25">
        <v>8500</v>
      </c>
      <c r="E175" s="26" t="s">
        <v>223</v>
      </c>
      <c r="F175" s="545"/>
      <c r="G175" s="24"/>
    </row>
    <row r="176" spans="1:7" ht="30.9" customHeight="1">
      <c r="A176" s="536"/>
      <c r="B176" s="539"/>
      <c r="C176" s="26"/>
      <c r="D176" s="25">
        <v>130000</v>
      </c>
      <c r="E176" s="26" t="s">
        <v>224</v>
      </c>
      <c r="F176" s="545"/>
      <c r="G176" s="24"/>
    </row>
    <row r="177" spans="1:7" ht="30.9" customHeight="1">
      <c r="A177" s="537"/>
      <c r="B177" s="540"/>
      <c r="C177" s="26"/>
      <c r="D177" s="25">
        <v>11440</v>
      </c>
      <c r="E177" s="26" t="s">
        <v>122</v>
      </c>
      <c r="F177" s="546"/>
      <c r="G177" s="24"/>
    </row>
    <row r="178" spans="1:7" ht="39.9" customHeight="1">
      <c r="A178" s="565"/>
      <c r="B178" s="565"/>
      <c r="C178" s="565"/>
      <c r="D178" s="565"/>
      <c r="E178" s="565"/>
      <c r="F178" s="566">
        <f>SUM(F38:F177)</f>
        <v>7638836</v>
      </c>
      <c r="G178" s="565"/>
    </row>
    <row r="179" spans="1:7" ht="37.200000000000003">
      <c r="A179" s="554" t="s">
        <v>189</v>
      </c>
      <c r="B179" s="554"/>
      <c r="C179" s="554"/>
      <c r="D179" s="554"/>
      <c r="E179" s="554"/>
      <c r="F179" s="554"/>
      <c r="G179" s="554"/>
    </row>
    <row r="180" spans="1:7" ht="20.399999999999999">
      <c r="A180" s="550" t="s">
        <v>0</v>
      </c>
      <c r="B180" s="550"/>
      <c r="C180" s="10" t="s">
        <v>190</v>
      </c>
      <c r="D180" s="20" t="s">
        <v>71</v>
      </c>
      <c r="E180" s="20" t="s">
        <v>72</v>
      </c>
      <c r="F180" s="20" t="s">
        <v>73</v>
      </c>
      <c r="G180" s="20" t="s">
        <v>74</v>
      </c>
    </row>
    <row r="181" spans="1:7" ht="30.9" customHeight="1">
      <c r="A181" s="47">
        <v>44987</v>
      </c>
      <c r="B181" s="21"/>
      <c r="C181" s="562" t="s">
        <v>209</v>
      </c>
      <c r="D181" s="48">
        <v>77400</v>
      </c>
      <c r="E181" s="26"/>
      <c r="F181" s="564">
        <f>SUM(D181:D192)</f>
        <v>708321</v>
      </c>
      <c r="G181" s="26"/>
    </row>
    <row r="182" spans="1:7" ht="30.9" customHeight="1">
      <c r="A182" s="47">
        <v>44988</v>
      </c>
      <c r="B182" s="21"/>
      <c r="C182" s="542"/>
      <c r="D182" s="48">
        <v>59684</v>
      </c>
      <c r="E182" s="26"/>
      <c r="F182" s="564"/>
      <c r="G182" s="26"/>
    </row>
    <row r="183" spans="1:7" ht="30.9" customHeight="1">
      <c r="A183" s="47">
        <v>44988</v>
      </c>
      <c r="B183" s="21"/>
      <c r="C183" s="542"/>
      <c r="D183" s="48">
        <v>27500</v>
      </c>
      <c r="E183" s="26"/>
      <c r="F183" s="564"/>
      <c r="G183" s="26"/>
    </row>
    <row r="184" spans="1:7" ht="30.9" customHeight="1">
      <c r="A184" s="47">
        <v>44989</v>
      </c>
      <c r="B184" s="21"/>
      <c r="C184" s="542"/>
      <c r="D184" s="48">
        <v>109125</v>
      </c>
      <c r="E184" s="26"/>
      <c r="F184" s="564"/>
      <c r="G184" s="26"/>
    </row>
    <row r="185" spans="1:7" ht="30.9" customHeight="1">
      <c r="A185" s="47">
        <v>44995</v>
      </c>
      <c r="B185" s="21"/>
      <c r="C185" s="542"/>
      <c r="D185" s="48">
        <v>34599</v>
      </c>
      <c r="E185" s="26"/>
      <c r="F185" s="564"/>
      <c r="G185" s="26"/>
    </row>
    <row r="186" spans="1:7" ht="30.9" customHeight="1">
      <c r="A186" s="47">
        <v>44995</v>
      </c>
      <c r="B186" s="21"/>
      <c r="C186" s="542"/>
      <c r="D186" s="48">
        <v>100450</v>
      </c>
      <c r="E186" s="26"/>
      <c r="F186" s="564"/>
      <c r="G186" s="26"/>
    </row>
    <row r="187" spans="1:7" ht="30.9" customHeight="1">
      <c r="A187" s="47">
        <v>44996</v>
      </c>
      <c r="B187" s="21"/>
      <c r="C187" s="542"/>
      <c r="D187" s="48">
        <v>68312</v>
      </c>
      <c r="E187" s="26"/>
      <c r="F187" s="564"/>
      <c r="G187" s="26"/>
    </row>
    <row r="188" spans="1:7" ht="30.9" customHeight="1">
      <c r="A188" s="47">
        <v>44996</v>
      </c>
      <c r="B188" s="21"/>
      <c r="C188" s="542"/>
      <c r="D188" s="48">
        <v>24340</v>
      </c>
      <c r="E188" s="26"/>
      <c r="F188" s="564"/>
      <c r="G188" s="26"/>
    </row>
    <row r="189" spans="1:7" ht="30.9" customHeight="1">
      <c r="A189" s="47">
        <v>44999</v>
      </c>
      <c r="B189" s="21"/>
      <c r="C189" s="542"/>
      <c r="D189" s="48">
        <v>54545</v>
      </c>
      <c r="E189" s="26"/>
      <c r="F189" s="564"/>
      <c r="G189" s="26"/>
    </row>
    <row r="190" spans="1:7" ht="30.9" customHeight="1">
      <c r="A190" s="47">
        <v>45001</v>
      </c>
      <c r="B190" s="21"/>
      <c r="C190" s="542"/>
      <c r="D190" s="48">
        <v>60480</v>
      </c>
      <c r="E190" s="26"/>
      <c r="F190" s="564"/>
      <c r="G190" s="26"/>
    </row>
    <row r="191" spans="1:7" ht="30.9" customHeight="1">
      <c r="A191" s="47">
        <v>45002</v>
      </c>
      <c r="B191" s="21"/>
      <c r="C191" s="542"/>
      <c r="D191" s="48">
        <v>72500</v>
      </c>
      <c r="E191" s="26"/>
      <c r="F191" s="564"/>
      <c r="G191" s="26"/>
    </row>
    <row r="192" spans="1:7" ht="30.9" customHeight="1">
      <c r="A192" s="47">
        <v>45005</v>
      </c>
      <c r="B192" s="21"/>
      <c r="C192" s="542"/>
      <c r="D192" s="48">
        <v>19386</v>
      </c>
      <c r="E192" s="26"/>
      <c r="F192" s="564"/>
      <c r="G192" s="26"/>
    </row>
    <row r="193" spans="1:8" ht="30.9" customHeight="1">
      <c r="A193" s="47">
        <v>45006</v>
      </c>
      <c r="B193" s="21"/>
      <c r="C193" s="542"/>
      <c r="D193" s="48"/>
      <c r="E193" s="26"/>
      <c r="F193" s="564"/>
      <c r="G193" s="26"/>
    </row>
    <row r="194" spans="1:8" ht="30.9" customHeight="1">
      <c r="A194" s="47">
        <v>45009</v>
      </c>
      <c r="B194" s="21"/>
      <c r="C194" s="542"/>
      <c r="D194" s="48"/>
      <c r="E194" s="26"/>
      <c r="F194" s="564"/>
      <c r="G194" s="26"/>
    </row>
    <row r="195" spans="1:8" ht="30.9" customHeight="1">
      <c r="A195" s="47"/>
      <c r="B195" s="21"/>
      <c r="C195" s="542"/>
      <c r="D195" s="48"/>
      <c r="E195" s="26"/>
      <c r="F195" s="564"/>
      <c r="G195" s="26"/>
    </row>
    <row r="196" spans="1:8" ht="30.9" customHeight="1">
      <c r="A196" s="47"/>
      <c r="B196" s="21"/>
      <c r="C196" s="542"/>
      <c r="D196" s="48"/>
      <c r="E196" s="26"/>
      <c r="F196" s="564"/>
      <c r="G196" s="26"/>
    </row>
    <row r="197" spans="1:8" ht="30.9" customHeight="1">
      <c r="A197" s="47"/>
      <c r="B197" s="21"/>
      <c r="C197" s="542"/>
      <c r="D197" s="48"/>
      <c r="E197" s="26"/>
      <c r="F197" s="564"/>
      <c r="G197" s="26"/>
    </row>
    <row r="198" spans="1:8" ht="30.9" customHeight="1">
      <c r="A198" s="47"/>
      <c r="B198" s="21"/>
      <c r="C198" s="542"/>
      <c r="D198" s="48"/>
      <c r="E198" s="26"/>
      <c r="F198" s="564"/>
      <c r="G198" s="26"/>
    </row>
    <row r="199" spans="1:8" ht="30.9" customHeight="1">
      <c r="A199" s="47"/>
      <c r="B199" s="21"/>
      <c r="C199" s="542"/>
      <c r="D199" s="48"/>
      <c r="E199" s="26"/>
      <c r="F199" s="564"/>
      <c r="G199" s="26"/>
    </row>
    <row r="200" spans="1:8" ht="30.9" customHeight="1">
      <c r="A200" s="21"/>
      <c r="B200" s="21"/>
      <c r="C200" s="543"/>
      <c r="D200" s="48"/>
      <c r="E200" s="26"/>
      <c r="F200" s="564"/>
      <c r="G200" s="26"/>
    </row>
    <row r="202" spans="1:8">
      <c r="C202" s="568" t="s">
        <v>240</v>
      </c>
      <c r="D202" s="563">
        <f>C35</f>
        <v>10345847</v>
      </c>
    </row>
    <row r="203" spans="1:8">
      <c r="C203" s="568"/>
      <c r="D203" s="475"/>
    </row>
    <row r="205" spans="1:8">
      <c r="C205" s="568" t="s">
        <v>241</v>
      </c>
      <c r="D205" s="563">
        <f>D35</f>
        <v>7638836</v>
      </c>
    </row>
    <row r="206" spans="1:8">
      <c r="C206" s="568"/>
      <c r="D206" s="475"/>
    </row>
    <row r="208" spans="1:8" ht="17.399999999999999">
      <c r="C208" s="568" t="s">
        <v>246</v>
      </c>
      <c r="D208" s="49" t="s">
        <v>244</v>
      </c>
      <c r="E208" s="49" t="s">
        <v>245</v>
      </c>
      <c r="F208" s="49"/>
      <c r="G208" s="49"/>
      <c r="H208" s="49" t="s">
        <v>73</v>
      </c>
    </row>
    <row r="209" spans="3:9" ht="17.399999999999999">
      <c r="C209" s="568"/>
      <c r="D209" s="49">
        <v>3420</v>
      </c>
      <c r="E209" s="49">
        <v>4500</v>
      </c>
      <c r="F209" s="49"/>
      <c r="G209" s="49"/>
      <c r="H209" s="51">
        <f>SUM(D209:G209)</f>
        <v>7920</v>
      </c>
    </row>
    <row r="211" spans="3:9" ht="17.399999999999999">
      <c r="C211" s="568" t="s">
        <v>228</v>
      </c>
      <c r="D211" s="49" t="s">
        <v>229</v>
      </c>
      <c r="E211" s="49" t="s">
        <v>230</v>
      </c>
      <c r="F211" s="49" t="s">
        <v>231</v>
      </c>
      <c r="G211" s="49" t="s">
        <v>232</v>
      </c>
      <c r="H211" s="49" t="s">
        <v>73</v>
      </c>
      <c r="I211" s="50"/>
    </row>
    <row r="212" spans="3:9" ht="17.399999999999999">
      <c r="C212" s="568"/>
      <c r="D212" s="49">
        <v>43000</v>
      </c>
      <c r="E212" s="49">
        <v>160000</v>
      </c>
      <c r="F212" s="49">
        <v>250000</v>
      </c>
      <c r="G212" s="49">
        <v>38700</v>
      </c>
      <c r="H212" s="51">
        <f>SUM(D212:G212)</f>
        <v>491700</v>
      </c>
      <c r="I212" s="50"/>
    </row>
    <row r="213" spans="3:9" ht="18">
      <c r="C213" s="52"/>
      <c r="D213" s="53"/>
      <c r="E213" s="50"/>
      <c r="F213" s="50"/>
      <c r="G213" s="50"/>
      <c r="H213" s="50"/>
      <c r="I213" s="50"/>
    </row>
    <row r="214" spans="3:9" ht="17.399999999999999">
      <c r="C214" s="568" t="s">
        <v>233</v>
      </c>
      <c r="D214" s="49" t="s">
        <v>170</v>
      </c>
      <c r="E214" s="49" t="s">
        <v>18</v>
      </c>
      <c r="F214" s="49" t="s">
        <v>25</v>
      </c>
      <c r="G214" s="49" t="s">
        <v>234</v>
      </c>
      <c r="H214" s="49" t="s">
        <v>235</v>
      </c>
      <c r="I214" s="49" t="s">
        <v>73</v>
      </c>
    </row>
    <row r="215" spans="3:9" ht="17.399999999999999">
      <c r="C215" s="568"/>
      <c r="D215" s="49"/>
      <c r="E215" s="49"/>
      <c r="F215" s="49"/>
      <c r="G215" s="49"/>
      <c r="H215" s="49"/>
      <c r="I215" s="567">
        <f>SUM(D215:G216)</f>
        <v>0</v>
      </c>
    </row>
    <row r="216" spans="3:9" ht="17.399999999999999">
      <c r="C216" s="568"/>
      <c r="D216" s="49"/>
      <c r="E216" s="49"/>
      <c r="F216" s="49"/>
      <c r="G216" s="49"/>
      <c r="H216" s="49"/>
      <c r="I216" s="567"/>
    </row>
    <row r="217" spans="3:9" ht="17.399999999999999">
      <c r="C217" s="54"/>
      <c r="D217" s="53"/>
      <c r="E217" s="50"/>
      <c r="F217" s="50"/>
      <c r="G217" s="50"/>
      <c r="H217" s="50"/>
      <c r="I217" s="50"/>
    </row>
    <row r="218" spans="3:9" ht="17.399999999999999">
      <c r="C218" s="568" t="s">
        <v>236</v>
      </c>
      <c r="D218" s="49" t="s">
        <v>162</v>
      </c>
      <c r="E218" s="49" t="s">
        <v>73</v>
      </c>
      <c r="F218" s="50"/>
      <c r="G218" s="49" t="s">
        <v>242</v>
      </c>
      <c r="H218" s="49" t="s">
        <v>237</v>
      </c>
      <c r="I218" s="50"/>
    </row>
    <row r="219" spans="3:9" ht="17.399999999999999">
      <c r="C219" s="568"/>
      <c r="D219" s="49"/>
      <c r="E219" s="51">
        <f>SUM(D219)</f>
        <v>0</v>
      </c>
      <c r="F219" s="50"/>
      <c r="G219" s="55"/>
      <c r="H219" s="55">
        <v>481000</v>
      </c>
      <c r="I219" s="50"/>
    </row>
    <row r="220" spans="3:9" ht="18">
      <c r="C220" s="52"/>
      <c r="D220" s="53"/>
      <c r="E220" s="50"/>
      <c r="F220" s="50"/>
      <c r="G220" s="50"/>
      <c r="H220" s="50"/>
      <c r="I220" s="50"/>
    </row>
    <row r="221" spans="3:9" ht="17.399999999999999">
      <c r="C221" s="569" t="s">
        <v>238</v>
      </c>
      <c r="D221" s="49"/>
      <c r="E221" s="49"/>
      <c r="F221" s="50"/>
      <c r="G221" s="50"/>
      <c r="H221" s="50"/>
      <c r="I221" s="50"/>
    </row>
    <row r="222" spans="3:9" ht="17.399999999999999">
      <c r="C222" s="569"/>
      <c r="D222" s="49">
        <f>(D201-E201)/28</f>
        <v>0</v>
      </c>
      <c r="E222" s="49"/>
      <c r="F222" s="50"/>
      <c r="G222" s="50"/>
      <c r="H222" s="50"/>
      <c r="I222" s="50"/>
    </row>
    <row r="223" spans="3:9" ht="18">
      <c r="C223" s="52"/>
      <c r="D223" s="8"/>
      <c r="E223" s="56"/>
      <c r="F223" s="56"/>
      <c r="G223" s="56"/>
      <c r="H223" s="56"/>
      <c r="I223" s="56"/>
    </row>
    <row r="224" spans="3:9" ht="18">
      <c r="C224" s="572" t="s">
        <v>239</v>
      </c>
      <c r="D224" s="570">
        <f>D202-D205-H212-H209</f>
        <v>2207391</v>
      </c>
      <c r="E224" s="571"/>
      <c r="F224" s="56"/>
      <c r="G224" s="56"/>
      <c r="H224" s="56"/>
      <c r="I224" s="56"/>
    </row>
    <row r="225" spans="3:9" ht="18">
      <c r="C225" s="572"/>
      <c r="D225" s="570"/>
      <c r="E225" s="571"/>
      <c r="F225" s="56"/>
      <c r="G225" s="56"/>
      <c r="H225" s="56"/>
      <c r="I225" s="56"/>
    </row>
  </sheetData>
  <mergeCells count="113">
    <mergeCell ref="I215:I216"/>
    <mergeCell ref="C218:C219"/>
    <mergeCell ref="C221:C222"/>
    <mergeCell ref="D224:D225"/>
    <mergeCell ref="E224:E225"/>
    <mergeCell ref="C224:C225"/>
    <mergeCell ref="C211:C212"/>
    <mergeCell ref="C214:C216"/>
    <mergeCell ref="C202:C203"/>
    <mergeCell ref="C205:C206"/>
    <mergeCell ref="C208:C209"/>
    <mergeCell ref="F139:F142"/>
    <mergeCell ref="A139:A142"/>
    <mergeCell ref="B139:B142"/>
    <mergeCell ref="C181:C200"/>
    <mergeCell ref="D202:D203"/>
    <mergeCell ref="D205:D206"/>
    <mergeCell ref="A165:A170"/>
    <mergeCell ref="B165:B170"/>
    <mergeCell ref="F165:F170"/>
    <mergeCell ref="A171:A177"/>
    <mergeCell ref="B171:B177"/>
    <mergeCell ref="F171:F177"/>
    <mergeCell ref="A180:B180"/>
    <mergeCell ref="F181:F200"/>
    <mergeCell ref="A178:E178"/>
    <mergeCell ref="F178:G178"/>
    <mergeCell ref="A156:A161"/>
    <mergeCell ref="A143:A145"/>
    <mergeCell ref="B143:B145"/>
    <mergeCell ref="F143:F145"/>
    <mergeCell ref="A146:A152"/>
    <mergeCell ref="B146:B152"/>
    <mergeCell ref="F146:F152"/>
    <mergeCell ref="A153:A154"/>
    <mergeCell ref="A115:A119"/>
    <mergeCell ref="B115:B119"/>
    <mergeCell ref="F115:F119"/>
    <mergeCell ref="A120:A124"/>
    <mergeCell ref="B120:B124"/>
    <mergeCell ref="F120:F124"/>
    <mergeCell ref="A125:A128"/>
    <mergeCell ref="B125:B128"/>
    <mergeCell ref="F125:F128"/>
    <mergeCell ref="A1:B1"/>
    <mergeCell ref="C1:G1"/>
    <mergeCell ref="A2:B2"/>
    <mergeCell ref="A36:G36"/>
    <mergeCell ref="F44:F51"/>
    <mergeCell ref="A44:A51"/>
    <mergeCell ref="B44:B51"/>
    <mergeCell ref="A37:B37"/>
    <mergeCell ref="A38:A39"/>
    <mergeCell ref="B38:B39"/>
    <mergeCell ref="F38:F39"/>
    <mergeCell ref="F41:F43"/>
    <mergeCell ref="A41:A43"/>
    <mergeCell ref="B41:B43"/>
    <mergeCell ref="A35:B35"/>
    <mergeCell ref="A34:C34"/>
    <mergeCell ref="B65:B69"/>
    <mergeCell ref="F65:F69"/>
    <mergeCell ref="F71:F74"/>
    <mergeCell ref="A71:A74"/>
    <mergeCell ref="B71:B74"/>
    <mergeCell ref="F52:F60"/>
    <mergeCell ref="A52:A60"/>
    <mergeCell ref="B52:B60"/>
    <mergeCell ref="A61:A64"/>
    <mergeCell ref="B61:B64"/>
    <mergeCell ref="F61:F64"/>
    <mergeCell ref="A65:A69"/>
    <mergeCell ref="B98:B102"/>
    <mergeCell ref="F98:F102"/>
    <mergeCell ref="A103:A108"/>
    <mergeCell ref="B103:B108"/>
    <mergeCell ref="F103:F108"/>
    <mergeCell ref="A109:A114"/>
    <mergeCell ref="B109:B114"/>
    <mergeCell ref="F109:F114"/>
    <mergeCell ref="A75:A79"/>
    <mergeCell ref="B75:B79"/>
    <mergeCell ref="F75:F79"/>
    <mergeCell ref="F80:F82"/>
    <mergeCell ref="A80:A82"/>
    <mergeCell ref="B80:B82"/>
    <mergeCell ref="A83:A84"/>
    <mergeCell ref="B83:B84"/>
    <mergeCell ref="F83:F84"/>
    <mergeCell ref="B153:B154"/>
    <mergeCell ref="F153:F154"/>
    <mergeCell ref="B156:B161"/>
    <mergeCell ref="F156:F161"/>
    <mergeCell ref="A162:A164"/>
    <mergeCell ref="B162:B164"/>
    <mergeCell ref="F162:F164"/>
    <mergeCell ref="A179:G179"/>
    <mergeCell ref="A85:A87"/>
    <mergeCell ref="B85:B87"/>
    <mergeCell ref="F85:F87"/>
    <mergeCell ref="A88:A94"/>
    <mergeCell ref="B88:B94"/>
    <mergeCell ref="A129:A132"/>
    <mergeCell ref="B129:B132"/>
    <mergeCell ref="F129:F132"/>
    <mergeCell ref="A133:A137"/>
    <mergeCell ref="B133:B137"/>
    <mergeCell ref="F133:F137"/>
    <mergeCell ref="F88:F94"/>
    <mergeCell ref="A95:A97"/>
    <mergeCell ref="B95:B97"/>
    <mergeCell ref="F95:F97"/>
    <mergeCell ref="A98:A102"/>
  </mergeCells>
  <phoneticPr fontId="1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0C40-9A28-7E46-A2DA-F52294EA3E67}">
  <sheetPr codeName="Sheet8"/>
  <dimension ref="A1:I51"/>
  <sheetViews>
    <sheetView topLeftCell="B1" zoomScale="101" workbookViewId="0">
      <selection activeCell="I6" sqref="I6"/>
    </sheetView>
  </sheetViews>
  <sheetFormatPr defaultColWidth="10.6328125" defaultRowHeight="17.399999999999999"/>
  <cols>
    <col min="1" max="1" width="8" style="94" customWidth="1"/>
    <col min="2" max="2" width="2.90625" style="61" customWidth="1"/>
    <col min="3" max="3" width="12.6328125" style="61" customWidth="1"/>
    <col min="4" max="4" width="13" style="61" customWidth="1"/>
    <col min="5" max="5" width="11.36328125" style="61" customWidth="1"/>
    <col min="6" max="6" width="11.08984375" style="61" customWidth="1"/>
    <col min="7" max="8" width="10.6328125" style="61" customWidth="1"/>
    <col min="9" max="16384" width="10.6328125" style="61"/>
  </cols>
  <sheetData>
    <row r="1" spans="1:7" ht="24" customHeight="1">
      <c r="A1" s="581" t="s">
        <v>0</v>
      </c>
      <c r="B1" s="581"/>
      <c r="C1" s="49" t="s">
        <v>225</v>
      </c>
      <c r="D1" s="62" t="s">
        <v>226</v>
      </c>
      <c r="E1" s="63" t="s">
        <v>227</v>
      </c>
      <c r="F1" s="64" t="s">
        <v>5</v>
      </c>
      <c r="G1" s="63" t="s">
        <v>243</v>
      </c>
    </row>
    <row r="2" spans="1:7" ht="30.9" customHeight="1">
      <c r="A2" s="92">
        <v>45017</v>
      </c>
      <c r="B2" s="65" t="s">
        <v>57</v>
      </c>
      <c r="C2" s="58">
        <v>392879</v>
      </c>
      <c r="D2" s="66">
        <v>180197</v>
      </c>
      <c r="E2" s="66">
        <v>0</v>
      </c>
      <c r="F2" s="67">
        <f>C2-D2</f>
        <v>212682</v>
      </c>
      <c r="G2" s="66">
        <v>50520</v>
      </c>
    </row>
    <row r="3" spans="1:7" ht="30.9" customHeight="1">
      <c r="A3" s="92">
        <v>45018</v>
      </c>
      <c r="B3" s="65" t="s">
        <v>59</v>
      </c>
      <c r="C3" s="58">
        <v>288213</v>
      </c>
      <c r="D3" s="66">
        <v>206824</v>
      </c>
      <c r="E3" s="66">
        <v>17529</v>
      </c>
      <c r="F3" s="67">
        <f>C3-D3+F2</f>
        <v>294071</v>
      </c>
      <c r="G3" s="66">
        <v>0</v>
      </c>
    </row>
    <row r="4" spans="1:7" ht="30.9" customHeight="1">
      <c r="A4" s="93">
        <v>45019</v>
      </c>
      <c r="B4" s="68" t="s">
        <v>61</v>
      </c>
      <c r="C4" s="58">
        <v>261646</v>
      </c>
      <c r="D4" s="66">
        <v>716462</v>
      </c>
      <c r="E4" s="66">
        <v>30200</v>
      </c>
      <c r="F4" s="67">
        <f t="shared" ref="F4:F9" si="0">C4-D4+F3</f>
        <v>-160745</v>
      </c>
      <c r="G4" s="66">
        <v>91849</v>
      </c>
    </row>
    <row r="5" spans="1:7" ht="30.9" customHeight="1">
      <c r="A5" s="93">
        <v>45020</v>
      </c>
      <c r="B5" s="68" t="s">
        <v>63</v>
      </c>
      <c r="C5" s="58">
        <v>342457</v>
      </c>
      <c r="D5" s="66">
        <v>146387</v>
      </c>
      <c r="E5" s="66">
        <v>0</v>
      </c>
      <c r="F5" s="67">
        <f t="shared" si="0"/>
        <v>35325</v>
      </c>
      <c r="G5" s="66">
        <v>182436</v>
      </c>
    </row>
    <row r="6" spans="1:7" ht="30.9" customHeight="1">
      <c r="A6" s="93">
        <v>45021</v>
      </c>
      <c r="B6" s="68" t="s">
        <v>65</v>
      </c>
      <c r="C6" s="58">
        <v>194932</v>
      </c>
      <c r="D6" s="66">
        <v>1004590</v>
      </c>
      <c r="E6" s="66">
        <v>0</v>
      </c>
      <c r="F6" s="67">
        <f t="shared" si="0"/>
        <v>-774333</v>
      </c>
      <c r="G6" s="66">
        <v>72210</v>
      </c>
    </row>
    <row r="7" spans="1:7" ht="30.9" customHeight="1">
      <c r="A7" s="93">
        <v>45022</v>
      </c>
      <c r="B7" s="68" t="s">
        <v>54</v>
      </c>
      <c r="C7" s="58">
        <v>344621</v>
      </c>
      <c r="D7" s="66">
        <v>533119</v>
      </c>
      <c r="E7" s="66">
        <v>0</v>
      </c>
      <c r="F7" s="67">
        <f t="shared" si="0"/>
        <v>-962831</v>
      </c>
      <c r="G7" s="66">
        <v>127167</v>
      </c>
    </row>
    <row r="8" spans="1:7" ht="30.9" customHeight="1">
      <c r="A8" s="92">
        <v>45023</v>
      </c>
      <c r="B8" s="65" t="s">
        <v>55</v>
      </c>
      <c r="C8" s="58">
        <v>485949</v>
      </c>
      <c r="D8" s="66">
        <v>197708</v>
      </c>
      <c r="E8" s="66">
        <v>8324</v>
      </c>
      <c r="F8" s="67">
        <f t="shared" si="0"/>
        <v>-674590</v>
      </c>
      <c r="G8" s="66">
        <v>334341</v>
      </c>
    </row>
    <row r="9" spans="1:7" ht="30.9" customHeight="1">
      <c r="A9" s="92">
        <v>45024</v>
      </c>
      <c r="B9" s="65" t="s">
        <v>57</v>
      </c>
      <c r="C9" s="58">
        <v>416374</v>
      </c>
      <c r="D9" s="66">
        <v>64412</v>
      </c>
      <c r="E9" s="66">
        <v>0</v>
      </c>
      <c r="F9" s="67">
        <f t="shared" si="0"/>
        <v>-322628</v>
      </c>
      <c r="G9" s="66">
        <v>64232</v>
      </c>
    </row>
    <row r="10" spans="1:7" ht="30.9" customHeight="1">
      <c r="A10" s="92">
        <v>45025</v>
      </c>
      <c r="B10" s="65" t="s">
        <v>59</v>
      </c>
      <c r="C10" s="58">
        <v>324598</v>
      </c>
      <c r="D10" s="66">
        <v>391190</v>
      </c>
      <c r="E10" s="66">
        <v>0</v>
      </c>
      <c r="F10" s="67">
        <f>C10-D10+F9</f>
        <v>-389220</v>
      </c>
      <c r="G10" s="66">
        <v>0</v>
      </c>
    </row>
    <row r="11" spans="1:7" ht="30.9" customHeight="1">
      <c r="A11" s="93">
        <v>45026</v>
      </c>
      <c r="B11" s="68" t="s">
        <v>61</v>
      </c>
      <c r="C11" s="58">
        <v>215353</v>
      </c>
      <c r="D11" s="66">
        <v>63470</v>
      </c>
      <c r="E11" s="66">
        <v>20006</v>
      </c>
      <c r="F11" s="67">
        <f>C11-D11+F10</f>
        <v>-237337</v>
      </c>
      <c r="G11" s="66">
        <v>75127</v>
      </c>
    </row>
    <row r="12" spans="1:7" ht="30.9" customHeight="1">
      <c r="A12" s="93">
        <v>45027</v>
      </c>
      <c r="B12" s="68" t="s">
        <v>63</v>
      </c>
      <c r="C12" s="58">
        <v>392103</v>
      </c>
      <c r="D12" s="66">
        <v>24980</v>
      </c>
      <c r="E12" s="66">
        <v>0</v>
      </c>
      <c r="F12" s="67">
        <f t="shared" ref="F12:F31" si="1">C12-D12+F11</f>
        <v>129786</v>
      </c>
      <c r="G12" s="66">
        <v>245247</v>
      </c>
    </row>
    <row r="13" spans="1:7" ht="30.9" customHeight="1">
      <c r="A13" s="93">
        <v>45028</v>
      </c>
      <c r="B13" s="68" t="s">
        <v>65</v>
      </c>
      <c r="C13" s="58">
        <v>267178</v>
      </c>
      <c r="D13" s="66">
        <v>85764</v>
      </c>
      <c r="E13" s="66">
        <v>26712</v>
      </c>
      <c r="F13" s="67">
        <f>C13-D13+F12</f>
        <v>311200</v>
      </c>
      <c r="G13" s="66">
        <v>170179</v>
      </c>
    </row>
    <row r="14" spans="1:7" ht="30.9" customHeight="1">
      <c r="A14" s="93">
        <v>45029</v>
      </c>
      <c r="B14" s="68" t="s">
        <v>54</v>
      </c>
      <c r="C14" s="58">
        <v>325349</v>
      </c>
      <c r="D14" s="66">
        <v>154349</v>
      </c>
      <c r="E14" s="66">
        <v>7602</v>
      </c>
      <c r="F14" s="67">
        <f t="shared" si="1"/>
        <v>482200</v>
      </c>
      <c r="G14" s="66">
        <v>140212</v>
      </c>
    </row>
    <row r="15" spans="1:7" ht="30.9" customHeight="1">
      <c r="A15" s="92">
        <v>45030</v>
      </c>
      <c r="B15" s="65" t="s">
        <v>55</v>
      </c>
      <c r="C15" s="58">
        <v>406343</v>
      </c>
      <c r="D15" s="66">
        <v>144660</v>
      </c>
      <c r="E15" s="66">
        <v>0</v>
      </c>
      <c r="F15" s="67">
        <f t="shared" si="1"/>
        <v>743883</v>
      </c>
      <c r="G15" s="66">
        <v>296265</v>
      </c>
    </row>
    <row r="16" spans="1:7" ht="30.9" customHeight="1">
      <c r="A16" s="92">
        <v>45031</v>
      </c>
      <c r="B16" s="65" t="s">
        <v>57</v>
      </c>
      <c r="C16" s="58">
        <v>354434</v>
      </c>
      <c r="D16" s="66">
        <v>959445</v>
      </c>
      <c r="E16" s="66">
        <v>20996</v>
      </c>
      <c r="F16" s="67">
        <f t="shared" si="1"/>
        <v>138872</v>
      </c>
      <c r="G16" s="66">
        <v>128862</v>
      </c>
    </row>
    <row r="17" spans="1:7" ht="30.9" customHeight="1">
      <c r="A17" s="92">
        <v>45032</v>
      </c>
      <c r="B17" s="65" t="s">
        <v>59</v>
      </c>
      <c r="C17" s="58">
        <v>482646</v>
      </c>
      <c r="D17" s="66">
        <v>41670</v>
      </c>
      <c r="E17" s="66">
        <v>0</v>
      </c>
      <c r="F17" s="67">
        <f t="shared" si="1"/>
        <v>579848</v>
      </c>
      <c r="G17" s="66">
        <v>0</v>
      </c>
    </row>
    <row r="18" spans="1:7" ht="30.9" customHeight="1">
      <c r="A18" s="93">
        <v>45033</v>
      </c>
      <c r="B18" s="68" t="s">
        <v>61</v>
      </c>
      <c r="C18" s="58">
        <v>194940</v>
      </c>
      <c r="D18" s="66">
        <v>289320</v>
      </c>
      <c r="E18" s="66">
        <v>13945</v>
      </c>
      <c r="F18" s="67">
        <f t="shared" si="1"/>
        <v>485468</v>
      </c>
      <c r="G18" s="66">
        <v>79242</v>
      </c>
    </row>
    <row r="19" spans="1:7" ht="30.9" customHeight="1">
      <c r="A19" s="93">
        <v>45034</v>
      </c>
      <c r="B19" s="68" t="s">
        <v>63</v>
      </c>
      <c r="C19" s="58">
        <v>254482</v>
      </c>
      <c r="D19" s="66">
        <v>80810</v>
      </c>
      <c r="E19" s="66">
        <v>0</v>
      </c>
      <c r="F19" s="67">
        <v>659140</v>
      </c>
      <c r="G19" s="66">
        <v>113538</v>
      </c>
    </row>
    <row r="20" spans="1:7" ht="30.9" customHeight="1">
      <c r="A20" s="93">
        <v>45035</v>
      </c>
      <c r="B20" s="68" t="s">
        <v>65</v>
      </c>
      <c r="C20" s="58">
        <v>190349</v>
      </c>
      <c r="D20" s="66">
        <v>183857</v>
      </c>
      <c r="E20" s="66">
        <v>25612</v>
      </c>
      <c r="F20" s="67">
        <f t="shared" si="1"/>
        <v>665632</v>
      </c>
      <c r="G20" s="66">
        <v>60322</v>
      </c>
    </row>
    <row r="21" spans="1:7" ht="30.9" customHeight="1">
      <c r="A21" s="93">
        <v>45036</v>
      </c>
      <c r="B21" s="68" t="s">
        <v>54</v>
      </c>
      <c r="C21" s="58">
        <v>203693</v>
      </c>
      <c r="D21" s="66">
        <v>126930</v>
      </c>
      <c r="E21" s="66">
        <v>0</v>
      </c>
      <c r="F21" s="67">
        <f t="shared" si="1"/>
        <v>742395</v>
      </c>
      <c r="G21" s="66">
        <v>82712</v>
      </c>
    </row>
    <row r="22" spans="1:7" ht="30.9" customHeight="1">
      <c r="A22" s="92">
        <v>45037</v>
      </c>
      <c r="B22" s="65" t="s">
        <v>55</v>
      </c>
      <c r="C22" s="58">
        <v>425984</v>
      </c>
      <c r="D22" s="66">
        <v>484843</v>
      </c>
      <c r="E22" s="66">
        <v>0</v>
      </c>
      <c r="F22" s="67">
        <f t="shared" si="1"/>
        <v>683536</v>
      </c>
      <c r="G22" s="66">
        <v>287918</v>
      </c>
    </row>
    <row r="23" spans="1:7" ht="30.9" customHeight="1">
      <c r="A23" s="92">
        <v>45038</v>
      </c>
      <c r="B23" s="65" t="s">
        <v>57</v>
      </c>
      <c r="C23" s="58">
        <v>485848</v>
      </c>
      <c r="D23" s="66">
        <v>170451</v>
      </c>
      <c r="E23" s="66">
        <v>28248</v>
      </c>
      <c r="F23" s="67">
        <f t="shared" si="1"/>
        <v>998933</v>
      </c>
      <c r="G23" s="66">
        <v>89224</v>
      </c>
    </row>
    <row r="24" spans="1:7" ht="30.9" customHeight="1">
      <c r="A24" s="92">
        <v>45039</v>
      </c>
      <c r="B24" s="65" t="s">
        <v>59</v>
      </c>
      <c r="C24" s="58">
        <v>350968</v>
      </c>
      <c r="D24" s="66">
        <v>64428</v>
      </c>
      <c r="E24" s="66">
        <v>0</v>
      </c>
      <c r="F24" s="67">
        <f t="shared" si="1"/>
        <v>1285473</v>
      </c>
      <c r="G24" s="66">
        <v>0</v>
      </c>
    </row>
    <row r="25" spans="1:7" ht="30.9" customHeight="1">
      <c r="A25" s="93">
        <v>45040</v>
      </c>
      <c r="B25" s="68" t="s">
        <v>61</v>
      </c>
      <c r="C25" s="58">
        <v>144851</v>
      </c>
      <c r="D25" s="66">
        <v>676242</v>
      </c>
      <c r="E25" s="66">
        <v>21553</v>
      </c>
      <c r="F25" s="67">
        <f t="shared" si="1"/>
        <v>754082</v>
      </c>
      <c r="G25" s="66">
        <v>32662</v>
      </c>
    </row>
    <row r="26" spans="1:7" ht="30.9" customHeight="1">
      <c r="A26" s="93">
        <v>45041</v>
      </c>
      <c r="B26" s="68" t="s">
        <v>63</v>
      </c>
      <c r="C26" s="58">
        <v>256866</v>
      </c>
      <c r="D26" s="66">
        <v>25495</v>
      </c>
      <c r="E26" s="66">
        <v>36121</v>
      </c>
      <c r="F26" s="67">
        <f t="shared" si="1"/>
        <v>985453</v>
      </c>
      <c r="G26" s="66">
        <v>171159</v>
      </c>
    </row>
    <row r="27" spans="1:7" ht="30.9" customHeight="1">
      <c r="A27" s="93">
        <v>45042</v>
      </c>
      <c r="B27" s="68" t="s">
        <v>65</v>
      </c>
      <c r="C27" s="58">
        <v>427621</v>
      </c>
      <c r="D27" s="66">
        <v>98856</v>
      </c>
      <c r="E27" s="66">
        <v>17399</v>
      </c>
      <c r="F27" s="67">
        <f t="shared" si="1"/>
        <v>1314218</v>
      </c>
      <c r="G27" s="66">
        <v>211339</v>
      </c>
    </row>
    <row r="28" spans="1:7" ht="30.9" customHeight="1">
      <c r="A28" s="93">
        <v>45043</v>
      </c>
      <c r="B28" s="68" t="s">
        <v>54</v>
      </c>
      <c r="C28" s="58">
        <v>361633</v>
      </c>
      <c r="D28" s="66">
        <v>123933</v>
      </c>
      <c r="E28" s="66">
        <v>0</v>
      </c>
      <c r="F28" s="67">
        <f t="shared" si="1"/>
        <v>1551918</v>
      </c>
      <c r="G28" s="66">
        <v>210273</v>
      </c>
    </row>
    <row r="29" spans="1:7" ht="30.9" customHeight="1">
      <c r="A29" s="92">
        <v>45044</v>
      </c>
      <c r="B29" s="65" t="s">
        <v>55</v>
      </c>
      <c r="C29" s="58">
        <v>762448</v>
      </c>
      <c r="D29" s="66">
        <v>642585</v>
      </c>
      <c r="E29" s="66">
        <v>39001</v>
      </c>
      <c r="F29" s="67">
        <f t="shared" si="1"/>
        <v>1671781</v>
      </c>
      <c r="G29" s="66">
        <v>487726</v>
      </c>
    </row>
    <row r="30" spans="1:7" ht="30.9" customHeight="1">
      <c r="A30" s="92">
        <v>45045</v>
      </c>
      <c r="B30" s="65" t="s">
        <v>57</v>
      </c>
      <c r="C30" s="58">
        <v>409023</v>
      </c>
      <c r="D30" s="66">
        <v>161979</v>
      </c>
      <c r="E30" s="66">
        <v>10731</v>
      </c>
      <c r="F30" s="67">
        <f t="shared" si="1"/>
        <v>1918825</v>
      </c>
      <c r="G30" s="66">
        <v>134108</v>
      </c>
    </row>
    <row r="31" spans="1:7" ht="30.9" customHeight="1">
      <c r="A31" s="92">
        <v>45046</v>
      </c>
      <c r="B31" s="65" t="s">
        <v>59</v>
      </c>
      <c r="C31" s="58">
        <v>674794</v>
      </c>
      <c r="D31" s="66">
        <v>856629</v>
      </c>
      <c r="E31" s="66">
        <v>21643</v>
      </c>
      <c r="F31" s="67">
        <f t="shared" si="1"/>
        <v>1736990</v>
      </c>
      <c r="G31" s="66">
        <v>15850</v>
      </c>
    </row>
    <row r="32" spans="1:7" ht="45" customHeight="1" thickBot="1">
      <c r="A32" s="582" t="s">
        <v>247</v>
      </c>
      <c r="B32" s="583"/>
      <c r="C32" s="60">
        <f>SUM(C2:C31)</f>
        <v>10638575</v>
      </c>
      <c r="D32" s="60">
        <f>SUM(D2:D31)</f>
        <v>8901585</v>
      </c>
      <c r="E32" s="60">
        <f>SUM(E2:E31)</f>
        <v>345622</v>
      </c>
      <c r="F32" s="60">
        <f>F31</f>
        <v>1736990</v>
      </c>
      <c r="G32" s="60">
        <f>SUM(G2:G31)</f>
        <v>3954720</v>
      </c>
    </row>
    <row r="33" spans="1:9" ht="18.600000000000001" thickBot="1">
      <c r="A33" s="502" t="s">
        <v>248</v>
      </c>
      <c r="B33" s="503"/>
      <c r="C33" s="503"/>
      <c r="D33" s="503"/>
      <c r="E33" s="503"/>
      <c r="F33" s="503"/>
      <c r="G33" s="504"/>
      <c r="H33" s="69"/>
      <c r="I33" s="69"/>
    </row>
    <row r="34" spans="1:9" ht="18">
      <c r="A34" s="95"/>
      <c r="B34" s="81"/>
      <c r="C34" s="578" t="s">
        <v>249</v>
      </c>
      <c r="D34" s="579"/>
      <c r="E34" s="580"/>
      <c r="G34" s="82"/>
    </row>
    <row r="35" spans="1:9" ht="18">
      <c r="A35" s="95"/>
      <c r="B35" s="81"/>
      <c r="C35" s="105" t="s">
        <v>247</v>
      </c>
      <c r="D35" s="71" t="s">
        <v>251</v>
      </c>
      <c r="E35" s="85" t="s">
        <v>252</v>
      </c>
      <c r="G35" s="82"/>
    </row>
    <row r="36" spans="1:9" ht="19.2">
      <c r="A36" s="95"/>
      <c r="B36" s="81"/>
      <c r="C36" s="484">
        <f>C32</f>
        <v>10638575</v>
      </c>
      <c r="D36" s="90">
        <f>E32</f>
        <v>345622</v>
      </c>
      <c r="E36" s="91">
        <f>G32</f>
        <v>3954720</v>
      </c>
      <c r="G36" s="82"/>
    </row>
    <row r="37" spans="1:9" ht="19.8" thickBot="1">
      <c r="A37" s="95"/>
      <c r="B37" s="81"/>
      <c r="C37" s="485"/>
      <c r="D37" s="98">
        <f>D36/C36</f>
        <v>3.2487621697454783E-2</v>
      </c>
      <c r="E37" s="99">
        <f>E36/C36</f>
        <v>0.37173399632939563</v>
      </c>
      <c r="F37" s="81"/>
      <c r="G37" s="83"/>
      <c r="H37" s="69"/>
      <c r="I37" s="69"/>
    </row>
    <row r="38" spans="1:9" ht="21" customHeight="1" thickBot="1">
      <c r="A38" s="95"/>
      <c r="B38" s="81"/>
      <c r="C38" s="488" t="s">
        <v>250</v>
      </c>
      <c r="D38" s="489"/>
      <c r="E38" s="489"/>
      <c r="F38" s="489"/>
      <c r="G38" s="577"/>
      <c r="H38" s="69"/>
      <c r="I38" s="69"/>
    </row>
    <row r="39" spans="1:9" ht="18.600000000000001" thickTop="1">
      <c r="A39" s="95"/>
      <c r="B39" s="81"/>
      <c r="C39" s="100" t="s">
        <v>241</v>
      </c>
      <c r="D39" s="72" t="s">
        <v>253</v>
      </c>
      <c r="E39" s="72" t="s">
        <v>254</v>
      </c>
      <c r="F39" s="86" t="s">
        <v>255</v>
      </c>
      <c r="G39" s="106" t="s">
        <v>247</v>
      </c>
      <c r="H39" s="69"/>
      <c r="I39" s="69"/>
    </row>
    <row r="40" spans="1:9" ht="18.600000000000001" thickBot="1">
      <c r="A40" s="95"/>
      <c r="B40" s="81"/>
      <c r="C40" s="101">
        <f>D32</f>
        <v>8901585</v>
      </c>
      <c r="D40" s="102">
        <f>SUM(D47:G47)</f>
        <v>518800</v>
      </c>
      <c r="E40" s="103">
        <f>D36*0.055</f>
        <v>19009.21</v>
      </c>
      <c r="F40" s="103">
        <f>SUM(D49:G49)</f>
        <v>6414</v>
      </c>
      <c r="G40" s="107">
        <f>SUM(C40:F40)</f>
        <v>9445808.2100000009</v>
      </c>
      <c r="H40" s="104"/>
      <c r="I40" s="69"/>
    </row>
    <row r="41" spans="1:9" ht="18.600000000000001" thickBot="1">
      <c r="A41" s="96"/>
      <c r="B41" s="84"/>
      <c r="C41" s="108" t="s">
        <v>266</v>
      </c>
      <c r="D41" s="109">
        <f>C36-G40</f>
        <v>1192766.7899999991</v>
      </c>
      <c r="E41" s="70"/>
      <c r="F41" s="81"/>
      <c r="G41" s="83"/>
    </row>
    <row r="42" spans="1:9" ht="20.100000000000001" customHeight="1" thickBot="1">
      <c r="A42" s="96"/>
      <c r="B42" s="84"/>
      <c r="C42" s="584" t="s">
        <v>257</v>
      </c>
      <c r="D42" s="584"/>
      <c r="E42" s="584"/>
      <c r="F42" s="584"/>
      <c r="G42" s="585"/>
    </row>
    <row r="43" spans="1:9" ht="22.8" thickTop="1">
      <c r="A43" s="97"/>
      <c r="C43" s="575" t="s">
        <v>253</v>
      </c>
      <c r="D43" s="72" t="s">
        <v>231</v>
      </c>
      <c r="E43" s="73" t="s">
        <v>229</v>
      </c>
      <c r="F43" s="72" t="s">
        <v>258</v>
      </c>
      <c r="G43" s="87" t="s">
        <v>232</v>
      </c>
    </row>
    <row r="44" spans="1:9" ht="18.600000000000001" thickBot="1">
      <c r="A44" s="97"/>
      <c r="C44" s="576"/>
      <c r="D44" s="74">
        <v>250000</v>
      </c>
      <c r="E44" s="74">
        <v>50000</v>
      </c>
      <c r="F44" s="74">
        <v>164000</v>
      </c>
      <c r="G44" s="88">
        <v>19800</v>
      </c>
    </row>
    <row r="45" spans="1:9" ht="22.8" thickTop="1">
      <c r="A45" s="97"/>
      <c r="C45" s="575" t="s">
        <v>256</v>
      </c>
      <c r="D45" s="72" t="s">
        <v>231</v>
      </c>
      <c r="E45" s="73" t="s">
        <v>229</v>
      </c>
      <c r="F45" s="72" t="s">
        <v>258</v>
      </c>
      <c r="G45" s="87" t="s">
        <v>232</v>
      </c>
    </row>
    <row r="46" spans="1:9" ht="18.600000000000001" thickBot="1">
      <c r="A46" s="97"/>
      <c r="C46" s="576"/>
      <c r="D46" s="78">
        <v>10000</v>
      </c>
      <c r="E46" s="78">
        <v>10000</v>
      </c>
      <c r="F46" s="78">
        <v>10000</v>
      </c>
      <c r="G46" s="89">
        <v>5000</v>
      </c>
    </row>
    <row r="47" spans="1:9" ht="19.2" thickTop="1" thickBot="1">
      <c r="A47" s="97"/>
      <c r="C47" s="110" t="s">
        <v>247</v>
      </c>
      <c r="D47" s="111">
        <f>D44+D46</f>
        <v>260000</v>
      </c>
      <c r="E47" s="112">
        <f t="shared" ref="E47:G47" si="2">E44+E46</f>
        <v>60000</v>
      </c>
      <c r="F47" s="112">
        <f t="shared" si="2"/>
        <v>174000</v>
      </c>
      <c r="G47" s="113">
        <f t="shared" si="2"/>
        <v>24800</v>
      </c>
    </row>
    <row r="48" spans="1:9" ht="19.2" thickTop="1" thickBot="1">
      <c r="A48" s="97"/>
      <c r="C48" s="573" t="s">
        <v>255</v>
      </c>
      <c r="D48" s="79" t="s">
        <v>259</v>
      </c>
      <c r="E48" s="80" t="s">
        <v>260</v>
      </c>
      <c r="F48" s="79" t="s">
        <v>261</v>
      </c>
      <c r="G48" s="79" t="s">
        <v>262</v>
      </c>
    </row>
    <row r="49" spans="1:7" ht="18.600000000000001" thickBot="1">
      <c r="A49" s="97"/>
      <c r="C49" s="574"/>
      <c r="D49" s="75">
        <v>2800</v>
      </c>
      <c r="E49" s="75">
        <v>1000</v>
      </c>
      <c r="F49" s="75">
        <v>264</v>
      </c>
      <c r="G49" s="75">
        <v>2350</v>
      </c>
    </row>
    <row r="50" spans="1:7" ht="18.600000000000001" thickBot="1">
      <c r="A50" s="97"/>
      <c r="C50" s="76" t="s">
        <v>263</v>
      </c>
      <c r="D50" s="77" t="s">
        <v>123</v>
      </c>
      <c r="E50" s="77" t="s">
        <v>12</v>
      </c>
      <c r="F50" s="77" t="s">
        <v>264</v>
      </c>
      <c r="G50" s="77" t="s">
        <v>265</v>
      </c>
    </row>
    <row r="51" spans="1:7" ht="18" thickTop="1"/>
  </sheetData>
  <mergeCells count="10">
    <mergeCell ref="C48:C49"/>
    <mergeCell ref="C45:C46"/>
    <mergeCell ref="C38:G38"/>
    <mergeCell ref="C34:E34"/>
    <mergeCell ref="A1:B1"/>
    <mergeCell ref="A32:B32"/>
    <mergeCell ref="A33:G33"/>
    <mergeCell ref="C36:C37"/>
    <mergeCell ref="C43:C44"/>
    <mergeCell ref="C42:G42"/>
  </mergeCells>
  <phoneticPr fontId="1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B49A-E364-924C-9AE1-E852F21DBF74}">
  <sheetPr codeName="Sheet9"/>
  <dimension ref="A1:I57"/>
  <sheetViews>
    <sheetView topLeftCell="A28" zoomScale="101" workbookViewId="0">
      <selection activeCell="F45" sqref="F45"/>
    </sheetView>
  </sheetViews>
  <sheetFormatPr defaultColWidth="10.6328125" defaultRowHeight="17.399999999999999"/>
  <cols>
    <col min="1" max="1" width="5.90625" style="94" customWidth="1"/>
    <col min="2" max="2" width="2.90625" style="61" customWidth="1"/>
    <col min="3" max="3" width="12.6328125" style="61" customWidth="1"/>
    <col min="4" max="4" width="11.54296875" style="61" customWidth="1"/>
    <col min="5" max="5" width="9" style="61" customWidth="1"/>
    <col min="6" max="6" width="11.6328125" style="61" customWidth="1"/>
    <col min="7" max="7" width="10" style="61" customWidth="1"/>
    <col min="8" max="8" width="6.54296875" style="128" customWidth="1"/>
    <col min="9" max="16384" width="10.6328125" style="61"/>
  </cols>
  <sheetData>
    <row r="1" spans="1:8" ht="24" customHeight="1">
      <c r="A1" s="475" t="s">
        <v>0</v>
      </c>
      <c r="B1" s="475"/>
      <c r="C1" s="62" t="s">
        <v>225</v>
      </c>
      <c r="D1" s="62" t="s">
        <v>226</v>
      </c>
      <c r="E1" s="133" t="s">
        <v>227</v>
      </c>
      <c r="F1" s="137" t="s">
        <v>5</v>
      </c>
      <c r="G1" s="133" t="s">
        <v>243</v>
      </c>
      <c r="H1" s="138" t="s">
        <v>284</v>
      </c>
    </row>
    <row r="2" spans="1:8" ht="30.9" customHeight="1">
      <c r="A2" s="139">
        <v>45047</v>
      </c>
      <c r="B2" s="140" t="s">
        <v>61</v>
      </c>
      <c r="C2" s="23">
        <v>395724</v>
      </c>
      <c r="D2" s="23">
        <v>176869</v>
      </c>
      <c r="E2" s="23">
        <v>0</v>
      </c>
      <c r="F2" s="141">
        <f>C2-D2</f>
        <v>218855</v>
      </c>
      <c r="G2" s="23">
        <v>168757</v>
      </c>
      <c r="H2" s="142">
        <v>12</v>
      </c>
    </row>
    <row r="3" spans="1:8" ht="30.9" customHeight="1">
      <c r="A3" s="139">
        <v>45048</v>
      </c>
      <c r="B3" s="140" t="s">
        <v>63</v>
      </c>
      <c r="C3" s="23">
        <v>364455</v>
      </c>
      <c r="D3" s="23">
        <v>249869</v>
      </c>
      <c r="E3" s="23">
        <v>0</v>
      </c>
      <c r="F3" s="141">
        <f>C3-D3+F2</f>
        <v>333441</v>
      </c>
      <c r="G3" s="23">
        <v>57626</v>
      </c>
      <c r="H3" s="142">
        <v>9</v>
      </c>
    </row>
    <row r="4" spans="1:8" ht="30.9" customHeight="1">
      <c r="A4" s="139">
        <v>45049</v>
      </c>
      <c r="B4" s="140" t="s">
        <v>65</v>
      </c>
      <c r="C4" s="23">
        <v>577062</v>
      </c>
      <c r="D4" s="23">
        <v>108116</v>
      </c>
      <c r="E4" s="23">
        <v>8289</v>
      </c>
      <c r="F4" s="141">
        <f t="shared" ref="F4:F9" si="0">C4-D4+F3</f>
        <v>802387</v>
      </c>
      <c r="G4" s="23">
        <v>106124</v>
      </c>
      <c r="H4" s="142">
        <v>7</v>
      </c>
    </row>
    <row r="5" spans="1:8" ht="30.9" customHeight="1">
      <c r="A5" s="139">
        <v>45050</v>
      </c>
      <c r="B5" s="140" t="s">
        <v>54</v>
      </c>
      <c r="C5" s="23">
        <v>536243</v>
      </c>
      <c r="D5" s="23">
        <v>313427</v>
      </c>
      <c r="E5" s="23">
        <v>0</v>
      </c>
      <c r="F5" s="141">
        <f t="shared" si="0"/>
        <v>1025203</v>
      </c>
      <c r="G5" s="23">
        <v>110212</v>
      </c>
      <c r="H5" s="142">
        <v>8</v>
      </c>
    </row>
    <row r="6" spans="1:8" ht="30.9" customHeight="1">
      <c r="A6" s="143">
        <v>45051</v>
      </c>
      <c r="B6" s="144" t="s">
        <v>55</v>
      </c>
      <c r="C6" s="23">
        <v>480165</v>
      </c>
      <c r="D6" s="23">
        <v>1426942</v>
      </c>
      <c r="E6" s="23">
        <v>0</v>
      </c>
      <c r="F6" s="141">
        <f t="shared" si="0"/>
        <v>78426</v>
      </c>
      <c r="G6" s="23">
        <v>162021</v>
      </c>
      <c r="H6" s="142">
        <v>20</v>
      </c>
    </row>
    <row r="7" spans="1:8" ht="30.9" customHeight="1">
      <c r="A7" s="143">
        <v>45052</v>
      </c>
      <c r="B7" s="144" t="s">
        <v>57</v>
      </c>
      <c r="C7" s="23">
        <v>279652</v>
      </c>
      <c r="D7" s="23">
        <v>113290</v>
      </c>
      <c r="E7" s="23">
        <v>0</v>
      </c>
      <c r="F7" s="141">
        <f t="shared" si="0"/>
        <v>244788</v>
      </c>
      <c r="G7" s="23">
        <v>124320</v>
      </c>
      <c r="H7" s="142">
        <v>11</v>
      </c>
    </row>
    <row r="8" spans="1:8" ht="30.9" customHeight="1">
      <c r="A8" s="143">
        <v>45053</v>
      </c>
      <c r="B8" s="144" t="s">
        <v>59</v>
      </c>
      <c r="C8" s="23">
        <v>248779</v>
      </c>
      <c r="D8" s="23">
        <v>184295</v>
      </c>
      <c r="E8" s="23">
        <v>25887</v>
      </c>
      <c r="F8" s="141">
        <f t="shared" si="0"/>
        <v>309272</v>
      </c>
      <c r="G8" s="23">
        <v>0</v>
      </c>
      <c r="H8" s="142">
        <v>0</v>
      </c>
    </row>
    <row r="9" spans="1:8" ht="30.9" customHeight="1">
      <c r="A9" s="139">
        <v>45054</v>
      </c>
      <c r="B9" s="140" t="s">
        <v>61</v>
      </c>
      <c r="C9" s="23">
        <v>239320</v>
      </c>
      <c r="D9" s="23">
        <v>63165</v>
      </c>
      <c r="E9" s="23">
        <v>0</v>
      </c>
      <c r="F9" s="141">
        <f t="shared" si="0"/>
        <v>485427</v>
      </c>
      <c r="G9" s="23">
        <v>52430</v>
      </c>
      <c r="H9" s="142">
        <v>4</v>
      </c>
    </row>
    <row r="10" spans="1:8" ht="30.9" customHeight="1">
      <c r="A10" s="139">
        <v>45055</v>
      </c>
      <c r="B10" s="140" t="s">
        <v>63</v>
      </c>
      <c r="C10" s="23">
        <v>247470</v>
      </c>
      <c r="D10" s="23">
        <v>592382</v>
      </c>
      <c r="E10" s="23">
        <v>31711</v>
      </c>
      <c r="F10" s="141">
        <f>C10-D10+F9</f>
        <v>140515</v>
      </c>
      <c r="G10" s="23">
        <v>73182</v>
      </c>
      <c r="H10" s="142">
        <v>8</v>
      </c>
    </row>
    <row r="11" spans="1:8" ht="30.9" customHeight="1">
      <c r="A11" s="139">
        <v>45056</v>
      </c>
      <c r="B11" s="140" t="s">
        <v>65</v>
      </c>
      <c r="C11" s="23">
        <v>262362</v>
      </c>
      <c r="D11" s="23">
        <v>66890</v>
      </c>
      <c r="E11" s="23">
        <v>27852</v>
      </c>
      <c r="F11" s="141">
        <f>C11-D11+F10</f>
        <v>335987</v>
      </c>
      <c r="G11" s="23">
        <v>68420</v>
      </c>
      <c r="H11" s="142">
        <v>6</v>
      </c>
    </row>
    <row r="12" spans="1:8" ht="30.9" customHeight="1">
      <c r="A12" s="139">
        <v>45057</v>
      </c>
      <c r="B12" s="140" t="s">
        <v>54</v>
      </c>
      <c r="C12" s="23">
        <v>219319</v>
      </c>
      <c r="D12" s="23">
        <v>177157</v>
      </c>
      <c r="E12" s="23">
        <v>8612</v>
      </c>
      <c r="F12" s="141">
        <f t="shared" ref="F12:F16" si="1">C12-D12+F11</f>
        <v>378149</v>
      </c>
      <c r="G12" s="23">
        <v>80168</v>
      </c>
      <c r="H12" s="142">
        <v>10</v>
      </c>
    </row>
    <row r="13" spans="1:8" ht="30.9" customHeight="1">
      <c r="A13" s="143">
        <v>45058</v>
      </c>
      <c r="B13" s="144" t="s">
        <v>55</v>
      </c>
      <c r="C13" s="23">
        <v>702894</v>
      </c>
      <c r="D13" s="23">
        <v>41121</v>
      </c>
      <c r="E13" s="23">
        <v>26511</v>
      </c>
      <c r="F13" s="141">
        <f>C13-D13+F12</f>
        <v>1039922</v>
      </c>
      <c r="G13" s="23">
        <v>444003</v>
      </c>
      <c r="H13" s="142">
        <v>41</v>
      </c>
    </row>
    <row r="14" spans="1:8" ht="30.9" customHeight="1">
      <c r="A14" s="143">
        <v>45059</v>
      </c>
      <c r="B14" s="144" t="s">
        <v>57</v>
      </c>
      <c r="C14" s="23">
        <v>297040</v>
      </c>
      <c r="D14" s="23">
        <v>604873</v>
      </c>
      <c r="E14" s="23">
        <v>36574</v>
      </c>
      <c r="F14" s="141">
        <f t="shared" si="1"/>
        <v>732089</v>
      </c>
      <c r="G14" s="23">
        <v>92164</v>
      </c>
      <c r="H14" s="142">
        <v>11</v>
      </c>
    </row>
    <row r="15" spans="1:8" ht="30.9" customHeight="1">
      <c r="A15" s="143">
        <v>45060</v>
      </c>
      <c r="B15" s="144" t="s">
        <v>59</v>
      </c>
      <c r="C15" s="23">
        <v>441711</v>
      </c>
      <c r="D15" s="23">
        <v>104990</v>
      </c>
      <c r="E15" s="23">
        <v>27427</v>
      </c>
      <c r="F15" s="141">
        <f t="shared" si="1"/>
        <v>1068810</v>
      </c>
      <c r="G15" s="23">
        <v>0</v>
      </c>
      <c r="H15" s="142">
        <v>0</v>
      </c>
    </row>
    <row r="16" spans="1:8" ht="30.9" customHeight="1">
      <c r="A16" s="139">
        <v>45061</v>
      </c>
      <c r="B16" s="140" t="s">
        <v>61</v>
      </c>
      <c r="C16" s="23">
        <v>280831</v>
      </c>
      <c r="D16" s="23">
        <v>901317</v>
      </c>
      <c r="E16" s="23">
        <v>9329</v>
      </c>
      <c r="F16" s="141">
        <f t="shared" si="1"/>
        <v>448324</v>
      </c>
      <c r="G16" s="23">
        <v>65422</v>
      </c>
      <c r="H16" s="142">
        <v>6</v>
      </c>
    </row>
    <row r="17" spans="1:8" ht="30.9" customHeight="1">
      <c r="A17" s="139">
        <v>45062</v>
      </c>
      <c r="B17" s="140" t="s">
        <v>63</v>
      </c>
      <c r="C17" s="23">
        <v>218308</v>
      </c>
      <c r="D17" s="23">
        <v>57415</v>
      </c>
      <c r="E17" s="23">
        <v>9885</v>
      </c>
      <c r="F17" s="141">
        <f>C17-D17+F16</f>
        <v>609217</v>
      </c>
      <c r="G17" s="23">
        <v>85643</v>
      </c>
      <c r="H17" s="142">
        <v>8</v>
      </c>
    </row>
    <row r="18" spans="1:8" ht="30.9" customHeight="1">
      <c r="A18" s="139">
        <v>45063</v>
      </c>
      <c r="B18" s="140" t="s">
        <v>65</v>
      </c>
      <c r="C18" s="23">
        <v>195450</v>
      </c>
      <c r="D18" s="23">
        <v>47320</v>
      </c>
      <c r="E18" s="23">
        <v>0</v>
      </c>
      <c r="F18" s="141">
        <f>C18-D18+F17</f>
        <v>757347</v>
      </c>
      <c r="G18" s="23">
        <v>72342</v>
      </c>
      <c r="H18" s="142">
        <v>8</v>
      </c>
    </row>
    <row r="19" spans="1:8" ht="30.9" customHeight="1">
      <c r="A19" s="139">
        <v>45064</v>
      </c>
      <c r="B19" s="140" t="s">
        <v>54</v>
      </c>
      <c r="C19" s="23">
        <v>196674</v>
      </c>
      <c r="D19" s="23">
        <v>188150</v>
      </c>
      <c r="E19" s="23">
        <v>8623</v>
      </c>
      <c r="F19" s="141">
        <f t="shared" ref="F19:F32" si="2">C19-D19+F18</f>
        <v>765871</v>
      </c>
      <c r="G19" s="23">
        <v>96564</v>
      </c>
      <c r="H19" s="142">
        <v>11</v>
      </c>
    </row>
    <row r="20" spans="1:8" ht="30.9" customHeight="1">
      <c r="A20" s="143">
        <v>45065</v>
      </c>
      <c r="B20" s="144" t="s">
        <v>55</v>
      </c>
      <c r="C20" s="23">
        <v>403371</v>
      </c>
      <c r="D20" s="23">
        <v>144760</v>
      </c>
      <c r="E20" s="23">
        <v>14560</v>
      </c>
      <c r="F20" s="141">
        <f t="shared" si="2"/>
        <v>1024482</v>
      </c>
      <c r="G20" s="23">
        <v>233478</v>
      </c>
      <c r="H20" s="142">
        <v>31</v>
      </c>
    </row>
    <row r="21" spans="1:8" ht="30.9" customHeight="1">
      <c r="A21" s="143">
        <v>45066</v>
      </c>
      <c r="B21" s="144" t="s">
        <v>57</v>
      </c>
      <c r="C21" s="23">
        <v>350808</v>
      </c>
      <c r="D21" s="23">
        <v>557613</v>
      </c>
      <c r="E21" s="23">
        <v>0</v>
      </c>
      <c r="F21" s="141">
        <f t="shared" si="2"/>
        <v>817677</v>
      </c>
      <c r="G21" s="23">
        <v>68543</v>
      </c>
      <c r="H21" s="142">
        <v>7</v>
      </c>
    </row>
    <row r="22" spans="1:8" ht="30.9" customHeight="1">
      <c r="A22" s="143">
        <v>45067</v>
      </c>
      <c r="B22" s="144" t="s">
        <v>59</v>
      </c>
      <c r="C22" s="23">
        <v>303136</v>
      </c>
      <c r="D22" s="23">
        <v>418805</v>
      </c>
      <c r="E22" s="23">
        <v>5519</v>
      </c>
      <c r="F22" s="141">
        <f t="shared" si="2"/>
        <v>702008</v>
      </c>
      <c r="G22" s="23">
        <v>0</v>
      </c>
      <c r="H22" s="142">
        <v>0</v>
      </c>
    </row>
    <row r="23" spans="1:8" ht="30.9" customHeight="1">
      <c r="A23" s="139">
        <v>45068</v>
      </c>
      <c r="B23" s="140" t="s">
        <v>61</v>
      </c>
      <c r="C23" s="23">
        <v>256256</v>
      </c>
      <c r="D23" s="23">
        <v>186469</v>
      </c>
      <c r="E23" s="23">
        <v>14280</v>
      </c>
      <c r="F23" s="141">
        <f t="shared" si="2"/>
        <v>771795</v>
      </c>
      <c r="G23" s="23">
        <v>130040</v>
      </c>
      <c r="H23" s="142">
        <v>14</v>
      </c>
    </row>
    <row r="24" spans="1:8" ht="30.9" customHeight="1">
      <c r="A24" s="139">
        <v>45069</v>
      </c>
      <c r="B24" s="140" t="s">
        <v>63</v>
      </c>
      <c r="C24" s="23">
        <v>212503</v>
      </c>
      <c r="D24" s="23">
        <v>571653</v>
      </c>
      <c r="E24" s="23">
        <v>28702</v>
      </c>
      <c r="F24" s="141">
        <f t="shared" si="2"/>
        <v>412645</v>
      </c>
      <c r="G24" s="23">
        <v>112134</v>
      </c>
      <c r="H24" s="142">
        <v>11</v>
      </c>
    </row>
    <row r="25" spans="1:8" ht="30.9" customHeight="1">
      <c r="A25" s="139">
        <v>45070</v>
      </c>
      <c r="B25" s="140" t="s">
        <v>65</v>
      </c>
      <c r="C25" s="23">
        <v>236023</v>
      </c>
      <c r="D25" s="23">
        <v>120300</v>
      </c>
      <c r="E25" s="23">
        <v>0</v>
      </c>
      <c r="F25" s="141">
        <f t="shared" si="2"/>
        <v>528368</v>
      </c>
      <c r="G25" s="23">
        <v>95031</v>
      </c>
      <c r="H25" s="142">
        <v>10</v>
      </c>
    </row>
    <row r="26" spans="1:8" ht="30.9" customHeight="1">
      <c r="A26" s="139">
        <v>45071</v>
      </c>
      <c r="B26" s="140" t="s">
        <v>54</v>
      </c>
      <c r="C26" s="23">
        <v>387048</v>
      </c>
      <c r="D26" s="23">
        <v>104530</v>
      </c>
      <c r="E26" s="23">
        <v>0</v>
      </c>
      <c r="F26" s="141">
        <f t="shared" si="2"/>
        <v>810886</v>
      </c>
      <c r="G26" s="23">
        <v>170243</v>
      </c>
      <c r="H26" s="142">
        <v>17</v>
      </c>
    </row>
    <row r="27" spans="1:8" ht="30.9" customHeight="1">
      <c r="A27" s="143">
        <v>45072</v>
      </c>
      <c r="B27" s="144" t="s">
        <v>55</v>
      </c>
      <c r="C27" s="23">
        <v>536333</v>
      </c>
      <c r="D27" s="23">
        <v>160060</v>
      </c>
      <c r="E27" s="23">
        <v>18004</v>
      </c>
      <c r="F27" s="141">
        <f t="shared" si="2"/>
        <v>1187159</v>
      </c>
      <c r="G27" s="23">
        <v>378004</v>
      </c>
      <c r="H27" s="142">
        <v>38</v>
      </c>
    </row>
    <row r="28" spans="1:8" ht="30.9" customHeight="1">
      <c r="A28" s="143">
        <v>45073</v>
      </c>
      <c r="B28" s="144" t="s">
        <v>57</v>
      </c>
      <c r="C28" s="23">
        <v>512401</v>
      </c>
      <c r="D28" s="23">
        <v>146934</v>
      </c>
      <c r="E28" s="23">
        <v>2430</v>
      </c>
      <c r="F28" s="141">
        <f t="shared" si="2"/>
        <v>1552626</v>
      </c>
      <c r="G28" s="23">
        <v>168427</v>
      </c>
      <c r="H28" s="142">
        <v>13</v>
      </c>
    </row>
    <row r="29" spans="1:8" ht="30.9" customHeight="1">
      <c r="A29" s="143">
        <v>45074</v>
      </c>
      <c r="B29" s="144" t="s">
        <v>59</v>
      </c>
      <c r="C29" s="23">
        <v>441566</v>
      </c>
      <c r="D29" s="23">
        <v>348620</v>
      </c>
      <c r="E29" s="23">
        <v>0</v>
      </c>
      <c r="F29" s="141">
        <f t="shared" si="2"/>
        <v>1645572</v>
      </c>
      <c r="G29" s="23">
        <v>0</v>
      </c>
      <c r="H29" s="142">
        <v>0</v>
      </c>
    </row>
    <row r="30" spans="1:8" ht="30.9" customHeight="1">
      <c r="A30" s="139">
        <v>45075</v>
      </c>
      <c r="B30" s="140" t="s">
        <v>61</v>
      </c>
      <c r="C30" s="23">
        <v>245818</v>
      </c>
      <c r="D30" s="23">
        <v>578027</v>
      </c>
      <c r="E30" s="23">
        <v>123832</v>
      </c>
      <c r="F30" s="141">
        <f t="shared" si="2"/>
        <v>1313363</v>
      </c>
      <c r="G30" s="23">
        <v>123832</v>
      </c>
      <c r="H30" s="142">
        <v>15</v>
      </c>
    </row>
    <row r="31" spans="1:8" ht="30.9" customHeight="1">
      <c r="A31" s="139">
        <v>45076</v>
      </c>
      <c r="B31" s="140" t="s">
        <v>63</v>
      </c>
      <c r="C31" s="23">
        <v>253447</v>
      </c>
      <c r="D31" s="23">
        <v>281050</v>
      </c>
      <c r="E31" s="23">
        <v>24418</v>
      </c>
      <c r="F31" s="141">
        <f t="shared" si="2"/>
        <v>1285760</v>
      </c>
      <c r="G31" s="23">
        <v>135104</v>
      </c>
      <c r="H31" s="142">
        <v>12</v>
      </c>
    </row>
    <row r="32" spans="1:8" ht="30.9" customHeight="1">
      <c r="A32" s="139">
        <v>45077</v>
      </c>
      <c r="B32" s="140" t="s">
        <v>65</v>
      </c>
      <c r="C32" s="23">
        <v>228910</v>
      </c>
      <c r="D32" s="23">
        <v>279199</v>
      </c>
      <c r="E32" s="23">
        <v>109080</v>
      </c>
      <c r="F32" s="141">
        <f t="shared" si="2"/>
        <v>1235471</v>
      </c>
      <c r="G32" s="23">
        <v>0</v>
      </c>
      <c r="H32" s="142">
        <v>11</v>
      </c>
    </row>
    <row r="33" spans="1:9" ht="45" customHeight="1" thickBot="1">
      <c r="A33" s="476" t="s">
        <v>247</v>
      </c>
      <c r="B33" s="477"/>
      <c r="C33" s="145">
        <f>SUM(C2:C32)</f>
        <v>10551079</v>
      </c>
      <c r="D33" s="145">
        <f>SUM(D2:D32)</f>
        <v>9315608</v>
      </c>
      <c r="E33" s="145">
        <f>SUM(E2:E32)</f>
        <v>561525</v>
      </c>
      <c r="F33" s="145">
        <f>F32</f>
        <v>1235471</v>
      </c>
      <c r="G33" s="145">
        <f>SUM(G2:G32)</f>
        <v>3474234</v>
      </c>
      <c r="H33" s="146">
        <f>SUM(H2:H32)</f>
        <v>359</v>
      </c>
    </row>
    <row r="34" spans="1:9" ht="18.600000000000001" thickBot="1">
      <c r="A34" s="502" t="s">
        <v>248</v>
      </c>
      <c r="B34" s="503"/>
      <c r="C34" s="503"/>
      <c r="D34" s="503"/>
      <c r="E34" s="503"/>
      <c r="F34" s="503"/>
      <c r="G34" s="504"/>
      <c r="H34" s="127"/>
      <c r="I34" s="69"/>
    </row>
    <row r="35" spans="1:9" ht="18">
      <c r="A35" s="95"/>
      <c r="B35" s="81"/>
      <c r="C35" s="578" t="s">
        <v>249</v>
      </c>
      <c r="D35" s="579"/>
      <c r="E35" s="580"/>
      <c r="G35" s="82"/>
      <c r="H35" s="61"/>
    </row>
    <row r="36" spans="1:9" ht="18">
      <c r="A36" s="95"/>
      <c r="B36" s="81"/>
      <c r="C36" s="105" t="s">
        <v>247</v>
      </c>
      <c r="D36" s="71" t="s">
        <v>251</v>
      </c>
      <c r="E36" s="134" t="s">
        <v>252</v>
      </c>
      <c r="F36" s="481" t="s">
        <v>415</v>
      </c>
      <c r="G36" s="481"/>
      <c r="H36" s="61"/>
    </row>
    <row r="37" spans="1:9" ht="19.2">
      <c r="A37" s="95"/>
      <c r="B37" s="81"/>
      <c r="C37" s="484">
        <f>C33</f>
        <v>10551079</v>
      </c>
      <c r="D37" s="90">
        <f>E33</f>
        <v>561525</v>
      </c>
      <c r="E37" s="135">
        <f>G33</f>
        <v>3474234</v>
      </c>
      <c r="F37" s="486">
        <v>76964</v>
      </c>
      <c r="G37" s="486"/>
      <c r="H37" s="61"/>
    </row>
    <row r="38" spans="1:9" ht="19.8" thickBot="1">
      <c r="A38" s="95"/>
      <c r="B38" s="81"/>
      <c r="C38" s="485"/>
      <c r="D38" s="98">
        <f>D37/C37</f>
        <v>5.3219675447411588E-2</v>
      </c>
      <c r="E38" s="136">
        <f>E37/C37</f>
        <v>0.32927760279304136</v>
      </c>
      <c r="F38" s="586">
        <f>F37/C37</f>
        <v>7.2944198408522957E-3</v>
      </c>
      <c r="G38" s="586"/>
      <c r="H38" s="61"/>
      <c r="I38" s="69"/>
    </row>
    <row r="39" spans="1:9" ht="21" customHeight="1" thickBot="1">
      <c r="A39" s="95"/>
      <c r="B39" s="81"/>
      <c r="C39" s="488" t="s">
        <v>250</v>
      </c>
      <c r="D39" s="489"/>
      <c r="E39" s="489"/>
      <c r="F39" s="490"/>
      <c r="G39" s="491"/>
      <c r="H39" s="61"/>
      <c r="I39" s="69"/>
    </row>
    <row r="40" spans="1:9" ht="18.600000000000001" thickTop="1">
      <c r="A40" s="95"/>
      <c r="B40" s="81"/>
      <c r="C40" s="100" t="s">
        <v>241</v>
      </c>
      <c r="D40" s="72" t="s">
        <v>253</v>
      </c>
      <c r="E40" s="72" t="s">
        <v>254</v>
      </c>
      <c r="F40" s="86" t="s">
        <v>255</v>
      </c>
      <c r="G40" s="106" t="s">
        <v>247</v>
      </c>
      <c r="H40" s="61"/>
      <c r="I40" s="69"/>
    </row>
    <row r="41" spans="1:9" ht="18.600000000000001" thickBot="1">
      <c r="A41" s="95"/>
      <c r="B41" s="81"/>
      <c r="C41" s="101">
        <f>D33</f>
        <v>9315608</v>
      </c>
      <c r="D41" s="102">
        <f>SUM(D45:G45)</f>
        <v>505750</v>
      </c>
      <c r="E41" s="103">
        <f>E33*0.057</f>
        <v>32006.925000000003</v>
      </c>
      <c r="F41" s="103">
        <f>F52</f>
        <v>2644</v>
      </c>
      <c r="G41" s="107">
        <f>SUM(C41:F41)</f>
        <v>9856008.9250000007</v>
      </c>
      <c r="H41" s="61"/>
      <c r="I41" s="69"/>
    </row>
    <row r="42" spans="1:9" ht="18.600000000000001" thickBot="1">
      <c r="A42" s="96"/>
      <c r="B42" s="84"/>
      <c r="C42" s="108" t="s">
        <v>266</v>
      </c>
      <c r="D42" s="109">
        <f>C37-G41-F37</f>
        <v>618106.07499999925</v>
      </c>
      <c r="E42" s="70"/>
      <c r="F42" s="81"/>
      <c r="G42" s="83"/>
      <c r="H42" s="69"/>
    </row>
    <row r="43" spans="1:9" ht="20.100000000000001" customHeight="1" thickBot="1">
      <c r="A43" s="96"/>
      <c r="B43" s="84"/>
      <c r="C43" s="584" t="s">
        <v>257</v>
      </c>
      <c r="D43" s="584"/>
      <c r="E43" s="584"/>
      <c r="F43" s="584"/>
      <c r="G43" s="585"/>
      <c r="H43" s="69"/>
    </row>
    <row r="44" spans="1:9" ht="22.8" thickTop="1">
      <c r="A44" s="97"/>
      <c r="C44" s="575" t="s">
        <v>253</v>
      </c>
      <c r="D44" s="72" t="s">
        <v>231</v>
      </c>
      <c r="E44" s="73" t="s">
        <v>229</v>
      </c>
      <c r="F44" s="72" t="s">
        <v>258</v>
      </c>
      <c r="G44" s="87" t="s">
        <v>232</v>
      </c>
      <c r="H44" s="69"/>
    </row>
    <row r="45" spans="1:9" ht="18.600000000000001" thickBot="1">
      <c r="A45" s="97"/>
      <c r="C45" s="576"/>
      <c r="D45" s="74">
        <v>250000</v>
      </c>
      <c r="E45" s="74">
        <v>60000</v>
      </c>
      <c r="F45" s="74">
        <v>172000</v>
      </c>
      <c r="G45" s="74">
        <v>23750</v>
      </c>
      <c r="H45" s="69"/>
    </row>
    <row r="46" spans="1:9" ht="22.8" thickTop="1">
      <c r="A46" s="97"/>
      <c r="C46" s="575" t="s">
        <v>256</v>
      </c>
      <c r="D46" s="72" t="s">
        <v>231</v>
      </c>
      <c r="E46" s="73" t="s">
        <v>229</v>
      </c>
      <c r="F46" s="72" t="s">
        <v>258</v>
      </c>
      <c r="G46" s="87" t="s">
        <v>232</v>
      </c>
      <c r="H46" s="61"/>
    </row>
    <row r="47" spans="1:9" ht="18.600000000000001" thickBot="1">
      <c r="A47" s="97"/>
      <c r="C47" s="576"/>
      <c r="D47" s="78">
        <v>0</v>
      </c>
      <c r="E47" s="78">
        <v>0</v>
      </c>
      <c r="F47" s="78">
        <v>0</v>
      </c>
      <c r="G47" s="78">
        <v>0</v>
      </c>
      <c r="H47" s="61"/>
    </row>
    <row r="48" spans="1:9" ht="19.2" thickTop="1" thickBot="1">
      <c r="A48" s="97"/>
      <c r="C48" s="110" t="s">
        <v>247</v>
      </c>
      <c r="D48" s="111">
        <f>D45+D47</f>
        <v>250000</v>
      </c>
      <c r="E48" s="112">
        <f t="shared" ref="E48:G48" si="3">E45+E47</f>
        <v>60000</v>
      </c>
      <c r="F48" s="112">
        <f t="shared" si="3"/>
        <v>172000</v>
      </c>
      <c r="G48" s="113">
        <f t="shared" si="3"/>
        <v>23750</v>
      </c>
      <c r="H48" s="61"/>
    </row>
    <row r="49" spans="1:8" ht="19.2" thickTop="1" thickBot="1">
      <c r="A49" s="97"/>
      <c r="C49" s="573" t="s">
        <v>255</v>
      </c>
      <c r="D49" s="79" t="s">
        <v>259</v>
      </c>
      <c r="E49" s="80" t="s">
        <v>260</v>
      </c>
      <c r="F49" s="79" t="s">
        <v>261</v>
      </c>
      <c r="G49" s="79" t="s">
        <v>262</v>
      </c>
      <c r="H49" s="69"/>
    </row>
    <row r="50" spans="1:8" ht="18.600000000000001" thickBot="1">
      <c r="A50" s="97"/>
      <c r="C50" s="574"/>
      <c r="D50" s="75">
        <v>800</v>
      </c>
      <c r="E50" s="75">
        <v>920</v>
      </c>
      <c r="F50" s="75">
        <v>924</v>
      </c>
      <c r="G50" s="75">
        <v>0</v>
      </c>
      <c r="H50" s="69"/>
    </row>
    <row r="51" spans="1:8" ht="18.600000000000001" thickBot="1">
      <c r="A51" s="97"/>
      <c r="C51" s="147" t="s">
        <v>263</v>
      </c>
      <c r="D51" s="148" t="s">
        <v>123</v>
      </c>
      <c r="E51" s="148" t="s">
        <v>414</v>
      </c>
      <c r="F51" s="148" t="s">
        <v>447</v>
      </c>
      <c r="G51" s="148"/>
      <c r="H51" s="69"/>
    </row>
    <row r="52" spans="1:8" ht="18.600000000000001" thickBot="1">
      <c r="C52" s="587" t="s">
        <v>73</v>
      </c>
      <c r="D52" s="588"/>
      <c r="E52" s="589"/>
      <c r="F52" s="590">
        <f>SUM(D50:G50)</f>
        <v>2644</v>
      </c>
      <c r="G52" s="504"/>
      <c r="H52" s="69"/>
    </row>
    <row r="53" spans="1:8">
      <c r="H53" s="61"/>
    </row>
    <row r="54" spans="1:8">
      <c r="H54" s="61"/>
    </row>
    <row r="55" spans="1:8">
      <c r="H55" s="61"/>
    </row>
    <row r="56" spans="1:8">
      <c r="H56" s="61"/>
    </row>
    <row r="57" spans="1:8">
      <c r="H57" s="61"/>
    </row>
  </sheetData>
  <mergeCells count="15">
    <mergeCell ref="C52:E52"/>
    <mergeCell ref="F52:G52"/>
    <mergeCell ref="C43:G43"/>
    <mergeCell ref="C44:C45"/>
    <mergeCell ref="C46:C47"/>
    <mergeCell ref="C49:C50"/>
    <mergeCell ref="C39:G39"/>
    <mergeCell ref="F36:G36"/>
    <mergeCell ref="F37:G37"/>
    <mergeCell ref="F38:G38"/>
    <mergeCell ref="A1:B1"/>
    <mergeCell ref="A33:B33"/>
    <mergeCell ref="A34:G34"/>
    <mergeCell ref="C35:E35"/>
    <mergeCell ref="C37:C38"/>
  </mergeCells>
  <phoneticPr fontId="1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ADF92-D7E2-DC4C-8415-DEBD9F26F992}">
  <sheetPr codeName="Sheet10"/>
  <dimension ref="A1:I59"/>
  <sheetViews>
    <sheetView topLeftCell="A19" zoomScale="101" workbookViewId="0">
      <selection activeCell="G33" sqref="G33"/>
    </sheetView>
  </sheetViews>
  <sheetFormatPr defaultColWidth="10.6328125" defaultRowHeight="17.399999999999999"/>
  <cols>
    <col min="1" max="1" width="5.90625" style="94" customWidth="1"/>
    <col min="2" max="2" width="2.90625" style="61" customWidth="1"/>
    <col min="3" max="3" width="12.6328125" style="61" customWidth="1"/>
    <col min="4" max="4" width="11.54296875" style="61" customWidth="1"/>
    <col min="5" max="5" width="9" style="61" customWidth="1"/>
    <col min="6" max="6" width="11.6328125" style="61" customWidth="1"/>
    <col min="7" max="7" width="10" style="61" customWidth="1"/>
    <col min="8" max="8" width="6.54296875" style="128" customWidth="1"/>
    <col min="9" max="16384" width="10.6328125" style="61"/>
  </cols>
  <sheetData>
    <row r="1" spans="1:8" ht="24" customHeight="1">
      <c r="A1" s="475" t="s">
        <v>0</v>
      </c>
      <c r="B1" s="475"/>
      <c r="C1" s="62" t="s">
        <v>225</v>
      </c>
      <c r="D1" s="62" t="s">
        <v>226</v>
      </c>
      <c r="E1" s="133" t="s">
        <v>227</v>
      </c>
      <c r="F1" s="151" t="s">
        <v>5</v>
      </c>
      <c r="G1" s="133" t="s">
        <v>243</v>
      </c>
      <c r="H1" s="138" t="s">
        <v>284</v>
      </c>
    </row>
    <row r="2" spans="1:8" ht="30.9" customHeight="1">
      <c r="A2" s="139">
        <v>45078</v>
      </c>
      <c r="B2" s="140" t="s">
        <v>54</v>
      </c>
      <c r="C2" s="23">
        <v>165869</v>
      </c>
      <c r="D2" s="23">
        <v>66000</v>
      </c>
      <c r="E2" s="23">
        <v>0</v>
      </c>
      <c r="F2" s="152">
        <f>C2-D2</f>
        <v>99869</v>
      </c>
      <c r="G2" s="23">
        <v>70851</v>
      </c>
      <c r="H2" s="142">
        <v>6</v>
      </c>
    </row>
    <row r="3" spans="1:8" ht="30.9" customHeight="1">
      <c r="A3" s="139">
        <v>45079</v>
      </c>
      <c r="B3" s="144" t="s">
        <v>55</v>
      </c>
      <c r="C3" s="23">
        <v>558838</v>
      </c>
      <c r="D3" s="23">
        <v>10520</v>
      </c>
      <c r="E3" s="23">
        <v>5188</v>
      </c>
      <c r="F3" s="152">
        <f>C3-D3+F2</f>
        <v>648187</v>
      </c>
      <c r="G3" s="23">
        <v>370484</v>
      </c>
      <c r="H3" s="142">
        <v>38</v>
      </c>
    </row>
    <row r="4" spans="1:8" ht="30.9" customHeight="1">
      <c r="A4" s="139">
        <v>45080</v>
      </c>
      <c r="B4" s="144" t="s">
        <v>57</v>
      </c>
      <c r="C4" s="23">
        <v>454777</v>
      </c>
      <c r="D4" s="23">
        <v>100383</v>
      </c>
      <c r="E4" s="23">
        <v>19543</v>
      </c>
      <c r="F4" s="152">
        <f t="shared" ref="F4:F9" si="0">C4-D4+F3</f>
        <v>1002581</v>
      </c>
      <c r="G4" s="23">
        <v>106124</v>
      </c>
      <c r="H4" s="142">
        <v>7</v>
      </c>
    </row>
    <row r="5" spans="1:8" ht="30.9" customHeight="1">
      <c r="A5" s="139">
        <v>45081</v>
      </c>
      <c r="B5" s="144" t="s">
        <v>59</v>
      </c>
      <c r="C5" s="23">
        <v>572681</v>
      </c>
      <c r="D5" s="23">
        <v>91615</v>
      </c>
      <c r="E5" s="23">
        <v>21778</v>
      </c>
      <c r="F5" s="152">
        <f t="shared" si="0"/>
        <v>1483647</v>
      </c>
      <c r="G5" s="23">
        <v>0</v>
      </c>
      <c r="H5" s="142">
        <v>0</v>
      </c>
    </row>
    <row r="6" spans="1:8" ht="30.9" customHeight="1">
      <c r="A6" s="139">
        <v>45082</v>
      </c>
      <c r="B6" s="140" t="s">
        <v>61</v>
      </c>
      <c r="C6" s="23">
        <v>277611</v>
      </c>
      <c r="D6" s="23">
        <v>1184125</v>
      </c>
      <c r="E6" s="23">
        <v>52904</v>
      </c>
      <c r="F6" s="152">
        <f t="shared" si="0"/>
        <v>577133</v>
      </c>
      <c r="G6" s="23">
        <v>98727</v>
      </c>
      <c r="H6" s="142">
        <v>14</v>
      </c>
    </row>
    <row r="7" spans="1:8" ht="30.9" customHeight="1">
      <c r="A7" s="139">
        <v>45083</v>
      </c>
      <c r="B7" s="140" t="s">
        <v>63</v>
      </c>
      <c r="C7" s="23">
        <v>278988</v>
      </c>
      <c r="D7" s="23">
        <v>92524</v>
      </c>
      <c r="E7" s="23">
        <v>15285</v>
      </c>
      <c r="F7" s="152">
        <f t="shared" si="0"/>
        <v>763597</v>
      </c>
      <c r="G7" s="23">
        <v>141620</v>
      </c>
      <c r="H7" s="142">
        <v>16</v>
      </c>
    </row>
    <row r="8" spans="1:8" ht="30.9" customHeight="1">
      <c r="A8" s="139">
        <v>45084</v>
      </c>
      <c r="B8" s="140" t="s">
        <v>65</v>
      </c>
      <c r="C8" s="23">
        <v>255712</v>
      </c>
      <c r="D8" s="23">
        <v>553685</v>
      </c>
      <c r="E8" s="23">
        <v>0</v>
      </c>
      <c r="F8" s="152">
        <f t="shared" si="0"/>
        <v>465624</v>
      </c>
      <c r="G8" s="23">
        <v>125555</v>
      </c>
      <c r="H8" s="142">
        <v>14</v>
      </c>
    </row>
    <row r="9" spans="1:8" ht="30.9" customHeight="1">
      <c r="A9" s="139">
        <v>45085</v>
      </c>
      <c r="B9" s="140" t="s">
        <v>54</v>
      </c>
      <c r="C9" s="23">
        <v>231880</v>
      </c>
      <c r="D9" s="23">
        <v>212778</v>
      </c>
      <c r="E9" s="23">
        <v>0</v>
      </c>
      <c r="F9" s="152">
        <f t="shared" si="0"/>
        <v>484726</v>
      </c>
      <c r="G9" s="23">
        <v>144229</v>
      </c>
      <c r="H9" s="142">
        <v>17</v>
      </c>
    </row>
    <row r="10" spans="1:8" ht="30.9" customHeight="1">
      <c r="A10" s="139">
        <v>45086</v>
      </c>
      <c r="B10" s="144" t="s">
        <v>55</v>
      </c>
      <c r="C10" s="23">
        <v>674965</v>
      </c>
      <c r="D10" s="23">
        <v>286339</v>
      </c>
      <c r="E10" s="23">
        <v>17425</v>
      </c>
      <c r="F10" s="152">
        <f>C10-D10+F9</f>
        <v>873352</v>
      </c>
      <c r="G10" s="23">
        <v>462124</v>
      </c>
      <c r="H10" s="142">
        <v>34</v>
      </c>
    </row>
    <row r="11" spans="1:8" ht="30.9" customHeight="1">
      <c r="A11" s="139">
        <v>45087</v>
      </c>
      <c r="B11" s="144" t="s">
        <v>57</v>
      </c>
      <c r="C11" s="23">
        <v>663609</v>
      </c>
      <c r="D11" s="23">
        <v>292901</v>
      </c>
      <c r="E11" s="23">
        <v>10334</v>
      </c>
      <c r="F11" s="152">
        <f>C11-D11+F10</f>
        <v>1244060</v>
      </c>
      <c r="G11" s="23">
        <v>201720</v>
      </c>
      <c r="H11" s="142">
        <v>13</v>
      </c>
    </row>
    <row r="12" spans="1:8" ht="30.9" customHeight="1">
      <c r="A12" s="139">
        <v>45088</v>
      </c>
      <c r="B12" s="144" t="s">
        <v>59</v>
      </c>
      <c r="C12" s="23">
        <v>491942</v>
      </c>
      <c r="D12" s="23">
        <v>103690</v>
      </c>
      <c r="E12" s="23">
        <v>30342</v>
      </c>
      <c r="F12" s="152">
        <f>C12-D12+F11</f>
        <v>1632312</v>
      </c>
      <c r="G12" s="23">
        <v>0</v>
      </c>
      <c r="H12" s="142">
        <v>0</v>
      </c>
    </row>
    <row r="13" spans="1:8" ht="30.9" customHeight="1">
      <c r="A13" s="139">
        <v>45089</v>
      </c>
      <c r="B13" s="140" t="s">
        <v>61</v>
      </c>
      <c r="C13" s="23">
        <v>225920</v>
      </c>
      <c r="D13" s="23">
        <v>641010</v>
      </c>
      <c r="E13" s="23">
        <v>21941</v>
      </c>
      <c r="F13" s="152">
        <f>C13-D13+F12</f>
        <v>1217222</v>
      </c>
      <c r="G13" s="23">
        <v>92142</v>
      </c>
      <c r="H13" s="142">
        <v>8</v>
      </c>
    </row>
    <row r="14" spans="1:8" ht="30.9" customHeight="1">
      <c r="A14" s="139">
        <v>45090</v>
      </c>
      <c r="B14" s="140" t="s">
        <v>63</v>
      </c>
      <c r="C14" s="23">
        <v>276059</v>
      </c>
      <c r="D14" s="23">
        <v>40493</v>
      </c>
      <c r="E14" s="23">
        <v>2921</v>
      </c>
      <c r="F14" s="152">
        <f t="shared" ref="F14:F16" si="1">C14-D14+F13</f>
        <v>1452788</v>
      </c>
      <c r="G14" s="23">
        <v>102342</v>
      </c>
      <c r="H14" s="142">
        <v>9</v>
      </c>
    </row>
    <row r="15" spans="1:8" ht="30.9" customHeight="1">
      <c r="A15" s="139">
        <v>45091</v>
      </c>
      <c r="B15" s="140" t="s">
        <v>65</v>
      </c>
      <c r="C15" s="23">
        <v>237218</v>
      </c>
      <c r="D15" s="23">
        <v>197814</v>
      </c>
      <c r="E15" s="23">
        <v>0</v>
      </c>
      <c r="F15" s="152">
        <f t="shared" si="1"/>
        <v>1492192</v>
      </c>
      <c r="G15" s="23">
        <v>86022</v>
      </c>
      <c r="H15" s="142">
        <v>7</v>
      </c>
    </row>
    <row r="16" spans="1:8" ht="30.9" customHeight="1">
      <c r="A16" s="139">
        <v>45092</v>
      </c>
      <c r="B16" s="140" t="s">
        <v>54</v>
      </c>
      <c r="C16" s="23">
        <v>311630</v>
      </c>
      <c r="D16" s="23">
        <v>319460</v>
      </c>
      <c r="E16" s="23">
        <v>34217</v>
      </c>
      <c r="F16" s="152">
        <f t="shared" si="1"/>
        <v>1484362</v>
      </c>
      <c r="G16" s="23">
        <v>92120</v>
      </c>
      <c r="H16" s="142">
        <v>6</v>
      </c>
    </row>
    <row r="17" spans="1:8" ht="30.9" customHeight="1">
      <c r="A17" s="139">
        <v>45093</v>
      </c>
      <c r="B17" s="144" t="s">
        <v>55</v>
      </c>
      <c r="C17" s="23">
        <v>473346</v>
      </c>
      <c r="D17" s="23">
        <v>236570</v>
      </c>
      <c r="E17" s="23">
        <v>19025</v>
      </c>
      <c r="F17" s="152">
        <f>C17-D17+F16</f>
        <v>1721138</v>
      </c>
      <c r="G17" s="23">
        <v>263742</v>
      </c>
      <c r="H17" s="142">
        <v>22</v>
      </c>
    </row>
    <row r="18" spans="1:8" ht="30.9" customHeight="1">
      <c r="A18" s="139">
        <v>45094</v>
      </c>
      <c r="B18" s="144" t="s">
        <v>57</v>
      </c>
      <c r="C18" s="23">
        <v>410777</v>
      </c>
      <c r="D18" s="23">
        <v>101614</v>
      </c>
      <c r="E18" s="23">
        <v>8012</v>
      </c>
      <c r="F18" s="152">
        <f>C18-D18+F17</f>
        <v>2030301</v>
      </c>
      <c r="G18" s="23">
        <v>78413</v>
      </c>
      <c r="H18" s="142">
        <v>7</v>
      </c>
    </row>
    <row r="19" spans="1:8" ht="30.9" customHeight="1">
      <c r="A19" s="139">
        <v>45095</v>
      </c>
      <c r="B19" s="144" t="s">
        <v>59</v>
      </c>
      <c r="C19" s="23">
        <v>373203</v>
      </c>
      <c r="D19" s="23">
        <v>188128</v>
      </c>
      <c r="E19" s="23">
        <v>42027</v>
      </c>
      <c r="F19" s="152">
        <f>C19-D19+F18</f>
        <v>2215376</v>
      </c>
      <c r="G19" s="23">
        <v>0</v>
      </c>
      <c r="H19" s="142">
        <v>0</v>
      </c>
    </row>
    <row r="20" spans="1:8" ht="30.9" customHeight="1">
      <c r="A20" s="139">
        <v>45096</v>
      </c>
      <c r="B20" s="140" t="s">
        <v>61</v>
      </c>
      <c r="C20" s="23">
        <v>162716</v>
      </c>
      <c r="D20" s="23">
        <v>156973</v>
      </c>
      <c r="E20" s="23">
        <v>14560</v>
      </c>
      <c r="F20" s="152">
        <f t="shared" ref="F20:F31" si="2">C20-D20+F19</f>
        <v>2221119</v>
      </c>
      <c r="G20" s="23">
        <v>0</v>
      </c>
      <c r="H20" s="142">
        <v>0</v>
      </c>
    </row>
    <row r="21" spans="1:8" ht="30.9" customHeight="1">
      <c r="A21" s="139">
        <v>45097</v>
      </c>
      <c r="B21" s="140" t="s">
        <v>63</v>
      </c>
      <c r="C21" s="23">
        <v>249206</v>
      </c>
      <c r="D21" s="23">
        <v>86858</v>
      </c>
      <c r="E21" s="23">
        <v>10232</v>
      </c>
      <c r="F21" s="152">
        <f t="shared" si="2"/>
        <v>2383467</v>
      </c>
      <c r="G21" s="23">
        <v>165320</v>
      </c>
      <c r="H21" s="142">
        <v>12</v>
      </c>
    </row>
    <row r="22" spans="1:8" ht="30.9" customHeight="1">
      <c r="A22" s="139">
        <v>45098</v>
      </c>
      <c r="B22" s="140" t="s">
        <v>65</v>
      </c>
      <c r="C22" s="23">
        <v>221959</v>
      </c>
      <c r="D22" s="23">
        <v>537995</v>
      </c>
      <c r="E22" s="23">
        <v>0</v>
      </c>
      <c r="F22" s="152">
        <f t="shared" si="2"/>
        <v>2067431</v>
      </c>
      <c r="G22" s="23">
        <v>87942</v>
      </c>
      <c r="H22" s="142">
        <v>8</v>
      </c>
    </row>
    <row r="23" spans="1:8" ht="30.9" customHeight="1">
      <c r="A23" s="139">
        <v>45099</v>
      </c>
      <c r="B23" s="140" t="s">
        <v>54</v>
      </c>
      <c r="C23" s="23">
        <v>285037</v>
      </c>
      <c r="D23" s="23">
        <v>590778</v>
      </c>
      <c r="E23" s="23">
        <v>14280</v>
      </c>
      <c r="F23" s="152">
        <f t="shared" si="2"/>
        <v>1761690</v>
      </c>
      <c r="G23" s="23">
        <v>121272</v>
      </c>
      <c r="H23" s="142">
        <v>9</v>
      </c>
    </row>
    <row r="24" spans="1:8" ht="30.9" customHeight="1">
      <c r="A24" s="139">
        <v>45100</v>
      </c>
      <c r="B24" s="144" t="s">
        <v>55</v>
      </c>
      <c r="C24" s="23">
        <v>653500</v>
      </c>
      <c r="D24" s="23">
        <v>143290</v>
      </c>
      <c r="E24" s="23">
        <v>18702</v>
      </c>
      <c r="F24" s="152">
        <f t="shared" si="2"/>
        <v>2271900</v>
      </c>
      <c r="G24" s="23">
        <v>382646</v>
      </c>
      <c r="H24" s="142">
        <v>36</v>
      </c>
    </row>
    <row r="25" spans="1:8" ht="30.9" customHeight="1">
      <c r="A25" s="139">
        <v>45101</v>
      </c>
      <c r="B25" s="144" t="s">
        <v>57</v>
      </c>
      <c r="C25" s="23">
        <v>731786</v>
      </c>
      <c r="D25" s="23">
        <v>749629</v>
      </c>
      <c r="E25" s="23">
        <v>14672</v>
      </c>
      <c r="F25" s="152">
        <f t="shared" si="2"/>
        <v>2254057</v>
      </c>
      <c r="G25" s="23">
        <v>245721</v>
      </c>
      <c r="H25" s="142">
        <v>16</v>
      </c>
    </row>
    <row r="26" spans="1:8" ht="30.9" customHeight="1">
      <c r="A26" s="139">
        <v>45102</v>
      </c>
      <c r="B26" s="144" t="s">
        <v>59</v>
      </c>
      <c r="C26" s="23">
        <v>417062</v>
      </c>
      <c r="D26" s="23">
        <v>46672</v>
      </c>
      <c r="E26" s="23">
        <v>16270</v>
      </c>
      <c r="F26" s="152">
        <f t="shared" si="2"/>
        <v>2624447</v>
      </c>
      <c r="G26" s="23">
        <v>0</v>
      </c>
      <c r="H26" s="142">
        <v>0</v>
      </c>
    </row>
    <row r="27" spans="1:8" ht="30.9" customHeight="1">
      <c r="A27" s="139">
        <v>45103</v>
      </c>
      <c r="B27" s="140" t="s">
        <v>61</v>
      </c>
      <c r="C27" s="23">
        <v>327921</v>
      </c>
      <c r="D27" s="23">
        <v>359676</v>
      </c>
      <c r="E27" s="23">
        <v>0</v>
      </c>
      <c r="F27" s="152">
        <f t="shared" si="2"/>
        <v>2592692</v>
      </c>
      <c r="G27" s="23">
        <v>154272</v>
      </c>
      <c r="H27" s="142">
        <v>14</v>
      </c>
    </row>
    <row r="28" spans="1:8" ht="30.9" customHeight="1">
      <c r="A28" s="139">
        <v>45104</v>
      </c>
      <c r="B28" s="140" t="s">
        <v>63</v>
      </c>
      <c r="C28" s="23">
        <v>304037</v>
      </c>
      <c r="D28" s="23">
        <v>71863</v>
      </c>
      <c r="E28" s="23">
        <v>0</v>
      </c>
      <c r="F28" s="152">
        <f t="shared" si="2"/>
        <v>2824866</v>
      </c>
      <c r="G28" s="23">
        <v>142277</v>
      </c>
      <c r="H28" s="142">
        <v>13</v>
      </c>
    </row>
    <row r="29" spans="1:8" ht="30.9" customHeight="1">
      <c r="A29" s="139">
        <v>45105</v>
      </c>
      <c r="B29" s="140" t="s">
        <v>65</v>
      </c>
      <c r="C29" s="23">
        <v>337305</v>
      </c>
      <c r="D29" s="23">
        <v>124700</v>
      </c>
      <c r="E29" s="23">
        <v>0</v>
      </c>
      <c r="F29" s="152">
        <f>C29-D29+F28</f>
        <v>3037471</v>
      </c>
      <c r="G29" s="23">
        <v>148720</v>
      </c>
      <c r="H29" s="142">
        <v>14</v>
      </c>
    </row>
    <row r="30" spans="1:8" ht="30.9" customHeight="1">
      <c r="A30" s="139">
        <v>45106</v>
      </c>
      <c r="B30" s="140" t="s">
        <v>54</v>
      </c>
      <c r="C30" s="23">
        <v>327061</v>
      </c>
      <c r="D30" s="23">
        <v>875325</v>
      </c>
      <c r="E30" s="23">
        <v>23420</v>
      </c>
      <c r="F30" s="152">
        <f t="shared" si="2"/>
        <v>2489207</v>
      </c>
      <c r="G30" s="23">
        <v>152672</v>
      </c>
      <c r="H30" s="142">
        <v>12</v>
      </c>
    </row>
    <row r="31" spans="1:8" ht="30.9" customHeight="1">
      <c r="A31" s="139">
        <v>45107</v>
      </c>
      <c r="B31" s="144" t="s">
        <v>55</v>
      </c>
      <c r="C31" s="23">
        <v>636145</v>
      </c>
      <c r="D31" s="23">
        <v>501894</v>
      </c>
      <c r="E31" s="23">
        <v>20320</v>
      </c>
      <c r="F31" s="152">
        <f t="shared" si="2"/>
        <v>2623458</v>
      </c>
      <c r="G31" s="23">
        <v>457329</v>
      </c>
      <c r="H31" s="142">
        <v>45</v>
      </c>
    </row>
    <row r="32" spans="1:8" ht="30.9" customHeight="1">
      <c r="A32" s="139"/>
      <c r="B32" s="140"/>
      <c r="C32" s="23"/>
      <c r="D32" s="23"/>
      <c r="E32" s="23"/>
      <c r="F32" s="141"/>
      <c r="G32" s="23"/>
      <c r="H32" s="142"/>
    </row>
    <row r="33" spans="1:9" ht="45" customHeight="1" thickBot="1">
      <c r="A33" s="476" t="s">
        <v>247</v>
      </c>
      <c r="B33" s="477"/>
      <c r="C33" s="145">
        <f>SUM(C2:C32)</f>
        <v>11588760</v>
      </c>
      <c r="D33" s="145">
        <f>SUM(D2:D32)</f>
        <v>8965302</v>
      </c>
      <c r="E33" s="145">
        <f>SUM(E2:E32)</f>
        <v>433398</v>
      </c>
      <c r="F33" s="145">
        <f>F31</f>
        <v>2623458</v>
      </c>
      <c r="G33" s="145">
        <f>SUM(G2:G32)</f>
        <v>4494386</v>
      </c>
      <c r="H33" s="146">
        <f>SUM(H2:H32)</f>
        <v>397</v>
      </c>
    </row>
    <row r="34" spans="1:9" ht="18.600000000000001" thickBot="1">
      <c r="A34" s="502" t="s">
        <v>248</v>
      </c>
      <c r="B34" s="503"/>
      <c r="C34" s="503"/>
      <c r="D34" s="503"/>
      <c r="E34" s="503"/>
      <c r="F34" s="503"/>
      <c r="G34" s="504"/>
      <c r="H34" s="127"/>
      <c r="I34" s="69"/>
    </row>
    <row r="35" spans="1:9" ht="18">
      <c r="A35" s="95"/>
      <c r="B35" s="81"/>
      <c r="C35" s="578" t="s">
        <v>249</v>
      </c>
      <c r="D35" s="579"/>
      <c r="E35" s="580"/>
      <c r="G35" s="82"/>
      <c r="H35" s="61"/>
    </row>
    <row r="36" spans="1:9" ht="18">
      <c r="A36" s="95"/>
      <c r="B36" s="81"/>
      <c r="C36" s="105" t="s">
        <v>247</v>
      </c>
      <c r="D36" s="71" t="s">
        <v>251</v>
      </c>
      <c r="E36" s="134" t="s">
        <v>252</v>
      </c>
      <c r="F36" s="481" t="s">
        <v>415</v>
      </c>
      <c r="G36" s="481"/>
      <c r="H36" s="61"/>
    </row>
    <row r="37" spans="1:9" ht="19.2">
      <c r="A37" s="95"/>
      <c r="B37" s="81"/>
      <c r="C37" s="484">
        <f>C33</f>
        <v>11588760</v>
      </c>
      <c r="D37" s="90">
        <f>E33</f>
        <v>433398</v>
      </c>
      <c r="E37" s="135">
        <f>G33</f>
        <v>4494386</v>
      </c>
      <c r="F37" s="486">
        <v>125814</v>
      </c>
      <c r="G37" s="486"/>
      <c r="H37" s="61"/>
    </row>
    <row r="38" spans="1:9" ht="19.8" thickBot="1">
      <c r="A38" s="95"/>
      <c r="B38" s="81"/>
      <c r="C38" s="485"/>
      <c r="D38" s="98">
        <f>D37/C37</f>
        <v>3.7398134054031668E-2</v>
      </c>
      <c r="E38" s="136">
        <f>E37/C37</f>
        <v>0.38782285593972088</v>
      </c>
      <c r="F38" s="586">
        <f>F37/C37</f>
        <v>1.0856554109326623E-2</v>
      </c>
      <c r="G38" s="586"/>
      <c r="H38" s="61"/>
      <c r="I38" s="69"/>
    </row>
    <row r="39" spans="1:9" ht="21" customHeight="1" thickBot="1">
      <c r="A39" s="95"/>
      <c r="B39" s="81"/>
      <c r="C39" s="488" t="s">
        <v>250</v>
      </c>
      <c r="D39" s="489"/>
      <c r="E39" s="489"/>
      <c r="F39" s="490"/>
      <c r="G39" s="491"/>
      <c r="H39" s="61"/>
      <c r="I39" s="69"/>
    </row>
    <row r="40" spans="1:9" ht="18.600000000000001" thickTop="1">
      <c r="A40" s="95"/>
      <c r="B40" s="81"/>
      <c r="C40" s="100" t="s">
        <v>241</v>
      </c>
      <c r="D40" s="72" t="s">
        <v>253</v>
      </c>
      <c r="E40" s="72" t="s">
        <v>254</v>
      </c>
      <c r="F40" s="86" t="s">
        <v>255</v>
      </c>
      <c r="G40" s="106" t="s">
        <v>247</v>
      </c>
      <c r="H40" s="61"/>
      <c r="I40" s="69"/>
    </row>
    <row r="41" spans="1:9" ht="18.600000000000001" thickBot="1">
      <c r="A41" s="95"/>
      <c r="B41" s="81"/>
      <c r="C41" s="101">
        <f>D33</f>
        <v>8965302</v>
      </c>
      <c r="D41" s="102">
        <f>SUM(D48:H48)</f>
        <v>657275</v>
      </c>
      <c r="E41" s="103">
        <f>E33*0.065</f>
        <v>28170.870000000003</v>
      </c>
      <c r="F41" s="103">
        <f>F54</f>
        <v>78834</v>
      </c>
      <c r="G41" s="107">
        <f>SUM(C41:F41)</f>
        <v>9729581.8699999992</v>
      </c>
      <c r="H41" s="61"/>
      <c r="I41" s="69"/>
    </row>
    <row r="42" spans="1:9" ht="18.600000000000001" thickBot="1">
      <c r="A42" s="96"/>
      <c r="B42" s="84"/>
      <c r="C42" s="108" t="s">
        <v>266</v>
      </c>
      <c r="D42" s="109">
        <f>C37-G41-F37</f>
        <v>1733364.1300000008</v>
      </c>
      <c r="E42" s="70"/>
      <c r="F42" s="81"/>
      <c r="G42" s="83"/>
      <c r="H42" s="69"/>
    </row>
    <row r="43" spans="1:9" ht="20.100000000000001" customHeight="1" thickBot="1">
      <c r="A43" s="96"/>
      <c r="B43" s="84"/>
      <c r="C43" s="584" t="s">
        <v>257</v>
      </c>
      <c r="D43" s="584"/>
      <c r="E43" s="584"/>
      <c r="F43" s="584"/>
      <c r="G43" s="585"/>
      <c r="H43" s="69"/>
    </row>
    <row r="44" spans="1:9" ht="22.8" thickTop="1">
      <c r="A44" s="97"/>
      <c r="C44" s="575" t="s">
        <v>253</v>
      </c>
      <c r="D44" s="72" t="s">
        <v>231</v>
      </c>
      <c r="E44" s="73" t="s">
        <v>453</v>
      </c>
      <c r="F44" s="72" t="s">
        <v>258</v>
      </c>
      <c r="G44" s="87" t="s">
        <v>232</v>
      </c>
      <c r="H44" s="87" t="s">
        <v>454</v>
      </c>
    </row>
    <row r="45" spans="1:9" ht="18.600000000000001" thickBot="1">
      <c r="A45" s="97"/>
      <c r="C45" s="576"/>
      <c r="D45" s="74">
        <v>250000</v>
      </c>
      <c r="E45" s="74">
        <v>64000</v>
      </c>
      <c r="F45" s="74">
        <v>184000</v>
      </c>
      <c r="G45" s="74">
        <f>24.5*950</f>
        <v>23275</v>
      </c>
      <c r="H45" s="74">
        <v>18000</v>
      </c>
    </row>
    <row r="46" spans="1:9" ht="22.8" thickTop="1">
      <c r="A46" s="97"/>
      <c r="C46" s="575" t="s">
        <v>244</v>
      </c>
      <c r="D46" s="72" t="s">
        <v>231</v>
      </c>
      <c r="E46" s="73" t="s">
        <v>229</v>
      </c>
      <c r="F46" s="72" t="s">
        <v>258</v>
      </c>
      <c r="G46" s="87" t="s">
        <v>232</v>
      </c>
      <c r="H46" s="87" t="s">
        <v>455</v>
      </c>
    </row>
    <row r="47" spans="1:9" ht="18.600000000000001" thickBot="1">
      <c r="A47" s="97"/>
      <c r="C47" s="576"/>
      <c r="D47" s="78">
        <v>80000</v>
      </c>
      <c r="E47" s="78">
        <v>10000</v>
      </c>
      <c r="F47" s="78">
        <v>0</v>
      </c>
      <c r="G47" s="78">
        <v>0</v>
      </c>
      <c r="H47" s="78">
        <v>28000</v>
      </c>
    </row>
    <row r="48" spans="1:9" ht="19.2" thickTop="1" thickBot="1">
      <c r="A48" s="97"/>
      <c r="C48" s="110" t="s">
        <v>247</v>
      </c>
      <c r="D48" s="111">
        <f>D45+D47</f>
        <v>330000</v>
      </c>
      <c r="E48" s="112">
        <f t="shared" ref="E48:G48" si="3">E45+E47</f>
        <v>74000</v>
      </c>
      <c r="F48" s="112">
        <f t="shared" si="3"/>
        <v>184000</v>
      </c>
      <c r="G48" s="113">
        <f t="shared" si="3"/>
        <v>23275</v>
      </c>
      <c r="H48" s="113">
        <f>H45+H47</f>
        <v>46000</v>
      </c>
    </row>
    <row r="49" spans="1:8" ht="19.2" thickTop="1" thickBot="1">
      <c r="A49" s="97"/>
      <c r="C49" s="573" t="s">
        <v>255</v>
      </c>
      <c r="D49" s="79" t="s">
        <v>450</v>
      </c>
      <c r="E49" s="80" t="s">
        <v>451</v>
      </c>
      <c r="F49" s="79" t="s">
        <v>452</v>
      </c>
      <c r="G49" s="79"/>
      <c r="H49" s="69"/>
    </row>
    <row r="50" spans="1:8" ht="18.600000000000001" thickBot="1">
      <c r="A50" s="97"/>
      <c r="C50" s="591"/>
      <c r="D50" s="153">
        <v>53888</v>
      </c>
      <c r="E50" s="80">
        <v>16256</v>
      </c>
      <c r="F50" s="80">
        <v>8690</v>
      </c>
      <c r="G50" s="79"/>
      <c r="H50" s="69"/>
    </row>
    <row r="51" spans="1:8" ht="18.600000000000001" thickBot="1">
      <c r="A51" s="97"/>
      <c r="C51" s="591"/>
      <c r="D51" s="75"/>
      <c r="E51" s="80"/>
      <c r="F51" s="79"/>
      <c r="G51" s="79"/>
      <c r="H51" s="69"/>
    </row>
    <row r="52" spans="1:8" ht="18.600000000000001" thickBot="1">
      <c r="A52" s="97"/>
      <c r="C52" s="574"/>
      <c r="E52" s="75"/>
      <c r="F52" s="75"/>
      <c r="G52" s="75"/>
      <c r="H52" s="69"/>
    </row>
    <row r="53" spans="1:8" ht="18.600000000000001" thickBot="1">
      <c r="A53" s="97"/>
      <c r="C53" s="147" t="s">
        <v>263</v>
      </c>
      <c r="D53" s="148"/>
      <c r="E53" s="148"/>
      <c r="F53" s="148"/>
      <c r="G53" s="148"/>
      <c r="H53" s="69"/>
    </row>
    <row r="54" spans="1:8" ht="18.600000000000001" thickBot="1">
      <c r="C54" s="587" t="s">
        <v>73</v>
      </c>
      <c r="D54" s="588"/>
      <c r="E54" s="589"/>
      <c r="F54" s="590">
        <f>SUM(D49:G53)</f>
        <v>78834</v>
      </c>
      <c r="G54" s="504"/>
      <c r="H54" s="69"/>
    </row>
    <row r="55" spans="1:8">
      <c r="H55" s="61"/>
    </row>
    <row r="56" spans="1:8">
      <c r="H56" s="61"/>
    </row>
    <row r="57" spans="1:8">
      <c r="H57" s="61"/>
    </row>
    <row r="58" spans="1:8">
      <c r="H58" s="61"/>
    </row>
    <row r="59" spans="1:8">
      <c r="H59" s="61"/>
    </row>
  </sheetData>
  <mergeCells count="15">
    <mergeCell ref="C54:E54"/>
    <mergeCell ref="F54:G54"/>
    <mergeCell ref="A1:B1"/>
    <mergeCell ref="A33:B33"/>
    <mergeCell ref="A34:G34"/>
    <mergeCell ref="C35:E35"/>
    <mergeCell ref="F36:G36"/>
    <mergeCell ref="C37:C38"/>
    <mergeCell ref="F37:G37"/>
    <mergeCell ref="F38:G38"/>
    <mergeCell ref="C39:G39"/>
    <mergeCell ref="C43:G43"/>
    <mergeCell ref="C44:C45"/>
    <mergeCell ref="C46:C47"/>
    <mergeCell ref="C49:C52"/>
  </mergeCells>
  <phoneticPr fontId="1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637-2B3B-2047-AED3-E118E800D562}">
  <sheetPr codeName="Sheet11"/>
  <dimension ref="A1:I59"/>
  <sheetViews>
    <sheetView topLeftCell="A30" zoomScale="101" workbookViewId="0">
      <selection activeCell="C33" sqref="C33"/>
    </sheetView>
  </sheetViews>
  <sheetFormatPr defaultColWidth="10.6328125" defaultRowHeight="17.399999999999999"/>
  <cols>
    <col min="1" max="1" width="3" style="94" customWidth="1"/>
    <col min="2" max="2" width="2.90625" style="61" customWidth="1"/>
    <col min="3" max="3" width="9.453125" style="61" customWidth="1"/>
    <col min="4" max="4" width="10" style="61" customWidth="1"/>
    <col min="5" max="5" width="9" style="61" customWidth="1"/>
    <col min="6" max="6" width="11.6328125" style="61" customWidth="1"/>
    <col min="7" max="7" width="10" style="61" customWidth="1"/>
    <col min="8" max="8" width="8.36328125" style="128" customWidth="1"/>
    <col min="9" max="16384" width="10.6328125" style="61"/>
  </cols>
  <sheetData>
    <row r="1" spans="1:8" ht="24" customHeight="1">
      <c r="A1" s="475" t="s">
        <v>0</v>
      </c>
      <c r="B1" s="475"/>
      <c r="C1" s="62" t="s">
        <v>225</v>
      </c>
      <c r="D1" s="62" t="s">
        <v>226</v>
      </c>
      <c r="E1" s="133" t="s">
        <v>227</v>
      </c>
      <c r="F1" s="151" t="s">
        <v>5</v>
      </c>
      <c r="G1" s="133" t="s">
        <v>243</v>
      </c>
      <c r="H1" s="138" t="s">
        <v>284</v>
      </c>
    </row>
    <row r="2" spans="1:8" ht="30.9" customHeight="1">
      <c r="A2" s="139">
        <v>45108</v>
      </c>
      <c r="B2" s="144" t="s">
        <v>57</v>
      </c>
      <c r="C2" s="154">
        <v>495705</v>
      </c>
      <c r="D2" s="154">
        <v>96019</v>
      </c>
      <c r="E2" s="154">
        <v>37813</v>
      </c>
      <c r="F2" s="152">
        <f>C2-D2</f>
        <v>399686</v>
      </c>
      <c r="G2" s="154">
        <v>124532</v>
      </c>
      <c r="H2" s="155">
        <v>11</v>
      </c>
    </row>
    <row r="3" spans="1:8" ht="30.9" customHeight="1">
      <c r="A3" s="139">
        <v>45109</v>
      </c>
      <c r="B3" s="144" t="s">
        <v>59</v>
      </c>
      <c r="C3" s="154">
        <v>451876</v>
      </c>
      <c r="D3" s="154">
        <v>273248</v>
      </c>
      <c r="E3" s="154">
        <v>12786</v>
      </c>
      <c r="F3" s="152">
        <f>C3-D3+F2</f>
        <v>578314</v>
      </c>
      <c r="G3" s="155">
        <v>0</v>
      </c>
      <c r="H3" s="155">
        <v>0</v>
      </c>
    </row>
    <row r="4" spans="1:8" ht="30.9" customHeight="1">
      <c r="A4" s="139">
        <v>45110</v>
      </c>
      <c r="B4" s="140" t="s">
        <v>61</v>
      </c>
      <c r="C4" s="154">
        <v>225295</v>
      </c>
      <c r="D4" s="154">
        <v>123180</v>
      </c>
      <c r="E4" s="154">
        <v>13460</v>
      </c>
      <c r="F4" s="152">
        <f t="shared" ref="F4:F8" si="0">C4-D4+F3</f>
        <v>680429</v>
      </c>
      <c r="G4" s="154">
        <v>96212</v>
      </c>
      <c r="H4" s="155">
        <v>8</v>
      </c>
    </row>
    <row r="5" spans="1:8" ht="30.9" customHeight="1">
      <c r="A5" s="139">
        <v>45111</v>
      </c>
      <c r="B5" s="140" t="s">
        <v>63</v>
      </c>
      <c r="C5" s="154">
        <v>258091</v>
      </c>
      <c r="D5" s="154">
        <v>60945</v>
      </c>
      <c r="E5" s="154">
        <v>6214</v>
      </c>
      <c r="F5" s="152">
        <f t="shared" si="0"/>
        <v>877575</v>
      </c>
      <c r="G5" s="154">
        <v>103472</v>
      </c>
      <c r="H5" s="155">
        <v>7</v>
      </c>
    </row>
    <row r="6" spans="1:8" ht="30.9" customHeight="1">
      <c r="A6" s="139">
        <v>45112</v>
      </c>
      <c r="B6" s="140" t="s">
        <v>65</v>
      </c>
      <c r="C6" s="154">
        <v>354967</v>
      </c>
      <c r="D6" s="154">
        <v>1186911</v>
      </c>
      <c r="E6" s="154">
        <v>42358</v>
      </c>
      <c r="F6" s="152">
        <f t="shared" si="0"/>
        <v>45631</v>
      </c>
      <c r="G6" s="154">
        <v>154763</v>
      </c>
      <c r="H6" s="155">
        <v>8</v>
      </c>
    </row>
    <row r="7" spans="1:8" ht="30.9" customHeight="1">
      <c r="A7" s="139">
        <v>45113</v>
      </c>
      <c r="B7" s="140" t="s">
        <v>54</v>
      </c>
      <c r="C7" s="154">
        <v>368284</v>
      </c>
      <c r="D7" s="154">
        <v>541442</v>
      </c>
      <c r="E7" s="154">
        <v>21420</v>
      </c>
      <c r="F7" s="152">
        <f t="shared" si="0"/>
        <v>-127527</v>
      </c>
      <c r="G7" s="154">
        <v>167530</v>
      </c>
      <c r="H7" s="155">
        <v>18</v>
      </c>
    </row>
    <row r="8" spans="1:8" ht="30.9" customHeight="1">
      <c r="A8" s="139">
        <v>45114</v>
      </c>
      <c r="B8" s="144" t="s">
        <v>55</v>
      </c>
      <c r="C8" s="154">
        <v>563589</v>
      </c>
      <c r="D8" s="154">
        <v>119045</v>
      </c>
      <c r="E8" s="155">
        <v>0</v>
      </c>
      <c r="F8" s="152">
        <f t="shared" si="0"/>
        <v>317017</v>
      </c>
      <c r="G8" s="154">
        <v>382120</v>
      </c>
      <c r="H8" s="155">
        <v>42</v>
      </c>
    </row>
    <row r="9" spans="1:8" ht="30.9" customHeight="1">
      <c r="A9" s="139">
        <v>45115</v>
      </c>
      <c r="B9" s="144" t="s">
        <v>57</v>
      </c>
      <c r="C9" s="154">
        <v>419912</v>
      </c>
      <c r="D9" s="154">
        <v>330941</v>
      </c>
      <c r="E9" s="155">
        <v>0</v>
      </c>
      <c r="F9" s="152">
        <f>C9-D9+F8</f>
        <v>405988</v>
      </c>
      <c r="G9" s="154">
        <v>112403</v>
      </c>
      <c r="H9" s="155">
        <v>6</v>
      </c>
    </row>
    <row r="10" spans="1:8" ht="30.9" customHeight="1">
      <c r="A10" s="139">
        <v>45116</v>
      </c>
      <c r="B10" s="144" t="s">
        <v>59</v>
      </c>
      <c r="C10" s="154">
        <v>318644</v>
      </c>
      <c r="D10" s="154">
        <v>11525</v>
      </c>
      <c r="E10" s="154">
        <v>8743</v>
      </c>
      <c r="F10" s="152">
        <f>C10-D10+F9</f>
        <v>713107</v>
      </c>
      <c r="G10" s="155">
        <v>0</v>
      </c>
      <c r="H10" s="155">
        <v>0</v>
      </c>
    </row>
    <row r="11" spans="1:8" ht="30.9" customHeight="1">
      <c r="A11" s="139">
        <v>45117</v>
      </c>
      <c r="B11" s="140" t="s">
        <v>61</v>
      </c>
      <c r="C11" s="154">
        <v>243441</v>
      </c>
      <c r="D11" s="154">
        <v>39330</v>
      </c>
      <c r="E11" s="154">
        <v>12768</v>
      </c>
      <c r="F11" s="152">
        <f>C11-D11+F10</f>
        <v>917218</v>
      </c>
      <c r="G11" s="154">
        <v>87650</v>
      </c>
      <c r="H11" s="155">
        <v>8</v>
      </c>
    </row>
    <row r="12" spans="1:8" ht="30.9" customHeight="1">
      <c r="A12" s="139">
        <v>45118</v>
      </c>
      <c r="B12" s="140" t="s">
        <v>63</v>
      </c>
      <c r="C12" s="154">
        <v>491466</v>
      </c>
      <c r="D12" s="154">
        <v>148170</v>
      </c>
      <c r="E12" s="154">
        <v>36720</v>
      </c>
      <c r="F12" s="152">
        <f>C12-D12+F11</f>
        <v>1260514</v>
      </c>
      <c r="G12" s="154">
        <v>254690</v>
      </c>
      <c r="H12" s="155">
        <v>16</v>
      </c>
    </row>
    <row r="13" spans="1:8" ht="30.9" customHeight="1">
      <c r="A13" s="139">
        <v>45119</v>
      </c>
      <c r="B13" s="140" t="s">
        <v>65</v>
      </c>
      <c r="C13" s="154">
        <v>438229</v>
      </c>
      <c r="D13" s="154">
        <v>239780</v>
      </c>
      <c r="E13" s="155">
        <v>0</v>
      </c>
      <c r="F13" s="152">
        <f>C13-D13+F12</f>
        <v>1458963</v>
      </c>
      <c r="G13" s="154">
        <v>210320</v>
      </c>
      <c r="H13" s="155">
        <v>15</v>
      </c>
    </row>
    <row r="14" spans="1:8" ht="30.9" customHeight="1">
      <c r="A14" s="139">
        <v>45120</v>
      </c>
      <c r="B14" s="140" t="s">
        <v>54</v>
      </c>
      <c r="C14" s="154">
        <v>312439</v>
      </c>
      <c r="D14" s="154">
        <v>151536</v>
      </c>
      <c r="E14" s="154">
        <v>22102</v>
      </c>
      <c r="F14" s="152">
        <f t="shared" ref="F14:F16" si="1">C14-D14+F13</f>
        <v>1619866</v>
      </c>
      <c r="G14" s="154">
        <v>186542</v>
      </c>
      <c r="H14" s="155">
        <v>12</v>
      </c>
    </row>
    <row r="15" spans="1:8" ht="30.9" customHeight="1">
      <c r="A15" s="139">
        <v>45121</v>
      </c>
      <c r="B15" s="144" t="s">
        <v>55</v>
      </c>
      <c r="C15" s="154">
        <v>656904</v>
      </c>
      <c r="D15" s="154">
        <v>274301</v>
      </c>
      <c r="E15" s="154">
        <v>10202</v>
      </c>
      <c r="F15" s="152">
        <f t="shared" si="1"/>
        <v>2002469</v>
      </c>
      <c r="G15" s="154">
        <v>423412</v>
      </c>
      <c r="H15" s="155">
        <v>34</v>
      </c>
    </row>
    <row r="16" spans="1:8" ht="30.9" customHeight="1">
      <c r="A16" s="139">
        <v>45122</v>
      </c>
      <c r="B16" s="144" t="s">
        <v>57</v>
      </c>
      <c r="C16" s="154">
        <v>548797</v>
      </c>
      <c r="D16" s="154">
        <v>713548</v>
      </c>
      <c r="E16" s="155">
        <v>0</v>
      </c>
      <c r="F16" s="152">
        <f t="shared" si="1"/>
        <v>1837718</v>
      </c>
      <c r="G16" s="154">
        <v>124328</v>
      </c>
      <c r="H16" s="155">
        <v>10</v>
      </c>
    </row>
    <row r="17" spans="1:8" ht="30.9" customHeight="1">
      <c r="A17" s="139">
        <v>45123</v>
      </c>
      <c r="B17" s="144" t="s">
        <v>59</v>
      </c>
      <c r="C17" s="154">
        <v>425537</v>
      </c>
      <c r="D17" s="154">
        <v>511402</v>
      </c>
      <c r="E17" s="154">
        <v>43280</v>
      </c>
      <c r="F17" s="152">
        <f>C17-D17+F16</f>
        <v>1751853</v>
      </c>
      <c r="G17" s="155">
        <v>0</v>
      </c>
      <c r="H17" s="155">
        <v>0</v>
      </c>
    </row>
    <row r="18" spans="1:8" ht="30.9" customHeight="1">
      <c r="A18" s="139">
        <v>45124</v>
      </c>
      <c r="B18" s="140" t="s">
        <v>61</v>
      </c>
      <c r="C18" s="154">
        <v>290866</v>
      </c>
      <c r="D18" s="154">
        <v>558676</v>
      </c>
      <c r="E18" s="154">
        <v>23120</v>
      </c>
      <c r="F18" s="152">
        <f>C18-D18+F17</f>
        <v>1484043</v>
      </c>
      <c r="G18" s="154">
        <v>192012</v>
      </c>
      <c r="H18" s="155">
        <v>12</v>
      </c>
    </row>
    <row r="19" spans="1:8" ht="30.9" customHeight="1">
      <c r="A19" s="139">
        <v>45125</v>
      </c>
      <c r="B19" s="140" t="s">
        <v>63</v>
      </c>
      <c r="C19" s="154">
        <v>262478</v>
      </c>
      <c r="D19" s="154">
        <v>266956</v>
      </c>
      <c r="E19" s="155">
        <v>0</v>
      </c>
      <c r="F19" s="152">
        <f>C19-D19+F18</f>
        <v>1479565</v>
      </c>
      <c r="G19" s="154">
        <v>186312</v>
      </c>
      <c r="H19" s="155">
        <v>14</v>
      </c>
    </row>
    <row r="20" spans="1:8" ht="30.9" customHeight="1">
      <c r="A20" s="139">
        <v>45126</v>
      </c>
      <c r="B20" s="140" t="s">
        <v>65</v>
      </c>
      <c r="C20" s="154">
        <v>283882</v>
      </c>
      <c r="D20" s="154">
        <v>120395</v>
      </c>
      <c r="E20" s="154">
        <v>12430</v>
      </c>
      <c r="F20" s="152">
        <f t="shared" ref="F20:F31" si="2">C20-D20+F19</f>
        <v>1643052</v>
      </c>
      <c r="G20" s="154">
        <v>146312</v>
      </c>
      <c r="H20" s="155">
        <v>11</v>
      </c>
    </row>
    <row r="21" spans="1:8" ht="30.9" customHeight="1">
      <c r="A21" s="139">
        <v>45127</v>
      </c>
      <c r="B21" s="140" t="s">
        <v>54</v>
      </c>
      <c r="C21" s="154">
        <v>174134</v>
      </c>
      <c r="D21" s="154">
        <v>106939</v>
      </c>
      <c r="E21" s="154">
        <v>22310</v>
      </c>
      <c r="F21" s="152">
        <f t="shared" si="2"/>
        <v>1710247</v>
      </c>
      <c r="G21" s="154">
        <v>78932</v>
      </c>
      <c r="H21" s="155">
        <v>8</v>
      </c>
    </row>
    <row r="22" spans="1:8" ht="30.9" customHeight="1">
      <c r="A22" s="139">
        <v>45128</v>
      </c>
      <c r="B22" s="144" t="s">
        <v>55</v>
      </c>
      <c r="C22" s="154">
        <v>507202</v>
      </c>
      <c r="D22" s="154">
        <v>87850</v>
      </c>
      <c r="E22" s="155">
        <v>0</v>
      </c>
      <c r="F22" s="152">
        <f t="shared" si="2"/>
        <v>2129599</v>
      </c>
      <c r="G22" s="154">
        <v>321267</v>
      </c>
      <c r="H22" s="155">
        <v>34</v>
      </c>
    </row>
    <row r="23" spans="1:8" ht="30.9" customHeight="1">
      <c r="A23" s="139">
        <v>45129</v>
      </c>
      <c r="B23" s="144" t="s">
        <v>57</v>
      </c>
      <c r="C23" s="154">
        <v>547167</v>
      </c>
      <c r="D23" s="154">
        <v>352223</v>
      </c>
      <c r="E23" s="154">
        <v>15690</v>
      </c>
      <c r="F23" s="152">
        <f t="shared" si="2"/>
        <v>2324543</v>
      </c>
      <c r="G23" s="154">
        <v>182712</v>
      </c>
      <c r="H23" s="155">
        <v>11</v>
      </c>
    </row>
    <row r="24" spans="1:8" ht="30.9" customHeight="1">
      <c r="A24" s="139">
        <v>45130</v>
      </c>
      <c r="B24" s="144" t="s">
        <v>59</v>
      </c>
      <c r="C24" s="154">
        <v>364924</v>
      </c>
      <c r="D24" s="154">
        <v>774488</v>
      </c>
      <c r="E24" s="155">
        <v>0</v>
      </c>
      <c r="F24" s="152">
        <f t="shared" si="2"/>
        <v>1914979</v>
      </c>
      <c r="G24" s="155">
        <v>0</v>
      </c>
      <c r="H24" s="155">
        <v>0</v>
      </c>
    </row>
    <row r="25" spans="1:8" ht="30.9" customHeight="1">
      <c r="A25" s="139">
        <v>45131</v>
      </c>
      <c r="B25" s="140" t="s">
        <v>61</v>
      </c>
      <c r="C25" s="154">
        <v>148346</v>
      </c>
      <c r="D25" s="154">
        <v>61030</v>
      </c>
      <c r="E25" s="154">
        <v>12320</v>
      </c>
      <c r="F25" s="152">
        <f t="shared" si="2"/>
        <v>2002295</v>
      </c>
      <c r="G25" s="154">
        <v>65901</v>
      </c>
      <c r="H25" s="155">
        <v>7</v>
      </c>
    </row>
    <row r="26" spans="1:8" ht="30.9" customHeight="1">
      <c r="A26" s="139">
        <v>45132</v>
      </c>
      <c r="B26" s="140" t="s">
        <v>63</v>
      </c>
      <c r="C26" s="154">
        <v>358666</v>
      </c>
      <c r="D26" s="154">
        <v>34944</v>
      </c>
      <c r="E26" s="155">
        <v>0</v>
      </c>
      <c r="F26" s="152">
        <f t="shared" si="2"/>
        <v>2326017</v>
      </c>
      <c r="G26" s="154">
        <v>234518</v>
      </c>
      <c r="H26" s="155">
        <v>16</v>
      </c>
    </row>
    <row r="27" spans="1:8" ht="30.9" customHeight="1">
      <c r="A27" s="139">
        <v>45133</v>
      </c>
      <c r="B27" s="140" t="s">
        <v>65</v>
      </c>
      <c r="C27" s="154">
        <v>236068</v>
      </c>
      <c r="D27" s="154">
        <v>337293</v>
      </c>
      <c r="E27" s="154">
        <v>32451</v>
      </c>
      <c r="F27" s="152">
        <f t="shared" si="2"/>
        <v>2224792</v>
      </c>
      <c r="G27" s="154">
        <v>154302</v>
      </c>
      <c r="H27" s="155">
        <v>12</v>
      </c>
    </row>
    <row r="28" spans="1:8" ht="30.9" customHeight="1">
      <c r="A28" s="139">
        <v>45134</v>
      </c>
      <c r="B28" s="140" t="s">
        <v>54</v>
      </c>
      <c r="C28" s="154">
        <v>329108</v>
      </c>
      <c r="D28" s="154">
        <v>476698</v>
      </c>
      <c r="E28" s="154">
        <v>10121</v>
      </c>
      <c r="F28" s="152">
        <f t="shared" si="2"/>
        <v>2077202</v>
      </c>
      <c r="G28" s="154">
        <v>183621</v>
      </c>
      <c r="H28" s="155">
        <v>12</v>
      </c>
    </row>
    <row r="29" spans="1:8" ht="30.9" customHeight="1">
      <c r="A29" s="139">
        <v>45135</v>
      </c>
      <c r="B29" s="144" t="s">
        <v>55</v>
      </c>
      <c r="C29" s="154">
        <v>716801</v>
      </c>
      <c r="D29" s="154">
        <v>469600</v>
      </c>
      <c r="E29" s="154">
        <v>43489</v>
      </c>
      <c r="F29" s="152">
        <f>C29-D29+F28</f>
        <v>2324403</v>
      </c>
      <c r="G29" s="154">
        <v>532102</v>
      </c>
      <c r="H29" s="155">
        <v>44</v>
      </c>
    </row>
    <row r="30" spans="1:8" ht="30.9" customHeight="1">
      <c r="A30" s="139">
        <v>45136</v>
      </c>
      <c r="B30" s="144" t="s">
        <v>57</v>
      </c>
      <c r="C30" s="154">
        <v>391330</v>
      </c>
      <c r="D30" s="154">
        <v>161374</v>
      </c>
      <c r="E30" s="155">
        <v>0</v>
      </c>
      <c r="F30" s="152">
        <f t="shared" si="2"/>
        <v>2554359</v>
      </c>
      <c r="G30" s="154">
        <v>117621</v>
      </c>
      <c r="H30" s="155">
        <v>10</v>
      </c>
    </row>
    <row r="31" spans="1:8" ht="30.9" customHeight="1">
      <c r="A31" s="139">
        <v>45137</v>
      </c>
      <c r="B31" s="144" t="s">
        <v>59</v>
      </c>
      <c r="C31" s="154">
        <v>291259</v>
      </c>
      <c r="D31" s="154">
        <v>197638</v>
      </c>
      <c r="E31" s="154">
        <v>14320</v>
      </c>
      <c r="F31" s="152">
        <f t="shared" si="2"/>
        <v>2647980</v>
      </c>
      <c r="G31" s="155">
        <v>0</v>
      </c>
      <c r="H31" s="155">
        <v>0</v>
      </c>
    </row>
    <row r="32" spans="1:8" ht="30.9" customHeight="1">
      <c r="A32" s="139">
        <v>45138</v>
      </c>
      <c r="B32" s="140" t="s">
        <v>61</v>
      </c>
      <c r="C32" s="155">
        <v>304721</v>
      </c>
      <c r="D32" s="154">
        <v>996894</v>
      </c>
      <c r="E32" s="154">
        <v>12439</v>
      </c>
      <c r="F32" s="152">
        <f>C32-D32+F31</f>
        <v>1955807</v>
      </c>
      <c r="G32" s="155">
        <v>192320</v>
      </c>
      <c r="H32" s="156">
        <v>17</v>
      </c>
    </row>
    <row r="33" spans="1:9" ht="45" customHeight="1" thickBot="1">
      <c r="A33" s="476" t="s">
        <v>247</v>
      </c>
      <c r="B33" s="477"/>
      <c r="C33" s="145">
        <f>SUM(C2:C32)</f>
        <v>11780128</v>
      </c>
      <c r="D33" s="145">
        <f>SUM(D2:D32)</f>
        <v>9824321</v>
      </c>
      <c r="E33" s="145">
        <f>SUM(E2:E32)</f>
        <v>466556</v>
      </c>
      <c r="F33" s="145">
        <f>F32</f>
        <v>1955807</v>
      </c>
      <c r="G33" s="145">
        <f>SUM(G2:G32)</f>
        <v>5015906</v>
      </c>
      <c r="H33" s="146">
        <f>SUM(H2:H32)</f>
        <v>403</v>
      </c>
    </row>
    <row r="34" spans="1:9" ht="18.600000000000001" thickBot="1">
      <c r="A34" s="502" t="s">
        <v>248</v>
      </c>
      <c r="B34" s="503"/>
      <c r="C34" s="503"/>
      <c r="D34" s="503"/>
      <c r="E34" s="503"/>
      <c r="F34" s="503"/>
      <c r="G34" s="504"/>
      <c r="H34" s="127"/>
      <c r="I34" s="69"/>
    </row>
    <row r="35" spans="1:9" ht="18">
      <c r="A35" s="95"/>
      <c r="B35" s="81"/>
      <c r="C35" s="578" t="s">
        <v>249</v>
      </c>
      <c r="D35" s="579"/>
      <c r="E35" s="580"/>
      <c r="G35" s="82"/>
      <c r="H35" s="61"/>
    </row>
    <row r="36" spans="1:9" ht="18">
      <c r="A36" s="95"/>
      <c r="B36" s="81"/>
      <c r="C36" s="105" t="s">
        <v>247</v>
      </c>
      <c r="D36" s="71" t="s">
        <v>251</v>
      </c>
      <c r="E36" s="134" t="s">
        <v>252</v>
      </c>
      <c r="F36" s="481" t="s">
        <v>415</v>
      </c>
      <c r="G36" s="481"/>
      <c r="H36" s="61"/>
    </row>
    <row r="37" spans="1:9" ht="19.2">
      <c r="A37" s="95"/>
      <c r="B37" s="81"/>
      <c r="C37" s="484">
        <f>C33</f>
        <v>11780128</v>
      </c>
      <c r="D37" s="90">
        <f>E33</f>
        <v>466556</v>
      </c>
      <c r="E37" s="135">
        <f>G33</f>
        <v>5015906</v>
      </c>
      <c r="F37" s="486">
        <v>93723</v>
      </c>
      <c r="G37" s="486"/>
      <c r="H37" s="61"/>
    </row>
    <row r="38" spans="1:9" ht="19.8" thickBot="1">
      <c r="A38" s="95"/>
      <c r="B38" s="81"/>
      <c r="C38" s="485"/>
      <c r="D38" s="98">
        <f>D37/C37</f>
        <v>3.9605342149083608E-2</v>
      </c>
      <c r="E38" s="136">
        <f>E37/C37</f>
        <v>0.42579384536398923</v>
      </c>
      <c r="F38" s="586">
        <f>F37/C37</f>
        <v>7.9560256051547148E-3</v>
      </c>
      <c r="G38" s="586"/>
      <c r="H38" s="61"/>
      <c r="I38" s="69"/>
    </row>
    <row r="39" spans="1:9" ht="21" customHeight="1" thickBot="1">
      <c r="A39" s="95"/>
      <c r="B39" s="81"/>
      <c r="C39" s="488" t="s">
        <v>250</v>
      </c>
      <c r="D39" s="489"/>
      <c r="E39" s="489"/>
      <c r="F39" s="490"/>
      <c r="G39" s="491"/>
      <c r="H39" s="61"/>
      <c r="I39" s="69"/>
    </row>
    <row r="40" spans="1:9" ht="18.600000000000001" thickTop="1">
      <c r="A40" s="95"/>
      <c r="B40" s="81"/>
      <c r="C40" s="100" t="s">
        <v>241</v>
      </c>
      <c r="D40" s="72" t="s">
        <v>253</v>
      </c>
      <c r="E40" s="72" t="s">
        <v>254</v>
      </c>
      <c r="F40" s="86" t="s">
        <v>255</v>
      </c>
      <c r="G40" s="106" t="s">
        <v>247</v>
      </c>
      <c r="H40" s="61"/>
      <c r="I40" s="69"/>
    </row>
    <row r="41" spans="1:9" ht="18.600000000000001" thickBot="1">
      <c r="A41" s="95"/>
      <c r="B41" s="81"/>
      <c r="C41" s="101">
        <f>D33</f>
        <v>9824321</v>
      </c>
      <c r="D41" s="102">
        <f>SUM(D48:H48)</f>
        <v>677500</v>
      </c>
      <c r="E41" s="103">
        <f>E33*6%</f>
        <v>27993.360000000001</v>
      </c>
      <c r="F41" s="103">
        <f>F54</f>
        <v>95672</v>
      </c>
      <c r="G41" s="107">
        <f>SUM(C41:F41)</f>
        <v>10625486.359999999</v>
      </c>
      <c r="H41" s="61"/>
      <c r="I41" s="69"/>
    </row>
    <row r="42" spans="1:9" ht="18.600000000000001" thickBot="1">
      <c r="A42" s="96"/>
      <c r="B42" s="84"/>
      <c r="C42" s="108" t="s">
        <v>266</v>
      </c>
      <c r="D42" s="109">
        <f>C37-G41-F37</f>
        <v>1060918.6400000006</v>
      </c>
      <c r="E42" s="70"/>
      <c r="F42" s="81"/>
      <c r="G42" s="83"/>
      <c r="H42" s="69"/>
    </row>
    <row r="43" spans="1:9" ht="20.100000000000001" customHeight="1" thickBot="1">
      <c r="A43" s="96"/>
      <c r="B43" s="84"/>
      <c r="C43" s="584" t="s">
        <v>257</v>
      </c>
      <c r="D43" s="584"/>
      <c r="E43" s="584"/>
      <c r="F43" s="584"/>
      <c r="G43" s="585"/>
      <c r="H43" s="69"/>
    </row>
    <row r="44" spans="1:9" ht="22.8" thickTop="1">
      <c r="A44" s="97"/>
      <c r="C44" s="575" t="s">
        <v>253</v>
      </c>
      <c r="D44" s="72" t="s">
        <v>231</v>
      </c>
      <c r="E44" s="73" t="s">
        <v>453</v>
      </c>
      <c r="F44" s="72" t="s">
        <v>258</v>
      </c>
      <c r="G44" s="87" t="s">
        <v>455</v>
      </c>
      <c r="H44" s="87" t="s">
        <v>454</v>
      </c>
    </row>
    <row r="45" spans="1:9" ht="18.600000000000001" thickBot="1">
      <c r="A45" s="97"/>
      <c r="C45" s="576"/>
      <c r="D45" s="74">
        <v>250000</v>
      </c>
      <c r="E45" s="74">
        <v>61000</v>
      </c>
      <c r="F45" s="74">
        <v>174000</v>
      </c>
      <c r="G45" s="74">
        <v>91000</v>
      </c>
      <c r="H45" s="74">
        <v>24000</v>
      </c>
    </row>
    <row r="46" spans="1:9" ht="22.8" thickTop="1">
      <c r="A46" s="97"/>
      <c r="C46" s="575" t="s">
        <v>244</v>
      </c>
      <c r="D46" s="72" t="s">
        <v>231</v>
      </c>
      <c r="E46" s="73" t="s">
        <v>229</v>
      </c>
      <c r="F46" s="72" t="s">
        <v>258</v>
      </c>
      <c r="G46" s="87" t="s">
        <v>455</v>
      </c>
      <c r="H46" s="87" t="s">
        <v>454</v>
      </c>
    </row>
    <row r="47" spans="1:9" ht="18.600000000000001" thickBot="1">
      <c r="A47" s="97"/>
      <c r="C47" s="576"/>
      <c r="D47" s="78">
        <v>57500</v>
      </c>
      <c r="E47" s="78">
        <v>20000</v>
      </c>
      <c r="F47" s="78">
        <v>0</v>
      </c>
      <c r="G47" s="78">
        <v>0</v>
      </c>
      <c r="H47" s="78">
        <v>0</v>
      </c>
    </row>
    <row r="48" spans="1:9" ht="19.2" thickTop="1" thickBot="1">
      <c r="A48" s="97"/>
      <c r="C48" s="110" t="s">
        <v>247</v>
      </c>
      <c r="D48" s="111">
        <f>D45+D47</f>
        <v>307500</v>
      </c>
      <c r="E48" s="112">
        <f t="shared" ref="E48:G48" si="3">E45+E47</f>
        <v>81000</v>
      </c>
      <c r="F48" s="112">
        <f t="shared" si="3"/>
        <v>174000</v>
      </c>
      <c r="G48" s="113">
        <f t="shared" si="3"/>
        <v>91000</v>
      </c>
      <c r="H48" s="113">
        <f>H45+H47</f>
        <v>24000</v>
      </c>
    </row>
    <row r="49" spans="1:8" ht="19.2" thickTop="1" thickBot="1">
      <c r="A49" s="97"/>
      <c r="C49" s="573" t="s">
        <v>255</v>
      </c>
      <c r="D49" s="79" t="s">
        <v>450</v>
      </c>
      <c r="E49" s="80" t="s">
        <v>451</v>
      </c>
      <c r="F49" s="79" t="s">
        <v>452</v>
      </c>
      <c r="G49" s="79" t="s">
        <v>460</v>
      </c>
      <c r="H49" s="69"/>
    </row>
    <row r="50" spans="1:8" ht="18.600000000000001" thickBot="1">
      <c r="A50" s="97"/>
      <c r="C50" s="591"/>
      <c r="D50" s="153">
        <v>19660</v>
      </c>
      <c r="E50" s="80">
        <v>32642</v>
      </c>
      <c r="F50" s="80">
        <v>14370</v>
      </c>
      <c r="G50" s="80">
        <v>29000</v>
      </c>
      <c r="H50" s="69"/>
    </row>
    <row r="51" spans="1:8" ht="18.600000000000001" thickBot="1">
      <c r="A51" s="97"/>
      <c r="C51" s="591"/>
      <c r="D51" s="75"/>
      <c r="E51" s="80"/>
      <c r="F51" s="79"/>
      <c r="G51" s="79"/>
      <c r="H51" s="69"/>
    </row>
    <row r="52" spans="1:8" ht="18.600000000000001" thickBot="1">
      <c r="A52" s="97"/>
      <c r="C52" s="574"/>
      <c r="E52" s="75"/>
      <c r="F52" s="75"/>
      <c r="G52" s="75"/>
      <c r="H52" s="69"/>
    </row>
    <row r="53" spans="1:8" ht="18.600000000000001" thickBot="1">
      <c r="A53" s="97"/>
      <c r="C53" s="147" t="s">
        <v>263</v>
      </c>
      <c r="D53" s="148"/>
      <c r="E53" s="148"/>
      <c r="F53" s="148"/>
      <c r="G53" s="148"/>
      <c r="H53" s="69"/>
    </row>
    <row r="54" spans="1:8" ht="18.600000000000001" thickBot="1">
      <c r="C54" s="587" t="s">
        <v>73</v>
      </c>
      <c r="D54" s="588"/>
      <c r="E54" s="589"/>
      <c r="F54" s="590">
        <f>SUM(D49:G53)</f>
        <v>95672</v>
      </c>
      <c r="G54" s="504"/>
      <c r="H54" s="69"/>
    </row>
    <row r="55" spans="1:8">
      <c r="H55" s="61"/>
    </row>
    <row r="56" spans="1:8">
      <c r="H56" s="61"/>
    </row>
    <row r="57" spans="1:8">
      <c r="H57" s="61"/>
    </row>
    <row r="58" spans="1:8">
      <c r="H58" s="61"/>
    </row>
    <row r="59" spans="1:8">
      <c r="H59" s="61"/>
    </row>
  </sheetData>
  <mergeCells count="15">
    <mergeCell ref="C54:E54"/>
    <mergeCell ref="F54:G54"/>
    <mergeCell ref="A1:B1"/>
    <mergeCell ref="A33:B33"/>
    <mergeCell ref="A34:G34"/>
    <mergeCell ref="C35:E35"/>
    <mergeCell ref="F36:G36"/>
    <mergeCell ref="C37:C38"/>
    <mergeCell ref="F37:G37"/>
    <mergeCell ref="F38:G38"/>
    <mergeCell ref="C39:G39"/>
    <mergeCell ref="C43:G43"/>
    <mergeCell ref="C44:C45"/>
    <mergeCell ref="C46:C47"/>
    <mergeCell ref="C49:C52"/>
  </mergeCells>
  <phoneticPr fontId="1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132A6-49C0-2A40-996C-95108E9D962C}">
  <dimension ref="A1:K55"/>
  <sheetViews>
    <sheetView topLeftCell="A34" zoomScale="101" workbookViewId="0">
      <selection activeCell="C33" sqref="C33"/>
    </sheetView>
  </sheetViews>
  <sheetFormatPr defaultColWidth="10.6328125" defaultRowHeight="17.399999999999999"/>
  <cols>
    <col min="1" max="1" width="3" style="94" customWidth="1"/>
    <col min="2" max="2" width="2.90625" style="61" customWidth="1"/>
    <col min="3" max="3" width="8.08984375" style="61" customWidth="1"/>
    <col min="4" max="4" width="10" style="61" customWidth="1"/>
    <col min="5" max="5" width="8.08984375" style="61" customWidth="1"/>
    <col min="6" max="6" width="3.453125" style="61" customWidth="1"/>
    <col min="7" max="7" width="4.36328125" style="61" customWidth="1"/>
    <col min="8" max="8" width="11.6328125" style="61" customWidth="1"/>
    <col min="9" max="9" width="4.90625" style="61" customWidth="1"/>
    <col min="10" max="10" width="3.36328125" style="128" customWidth="1"/>
    <col min="11" max="16384" width="10.6328125" style="61"/>
  </cols>
  <sheetData>
    <row r="1" spans="1:10" ht="24" customHeigh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133" t="s">
        <v>463</v>
      </c>
      <c r="H1" s="151" t="s">
        <v>464</v>
      </c>
      <c r="I1" s="133" t="s">
        <v>465</v>
      </c>
      <c r="J1" s="138" t="s">
        <v>466</v>
      </c>
    </row>
    <row r="2" spans="1:10" ht="30.9" customHeight="1">
      <c r="A2" s="139">
        <v>45139</v>
      </c>
      <c r="B2" s="140" t="s">
        <v>63</v>
      </c>
      <c r="C2" s="165">
        <v>388063</v>
      </c>
      <c r="D2" s="165">
        <v>91821</v>
      </c>
      <c r="E2" s="165">
        <f>C2-D2</f>
        <v>296242</v>
      </c>
      <c r="F2" s="165">
        <v>-420</v>
      </c>
      <c r="G2" s="165">
        <v>31072</v>
      </c>
      <c r="H2" s="152">
        <f>E2+F2</f>
        <v>295822</v>
      </c>
      <c r="I2" s="165">
        <v>124532</v>
      </c>
      <c r="J2" s="166">
        <v>11</v>
      </c>
    </row>
    <row r="3" spans="1:10" ht="30.9" customHeight="1">
      <c r="A3" s="139">
        <v>45140</v>
      </c>
      <c r="B3" s="140" t="s">
        <v>65</v>
      </c>
      <c r="C3" s="165">
        <v>224971</v>
      </c>
      <c r="D3" s="165">
        <v>350405</v>
      </c>
      <c r="E3" s="165">
        <f t="shared" ref="E3:E32" si="0">C3-D3</f>
        <v>-125434</v>
      </c>
      <c r="F3" s="165">
        <v>-202</v>
      </c>
      <c r="G3" s="165">
        <v>0</v>
      </c>
      <c r="H3" s="152">
        <f>H2+E3+F3</f>
        <v>170186</v>
      </c>
      <c r="I3" s="166">
        <v>0</v>
      </c>
      <c r="J3" s="166">
        <v>0</v>
      </c>
    </row>
    <row r="4" spans="1:10" ht="30.9" customHeight="1">
      <c r="A4" s="139">
        <v>45141</v>
      </c>
      <c r="B4" s="140" t="s">
        <v>54</v>
      </c>
      <c r="C4" s="165">
        <v>208043</v>
      </c>
      <c r="D4" s="165">
        <v>330427</v>
      </c>
      <c r="E4" s="165">
        <f t="shared" si="0"/>
        <v>-122384</v>
      </c>
      <c r="F4" s="165">
        <v>-108</v>
      </c>
      <c r="G4" s="165">
        <v>12412</v>
      </c>
      <c r="H4" s="152">
        <f t="shared" ref="H4:H32" si="1">H3+E4+F4</f>
        <v>47694</v>
      </c>
      <c r="I4" s="165">
        <v>96212</v>
      </c>
      <c r="J4" s="166">
        <v>8</v>
      </c>
    </row>
    <row r="5" spans="1:10" ht="30.9" customHeight="1">
      <c r="A5" s="139">
        <v>45142</v>
      </c>
      <c r="B5" s="144" t="s">
        <v>55</v>
      </c>
      <c r="C5" s="165">
        <v>602364</v>
      </c>
      <c r="D5" s="165">
        <v>355522</v>
      </c>
      <c r="E5" s="165">
        <f t="shared" si="0"/>
        <v>246842</v>
      </c>
      <c r="F5" s="165">
        <v>-417</v>
      </c>
      <c r="G5" s="165">
        <v>26408</v>
      </c>
      <c r="H5" s="152">
        <f t="shared" si="1"/>
        <v>294119</v>
      </c>
      <c r="I5" s="165">
        <v>103472</v>
      </c>
      <c r="J5" s="166">
        <v>7</v>
      </c>
    </row>
    <row r="6" spans="1:10" ht="30.9" customHeight="1">
      <c r="A6" s="139">
        <v>45143</v>
      </c>
      <c r="B6" s="144" t="s">
        <v>57</v>
      </c>
      <c r="C6" s="165">
        <v>464001</v>
      </c>
      <c r="D6" s="165">
        <v>89070</v>
      </c>
      <c r="E6" s="165">
        <f t="shared" si="0"/>
        <v>374931</v>
      </c>
      <c r="F6" s="165">
        <v>-17</v>
      </c>
      <c r="G6" s="165">
        <v>0</v>
      </c>
      <c r="H6" s="152">
        <f t="shared" si="1"/>
        <v>669033</v>
      </c>
      <c r="I6" s="165">
        <v>154763</v>
      </c>
      <c r="J6" s="166">
        <v>8</v>
      </c>
    </row>
    <row r="7" spans="1:10" ht="30.9" customHeight="1">
      <c r="A7" s="139">
        <v>45144</v>
      </c>
      <c r="B7" s="144" t="s">
        <v>59</v>
      </c>
      <c r="C7" s="165">
        <v>288421</v>
      </c>
      <c r="D7" s="165">
        <v>33681</v>
      </c>
      <c r="E7" s="165">
        <f t="shared" si="0"/>
        <v>254740</v>
      </c>
      <c r="F7" s="165">
        <v>-457</v>
      </c>
      <c r="G7" s="165">
        <v>0</v>
      </c>
      <c r="H7" s="152">
        <f t="shared" si="1"/>
        <v>923316</v>
      </c>
      <c r="I7" s="165">
        <v>167530</v>
      </c>
      <c r="J7" s="166">
        <v>18</v>
      </c>
    </row>
    <row r="8" spans="1:10" ht="30.9" customHeight="1">
      <c r="A8" s="139">
        <v>45145</v>
      </c>
      <c r="B8" s="140" t="s">
        <v>61</v>
      </c>
      <c r="C8" s="165">
        <v>232104</v>
      </c>
      <c r="D8" s="165">
        <v>854538</v>
      </c>
      <c r="E8" s="165">
        <f t="shared" si="0"/>
        <v>-622434</v>
      </c>
      <c r="F8" s="165">
        <v>-729</v>
      </c>
      <c r="G8" s="166">
        <v>14272</v>
      </c>
      <c r="H8" s="152">
        <f t="shared" si="1"/>
        <v>300153</v>
      </c>
      <c r="I8" s="165">
        <v>382120</v>
      </c>
      <c r="J8" s="166">
        <v>42</v>
      </c>
    </row>
    <row r="9" spans="1:10" ht="30.9" customHeight="1">
      <c r="A9" s="139">
        <v>45146</v>
      </c>
      <c r="B9" s="140" t="s">
        <v>63</v>
      </c>
      <c r="C9" s="165">
        <v>353798</v>
      </c>
      <c r="D9" s="165">
        <v>197748</v>
      </c>
      <c r="E9" s="165">
        <f t="shared" si="0"/>
        <v>156050</v>
      </c>
      <c r="F9" s="165">
        <v>-477</v>
      </c>
      <c r="G9" s="166">
        <v>12247</v>
      </c>
      <c r="H9" s="152">
        <f t="shared" si="1"/>
        <v>455726</v>
      </c>
      <c r="I9" s="165">
        <v>112403</v>
      </c>
      <c r="J9" s="166">
        <v>6</v>
      </c>
    </row>
    <row r="10" spans="1:10" ht="30.9" customHeight="1">
      <c r="A10" s="139">
        <v>45147</v>
      </c>
      <c r="B10" s="140" t="s">
        <v>65</v>
      </c>
      <c r="C10" s="165">
        <v>277820</v>
      </c>
      <c r="D10" s="165">
        <v>451545</v>
      </c>
      <c r="E10" s="165">
        <f t="shared" si="0"/>
        <v>-173725</v>
      </c>
      <c r="F10" s="165">
        <v>-327</v>
      </c>
      <c r="G10" s="165">
        <v>0</v>
      </c>
      <c r="H10" s="152">
        <f t="shared" si="1"/>
        <v>281674</v>
      </c>
      <c r="I10" s="166">
        <v>0</v>
      </c>
      <c r="J10" s="166">
        <v>0</v>
      </c>
    </row>
    <row r="11" spans="1:10" ht="30.9" customHeight="1">
      <c r="A11" s="139">
        <v>45148</v>
      </c>
      <c r="B11" s="140" t="s">
        <v>54</v>
      </c>
      <c r="C11" s="165">
        <v>516600</v>
      </c>
      <c r="D11" s="165">
        <v>315292</v>
      </c>
      <c r="E11" s="165">
        <f t="shared" si="0"/>
        <v>201308</v>
      </c>
      <c r="F11" s="165">
        <v>-410</v>
      </c>
      <c r="G11" s="165">
        <v>24720</v>
      </c>
      <c r="H11" s="152">
        <f>H10+E11+F11</f>
        <v>482572</v>
      </c>
      <c r="I11" s="165">
        <v>87650</v>
      </c>
      <c r="J11" s="166">
        <v>8</v>
      </c>
    </row>
    <row r="12" spans="1:10" ht="30.9" customHeight="1">
      <c r="A12" s="139">
        <v>45149</v>
      </c>
      <c r="B12" s="144" t="s">
        <v>55</v>
      </c>
      <c r="C12" s="165">
        <v>889181</v>
      </c>
      <c r="D12" s="165">
        <v>215562</v>
      </c>
      <c r="E12" s="165">
        <f t="shared" si="0"/>
        <v>673619</v>
      </c>
      <c r="F12" s="165">
        <v>-472</v>
      </c>
      <c r="G12" s="165">
        <v>10722</v>
      </c>
      <c r="H12" s="152">
        <f t="shared" si="1"/>
        <v>1155719</v>
      </c>
      <c r="I12" s="165">
        <v>254690</v>
      </c>
      <c r="J12" s="166">
        <v>16</v>
      </c>
    </row>
    <row r="13" spans="1:10" ht="30.9" customHeight="1">
      <c r="A13" s="139">
        <v>45150</v>
      </c>
      <c r="B13" s="144" t="s">
        <v>57</v>
      </c>
      <c r="C13" s="165">
        <v>783523</v>
      </c>
      <c r="D13" s="165">
        <v>224503</v>
      </c>
      <c r="E13" s="165">
        <f t="shared" si="0"/>
        <v>559020</v>
      </c>
      <c r="F13" s="165">
        <v>-311</v>
      </c>
      <c r="G13" s="166">
        <v>37489</v>
      </c>
      <c r="H13" s="152">
        <f t="shared" si="1"/>
        <v>1714428</v>
      </c>
      <c r="I13" s="165">
        <v>210320</v>
      </c>
      <c r="J13" s="166">
        <v>15</v>
      </c>
    </row>
    <row r="14" spans="1:10" ht="30.9" customHeight="1">
      <c r="A14" s="139">
        <v>45151</v>
      </c>
      <c r="B14" s="144" t="s">
        <v>59</v>
      </c>
      <c r="C14" s="165">
        <v>370475</v>
      </c>
      <c r="D14" s="165">
        <v>365034</v>
      </c>
      <c r="E14" s="165">
        <f t="shared" si="0"/>
        <v>5441</v>
      </c>
      <c r="F14" s="165">
        <v>-774</v>
      </c>
      <c r="G14" s="165">
        <v>0</v>
      </c>
      <c r="H14" s="152">
        <f t="shared" si="1"/>
        <v>1719095</v>
      </c>
      <c r="I14" s="165">
        <v>186542</v>
      </c>
      <c r="J14" s="166">
        <v>12</v>
      </c>
    </row>
    <row r="15" spans="1:10" ht="30.9" customHeight="1">
      <c r="A15" s="139">
        <v>45152</v>
      </c>
      <c r="B15" s="140" t="s">
        <v>61</v>
      </c>
      <c r="C15" s="165">
        <v>456932</v>
      </c>
      <c r="D15" s="165">
        <v>982251</v>
      </c>
      <c r="E15" s="165">
        <f t="shared" si="0"/>
        <v>-525319</v>
      </c>
      <c r="F15" s="165">
        <v>-702</v>
      </c>
      <c r="G15" s="165">
        <v>17243</v>
      </c>
      <c r="H15" s="152">
        <f t="shared" si="1"/>
        <v>1193074</v>
      </c>
      <c r="I15" s="165">
        <v>423412</v>
      </c>
      <c r="J15" s="166">
        <v>34</v>
      </c>
    </row>
    <row r="16" spans="1:10" ht="30.9" customHeight="1">
      <c r="A16" s="139">
        <v>45153</v>
      </c>
      <c r="B16" s="140" t="s">
        <v>63</v>
      </c>
      <c r="C16" s="165">
        <v>430715</v>
      </c>
      <c r="D16" s="165">
        <v>81780</v>
      </c>
      <c r="E16" s="165">
        <f t="shared" si="0"/>
        <v>348935</v>
      </c>
      <c r="F16" s="165">
        <v>-107</v>
      </c>
      <c r="G16" s="166">
        <v>15205</v>
      </c>
      <c r="H16" s="152">
        <f t="shared" si="1"/>
        <v>1541902</v>
      </c>
      <c r="I16" s="165">
        <v>124328</v>
      </c>
      <c r="J16" s="166">
        <v>10</v>
      </c>
    </row>
    <row r="17" spans="1:10" ht="30.9" customHeight="1">
      <c r="A17" s="139">
        <v>45154</v>
      </c>
      <c r="B17" s="140" t="s">
        <v>65</v>
      </c>
      <c r="C17" s="165">
        <v>463579</v>
      </c>
      <c r="D17" s="165">
        <v>78340</v>
      </c>
      <c r="E17" s="165">
        <f t="shared" si="0"/>
        <v>385239</v>
      </c>
      <c r="F17" s="165">
        <v>0</v>
      </c>
      <c r="G17" s="165">
        <v>45137</v>
      </c>
      <c r="H17" s="152">
        <f t="shared" si="1"/>
        <v>1927141</v>
      </c>
      <c r="I17" s="166">
        <v>0</v>
      </c>
      <c r="J17" s="166">
        <v>0</v>
      </c>
    </row>
    <row r="18" spans="1:10" ht="30.9" customHeight="1">
      <c r="A18" s="139">
        <v>45155</v>
      </c>
      <c r="B18" s="140" t="s">
        <v>54</v>
      </c>
      <c r="C18" s="165">
        <v>296872</v>
      </c>
      <c r="D18" s="165">
        <v>106660</v>
      </c>
      <c r="E18" s="165">
        <f t="shared" si="0"/>
        <v>190212</v>
      </c>
      <c r="F18" s="165">
        <v>0</v>
      </c>
      <c r="G18" s="165">
        <v>8882</v>
      </c>
      <c r="H18" s="152">
        <f t="shared" si="1"/>
        <v>2117353</v>
      </c>
      <c r="I18" s="165">
        <v>192012</v>
      </c>
      <c r="J18" s="166">
        <v>12</v>
      </c>
    </row>
    <row r="19" spans="1:10" ht="30.9" customHeight="1">
      <c r="A19" s="139">
        <v>45156</v>
      </c>
      <c r="B19" s="144" t="s">
        <v>55</v>
      </c>
      <c r="C19" s="165">
        <v>584882</v>
      </c>
      <c r="D19" s="165">
        <v>768292</v>
      </c>
      <c r="E19" s="165">
        <f t="shared" si="0"/>
        <v>-183410</v>
      </c>
      <c r="F19" s="165">
        <v>0</v>
      </c>
      <c r="G19" s="166">
        <v>38477</v>
      </c>
      <c r="H19" s="152">
        <f t="shared" si="1"/>
        <v>1933943</v>
      </c>
      <c r="I19" s="165">
        <v>186312</v>
      </c>
      <c r="J19" s="166">
        <v>14</v>
      </c>
    </row>
    <row r="20" spans="1:10" ht="30.9" customHeight="1">
      <c r="A20" s="139">
        <v>45157</v>
      </c>
      <c r="B20" s="144" t="s">
        <v>57</v>
      </c>
      <c r="C20" s="165">
        <v>445331</v>
      </c>
      <c r="D20" s="165">
        <v>888408</v>
      </c>
      <c r="E20" s="165">
        <f t="shared" si="0"/>
        <v>-443077</v>
      </c>
      <c r="F20" s="165">
        <v>0</v>
      </c>
      <c r="G20" s="165">
        <v>12712</v>
      </c>
      <c r="H20" s="152">
        <f t="shared" si="1"/>
        <v>1490866</v>
      </c>
      <c r="I20" s="165">
        <v>146312</v>
      </c>
      <c r="J20" s="166">
        <v>11</v>
      </c>
    </row>
    <row r="21" spans="1:10" ht="30.9" customHeight="1">
      <c r="A21" s="139">
        <v>45158</v>
      </c>
      <c r="B21" s="144" t="s">
        <v>59</v>
      </c>
      <c r="C21" s="165">
        <v>240602</v>
      </c>
      <c r="D21" s="165">
        <v>755010</v>
      </c>
      <c r="E21" s="165">
        <f t="shared" si="0"/>
        <v>-514408</v>
      </c>
      <c r="F21" s="165">
        <v>0</v>
      </c>
      <c r="G21" s="165">
        <v>0</v>
      </c>
      <c r="H21" s="152">
        <f t="shared" si="1"/>
        <v>976458</v>
      </c>
      <c r="I21" s="165">
        <v>78932</v>
      </c>
      <c r="J21" s="166">
        <v>8</v>
      </c>
    </row>
    <row r="22" spans="1:10" ht="30.9" customHeight="1">
      <c r="A22" s="139">
        <v>45159</v>
      </c>
      <c r="B22" s="140" t="s">
        <v>61</v>
      </c>
      <c r="C22" s="165">
        <v>269988</v>
      </c>
      <c r="D22" s="165">
        <v>302465</v>
      </c>
      <c r="E22" s="165">
        <f t="shared" si="0"/>
        <v>-32477</v>
      </c>
      <c r="F22" s="165">
        <v>0</v>
      </c>
      <c r="G22" s="166">
        <v>30904</v>
      </c>
      <c r="H22" s="152">
        <f t="shared" si="1"/>
        <v>943981</v>
      </c>
      <c r="I22" s="165">
        <v>321267</v>
      </c>
      <c r="J22" s="166">
        <v>34</v>
      </c>
    </row>
    <row r="23" spans="1:10" ht="30.9" customHeight="1">
      <c r="A23" s="139">
        <v>45160</v>
      </c>
      <c r="B23" s="140" t="s">
        <v>63</v>
      </c>
      <c r="C23" s="165">
        <v>320194</v>
      </c>
      <c r="D23" s="165">
        <v>115580</v>
      </c>
      <c r="E23" s="165">
        <f t="shared" si="0"/>
        <v>204614</v>
      </c>
      <c r="F23" s="165">
        <v>100</v>
      </c>
      <c r="G23" s="165">
        <v>12720</v>
      </c>
      <c r="H23" s="152">
        <f t="shared" si="1"/>
        <v>1148695</v>
      </c>
      <c r="I23" s="165">
        <v>182712</v>
      </c>
      <c r="J23" s="166">
        <v>11</v>
      </c>
    </row>
    <row r="24" spans="1:10" ht="30.9" customHeight="1">
      <c r="A24" s="139">
        <v>45161</v>
      </c>
      <c r="B24" s="140" t="s">
        <v>65</v>
      </c>
      <c r="C24" s="165">
        <v>227495</v>
      </c>
      <c r="D24" s="165">
        <v>268780</v>
      </c>
      <c r="E24" s="165">
        <f t="shared" si="0"/>
        <v>-41285</v>
      </c>
      <c r="F24" s="165">
        <v>-17</v>
      </c>
      <c r="G24" s="166">
        <v>0</v>
      </c>
      <c r="H24" s="152">
        <f t="shared" si="1"/>
        <v>1107393</v>
      </c>
      <c r="I24" s="166">
        <v>0</v>
      </c>
      <c r="J24" s="166">
        <v>0</v>
      </c>
    </row>
    <row r="25" spans="1:10" ht="30.9" customHeight="1">
      <c r="A25" s="139">
        <v>45162</v>
      </c>
      <c r="B25" s="140" t="s">
        <v>54</v>
      </c>
      <c r="C25" s="165">
        <v>320540</v>
      </c>
      <c r="D25" s="165">
        <v>191482</v>
      </c>
      <c r="E25" s="165">
        <f t="shared" si="0"/>
        <v>129058</v>
      </c>
      <c r="F25" s="165">
        <v>-26</v>
      </c>
      <c r="G25" s="165">
        <v>42160</v>
      </c>
      <c r="H25" s="152">
        <f t="shared" si="1"/>
        <v>1236425</v>
      </c>
      <c r="I25" s="165">
        <v>65901</v>
      </c>
      <c r="J25" s="166">
        <v>7</v>
      </c>
    </row>
    <row r="26" spans="1:10" ht="30.9" customHeight="1">
      <c r="A26" s="139">
        <v>45163</v>
      </c>
      <c r="B26" s="144" t="s">
        <v>55</v>
      </c>
      <c r="C26" s="165">
        <v>870189</v>
      </c>
      <c r="D26" s="165">
        <v>590164</v>
      </c>
      <c r="E26" s="165">
        <f t="shared" si="0"/>
        <v>280025</v>
      </c>
      <c r="F26" s="165">
        <v>-3</v>
      </c>
      <c r="G26" s="166">
        <v>22711</v>
      </c>
      <c r="H26" s="152">
        <f t="shared" si="1"/>
        <v>1516447</v>
      </c>
      <c r="I26" s="165">
        <v>234518</v>
      </c>
      <c r="J26" s="166">
        <v>16</v>
      </c>
    </row>
    <row r="27" spans="1:10" ht="30.9" customHeight="1">
      <c r="A27" s="139">
        <v>45164</v>
      </c>
      <c r="B27" s="144" t="s">
        <v>57</v>
      </c>
      <c r="C27" s="165">
        <v>584302</v>
      </c>
      <c r="D27" s="165">
        <v>258720</v>
      </c>
      <c r="E27" s="165">
        <f t="shared" si="0"/>
        <v>325582</v>
      </c>
      <c r="F27" s="165">
        <v>-42</v>
      </c>
      <c r="G27" s="165">
        <v>28802</v>
      </c>
      <c r="H27" s="152">
        <f t="shared" si="1"/>
        <v>1841987</v>
      </c>
      <c r="I27" s="165">
        <v>154302</v>
      </c>
      <c r="J27" s="166">
        <v>12</v>
      </c>
    </row>
    <row r="28" spans="1:10" ht="30.9" customHeight="1">
      <c r="A28" s="139">
        <v>45165</v>
      </c>
      <c r="B28" s="144" t="s">
        <v>59</v>
      </c>
      <c r="C28" s="165">
        <v>586819</v>
      </c>
      <c r="D28" s="165">
        <v>839672</v>
      </c>
      <c r="E28" s="165">
        <f t="shared" si="0"/>
        <v>-252853</v>
      </c>
      <c r="F28" s="165">
        <v>12</v>
      </c>
      <c r="G28" s="165">
        <v>0</v>
      </c>
      <c r="H28" s="152">
        <f t="shared" si="1"/>
        <v>1589146</v>
      </c>
      <c r="I28" s="165">
        <v>183621</v>
      </c>
      <c r="J28" s="166">
        <v>12</v>
      </c>
    </row>
    <row r="29" spans="1:10" ht="30.9" customHeight="1">
      <c r="A29" s="139">
        <v>45166</v>
      </c>
      <c r="B29" s="140" t="s">
        <v>61</v>
      </c>
      <c r="C29" s="165">
        <v>239366</v>
      </c>
      <c r="D29" s="165">
        <v>302670</v>
      </c>
      <c r="E29" s="165">
        <f t="shared" si="0"/>
        <v>-63304</v>
      </c>
      <c r="F29" s="165">
        <v>0</v>
      </c>
      <c r="G29" s="165">
        <v>27720</v>
      </c>
      <c r="H29" s="152">
        <f t="shared" si="1"/>
        <v>1525842</v>
      </c>
      <c r="I29" s="165">
        <v>532102</v>
      </c>
      <c r="J29" s="166">
        <v>44</v>
      </c>
    </row>
    <row r="30" spans="1:10" ht="30.9" customHeight="1">
      <c r="A30" s="139">
        <v>45167</v>
      </c>
      <c r="B30" s="140" t="s">
        <v>63</v>
      </c>
      <c r="C30" s="165">
        <v>219358</v>
      </c>
      <c r="D30" s="165">
        <v>195331</v>
      </c>
      <c r="E30" s="165">
        <f t="shared" si="0"/>
        <v>24027</v>
      </c>
      <c r="F30" s="165">
        <v>-12</v>
      </c>
      <c r="G30" s="166">
        <v>40007</v>
      </c>
      <c r="H30" s="152">
        <f t="shared" si="1"/>
        <v>1549857</v>
      </c>
      <c r="I30" s="165">
        <v>117621</v>
      </c>
      <c r="J30" s="166">
        <v>10</v>
      </c>
    </row>
    <row r="31" spans="1:10" ht="30.9" customHeight="1">
      <c r="A31" s="139">
        <v>45168</v>
      </c>
      <c r="B31" s="140" t="s">
        <v>65</v>
      </c>
      <c r="C31" s="165">
        <v>245142</v>
      </c>
      <c r="D31" s="165">
        <v>224636</v>
      </c>
      <c r="E31" s="165">
        <f t="shared" si="0"/>
        <v>20506</v>
      </c>
      <c r="F31" s="165">
        <v>-7</v>
      </c>
      <c r="G31" s="165">
        <v>0</v>
      </c>
      <c r="H31" s="152">
        <f t="shared" si="1"/>
        <v>1570356</v>
      </c>
      <c r="I31" s="166">
        <v>0</v>
      </c>
      <c r="J31" s="166">
        <v>0</v>
      </c>
    </row>
    <row r="32" spans="1:10" ht="30.9" customHeight="1">
      <c r="A32" s="139">
        <v>45169</v>
      </c>
      <c r="B32" s="140" t="s">
        <v>54</v>
      </c>
      <c r="C32" s="166">
        <v>357172</v>
      </c>
      <c r="D32" s="165">
        <v>329850</v>
      </c>
      <c r="E32" s="165">
        <f t="shared" si="0"/>
        <v>27322</v>
      </c>
      <c r="F32" s="165">
        <v>-9</v>
      </c>
      <c r="G32" s="165">
        <v>47720</v>
      </c>
      <c r="H32" s="152">
        <f t="shared" si="1"/>
        <v>1597669</v>
      </c>
      <c r="I32" s="166">
        <v>192320</v>
      </c>
      <c r="J32" s="167">
        <v>17</v>
      </c>
    </row>
    <row r="33" spans="1:11" ht="45" customHeight="1" thickBot="1">
      <c r="A33" s="476" t="s">
        <v>247</v>
      </c>
      <c r="B33" s="477"/>
      <c r="C33" s="145">
        <f>SUM(C2:C32)</f>
        <v>12758842</v>
      </c>
      <c r="D33" s="145">
        <f>SUM(D2:D32)</f>
        <v>11155239</v>
      </c>
      <c r="E33" s="145">
        <f>SUM(E2:E32)</f>
        <v>1603603</v>
      </c>
      <c r="F33" s="145">
        <f>SUM(F2:F32)</f>
        <v>-5934</v>
      </c>
      <c r="G33" s="145">
        <f>SUM(G2:G32)</f>
        <v>559742</v>
      </c>
      <c r="H33" s="145">
        <f>H32</f>
        <v>1597669</v>
      </c>
      <c r="I33" s="145">
        <f>SUM(I2:I32)</f>
        <v>5015906</v>
      </c>
      <c r="J33" s="146">
        <f>SUM(J2:J32)</f>
        <v>403</v>
      </c>
    </row>
    <row r="34" spans="1:11" ht="18.600000000000001" thickBot="1">
      <c r="A34" s="502" t="s">
        <v>248</v>
      </c>
      <c r="B34" s="503"/>
      <c r="C34" s="503"/>
      <c r="D34" s="503"/>
      <c r="E34" s="503"/>
      <c r="F34" s="503"/>
      <c r="G34" s="503"/>
      <c r="H34" s="503"/>
      <c r="I34" s="504"/>
      <c r="J34" s="127"/>
      <c r="K34" s="69"/>
    </row>
    <row r="35" spans="1:11" ht="18">
      <c r="A35" s="95"/>
      <c r="B35" s="81"/>
      <c r="C35" s="478" t="s">
        <v>249</v>
      </c>
      <c r="D35" s="479"/>
      <c r="E35" s="479"/>
      <c r="F35" s="479"/>
      <c r="G35" s="479"/>
      <c r="H35" s="479"/>
      <c r="I35" s="480"/>
      <c r="J35" s="61"/>
    </row>
    <row r="36" spans="1:11" ht="18">
      <c r="A36" s="95"/>
      <c r="B36" s="81"/>
      <c r="C36" s="105" t="s">
        <v>247</v>
      </c>
      <c r="D36" s="71" t="s">
        <v>251</v>
      </c>
      <c r="E36" s="134" t="s">
        <v>252</v>
      </c>
      <c r="F36" s="610" t="s">
        <v>449</v>
      </c>
      <c r="G36" s="611"/>
      <c r="H36" s="481" t="s">
        <v>415</v>
      </c>
      <c r="I36" s="481"/>
      <c r="J36" s="61"/>
    </row>
    <row r="37" spans="1:11" ht="19.2">
      <c r="A37" s="95"/>
      <c r="B37" s="81"/>
      <c r="C37" s="484">
        <f>C33</f>
        <v>12758842</v>
      </c>
      <c r="D37" s="90">
        <f>G33</f>
        <v>559742</v>
      </c>
      <c r="E37" s="135">
        <f>I33</f>
        <v>5015906</v>
      </c>
      <c r="F37" s="612">
        <f>F33</f>
        <v>-5934</v>
      </c>
      <c r="G37" s="613"/>
      <c r="H37" s="486">
        <v>48431</v>
      </c>
      <c r="I37" s="486"/>
      <c r="J37" s="61"/>
    </row>
    <row r="38" spans="1:11" ht="19.8" thickBot="1">
      <c r="A38" s="95"/>
      <c r="B38" s="81"/>
      <c r="C38" s="485"/>
      <c r="D38" s="98">
        <f>D37/C37</f>
        <v>4.3870909287849161E-2</v>
      </c>
      <c r="E38" s="136">
        <f>E37/C37</f>
        <v>0.3931317591361348</v>
      </c>
      <c r="F38" s="614">
        <f>F37/C37</f>
        <v>-4.6508922988465566E-4</v>
      </c>
      <c r="G38" s="615"/>
      <c r="H38" s="487">
        <f>H37/C37</f>
        <v>3.7958774001590426E-3</v>
      </c>
      <c r="I38" s="487"/>
      <c r="J38" s="61"/>
      <c r="K38" s="69"/>
    </row>
    <row r="39" spans="1:11" ht="21" customHeight="1" thickBot="1">
      <c r="A39" s="95"/>
      <c r="B39" s="81"/>
      <c r="C39" s="488" t="s">
        <v>250</v>
      </c>
      <c r="D39" s="489"/>
      <c r="E39" s="489"/>
      <c r="F39" s="489"/>
      <c r="G39" s="489"/>
      <c r="H39" s="490"/>
      <c r="I39" s="491"/>
      <c r="J39" s="61"/>
      <c r="K39" s="69"/>
    </row>
    <row r="40" spans="1:11" ht="23.1" customHeight="1" thickTop="1">
      <c r="A40" s="95"/>
      <c r="B40" s="81"/>
      <c r="C40" s="100" t="s">
        <v>241</v>
      </c>
      <c r="D40" s="72" t="s">
        <v>253</v>
      </c>
      <c r="E40" s="171" t="s">
        <v>255</v>
      </c>
      <c r="F40" s="481" t="s">
        <v>469</v>
      </c>
      <c r="G40" s="481"/>
      <c r="H40" s="492" t="s">
        <v>247</v>
      </c>
      <c r="I40" s="493"/>
      <c r="J40" s="61"/>
      <c r="K40" s="69"/>
    </row>
    <row r="41" spans="1:11" ht="18.600000000000001" thickBot="1">
      <c r="A41" s="95"/>
      <c r="B41" s="81"/>
      <c r="C41" s="101">
        <f>D33</f>
        <v>11155239</v>
      </c>
      <c r="D41" s="102">
        <f>F48</f>
        <v>826896</v>
      </c>
      <c r="E41" s="172">
        <f>F50</f>
        <v>30444</v>
      </c>
      <c r="F41" s="592">
        <f>D37*0.065</f>
        <v>36383.230000000003</v>
      </c>
      <c r="G41" s="592"/>
      <c r="H41" s="494">
        <f>SUM(C41:G41)</f>
        <v>12048962.23</v>
      </c>
      <c r="I41" s="495"/>
      <c r="J41" s="61"/>
      <c r="K41" s="69"/>
    </row>
    <row r="42" spans="1:11" ht="29.1" customHeight="1" thickBot="1">
      <c r="A42" s="96"/>
      <c r="B42" s="84"/>
      <c r="C42" s="108" t="s">
        <v>266</v>
      </c>
      <c r="D42" s="496">
        <f>C37-H37-H41</f>
        <v>661448.76999999955</v>
      </c>
      <c r="E42" s="497"/>
      <c r="F42" s="497"/>
      <c r="G42" s="497"/>
      <c r="H42" s="498"/>
      <c r="I42" s="499"/>
      <c r="J42" s="69"/>
    </row>
    <row r="43" spans="1:11" ht="15" customHeight="1" thickBot="1">
      <c r="A43" s="96"/>
      <c r="B43" s="84"/>
      <c r="C43" s="584" t="s">
        <v>257</v>
      </c>
      <c r="D43" s="584"/>
      <c r="E43" s="584"/>
      <c r="F43" s="584"/>
      <c r="G43" s="584"/>
      <c r="H43" s="584"/>
      <c r="I43" s="585"/>
      <c r="J43" s="69"/>
    </row>
    <row r="44" spans="1:11" ht="18.600000000000001" thickTop="1">
      <c r="A44" s="97"/>
      <c r="C44" s="575" t="s">
        <v>253</v>
      </c>
      <c r="D44" s="72" t="s">
        <v>231</v>
      </c>
      <c r="E44" s="72" t="s">
        <v>453</v>
      </c>
      <c r="F44" s="604" t="s">
        <v>230</v>
      </c>
      <c r="G44" s="605"/>
      <c r="H44" s="72" t="s">
        <v>455</v>
      </c>
      <c r="I44" s="604" t="s">
        <v>467</v>
      </c>
      <c r="J44" s="606"/>
    </row>
    <row r="45" spans="1:11" ht="18.600000000000001" thickBot="1">
      <c r="A45" s="97"/>
      <c r="C45" s="576"/>
      <c r="D45" s="74">
        <v>250000</v>
      </c>
      <c r="E45" s="74">
        <v>39900</v>
      </c>
      <c r="F45" s="594">
        <v>192500</v>
      </c>
      <c r="G45" s="595"/>
      <c r="H45" s="74">
        <v>132300</v>
      </c>
      <c r="I45" s="594">
        <v>23100</v>
      </c>
      <c r="J45" s="595"/>
    </row>
    <row r="46" spans="1:11" ht="18.600000000000001" thickTop="1">
      <c r="A46" s="97"/>
      <c r="C46" s="575" t="s">
        <v>244</v>
      </c>
      <c r="D46" s="72" t="s">
        <v>231</v>
      </c>
      <c r="E46" s="72" t="s">
        <v>453</v>
      </c>
      <c r="F46" s="607" t="s">
        <v>468</v>
      </c>
      <c r="G46" s="608"/>
      <c r="H46" s="604" t="s">
        <v>460</v>
      </c>
      <c r="I46" s="609"/>
      <c r="J46" s="606"/>
    </row>
    <row r="47" spans="1:11" ht="18.600000000000001" thickBot="1">
      <c r="A47" s="97"/>
      <c r="C47" s="576"/>
      <c r="D47" s="78">
        <v>137896</v>
      </c>
      <c r="E47" s="78">
        <v>20000</v>
      </c>
      <c r="F47" s="594">
        <v>15200</v>
      </c>
      <c r="G47" s="595"/>
      <c r="H47" s="594">
        <v>16000</v>
      </c>
      <c r="I47" s="596"/>
      <c r="J47" s="595"/>
    </row>
    <row r="48" spans="1:11" ht="19.2" thickTop="1" thickBot="1">
      <c r="A48" s="97"/>
      <c r="C48" s="110" t="s">
        <v>247</v>
      </c>
      <c r="D48" s="111">
        <f>D45+D47</f>
        <v>387896</v>
      </c>
      <c r="E48" s="168">
        <f>E45+E47</f>
        <v>59900</v>
      </c>
      <c r="F48" s="597">
        <f>SUM(D48,E48,F45:J45,F47:J47)</f>
        <v>826896</v>
      </c>
      <c r="G48" s="598"/>
      <c r="H48" s="598"/>
      <c r="I48" s="598"/>
      <c r="J48" s="599"/>
    </row>
    <row r="49" spans="1:10" ht="19.2" thickTop="1" thickBot="1">
      <c r="A49" s="97"/>
      <c r="C49" s="573" t="s">
        <v>255</v>
      </c>
      <c r="D49" s="169" t="s">
        <v>450</v>
      </c>
      <c r="E49" s="169" t="s">
        <v>3</v>
      </c>
      <c r="F49" s="600" t="s">
        <v>247</v>
      </c>
      <c r="G49" s="601"/>
      <c r="H49" s="601"/>
      <c r="I49" s="602"/>
      <c r="J49" s="69"/>
    </row>
    <row r="50" spans="1:10" ht="18.899999999999999" customHeight="1" thickBot="1">
      <c r="A50" s="97"/>
      <c r="C50" s="593"/>
      <c r="D50" s="170">
        <v>20620</v>
      </c>
      <c r="E50" s="170">
        <v>9824</v>
      </c>
      <c r="F50" s="603">
        <f>SUM(D50:E50)</f>
        <v>30444</v>
      </c>
      <c r="G50" s="481"/>
      <c r="H50" s="481"/>
      <c r="I50" s="481"/>
      <c r="J50" s="69"/>
    </row>
    <row r="51" spans="1:10">
      <c r="J51" s="61"/>
    </row>
    <row r="52" spans="1:10">
      <c r="J52" s="61"/>
    </row>
    <row r="53" spans="1:10">
      <c r="J53" s="61"/>
    </row>
    <row r="54" spans="1:10">
      <c r="J54" s="61"/>
    </row>
    <row r="55" spans="1:10">
      <c r="J55" s="61"/>
    </row>
  </sheetData>
  <mergeCells count="32">
    <mergeCell ref="A1:B1"/>
    <mergeCell ref="A33:B33"/>
    <mergeCell ref="A34:I34"/>
    <mergeCell ref="H36:I36"/>
    <mergeCell ref="C37:C38"/>
    <mergeCell ref="H37:I37"/>
    <mergeCell ref="H38:I38"/>
    <mergeCell ref="F36:G36"/>
    <mergeCell ref="F37:G37"/>
    <mergeCell ref="C35:I35"/>
    <mergeCell ref="F38:G38"/>
    <mergeCell ref="D42:I42"/>
    <mergeCell ref="C43:I43"/>
    <mergeCell ref="C44:C45"/>
    <mergeCell ref="C46:C47"/>
    <mergeCell ref="C49:C50"/>
    <mergeCell ref="F47:G47"/>
    <mergeCell ref="H47:J47"/>
    <mergeCell ref="F48:J48"/>
    <mergeCell ref="F49:I49"/>
    <mergeCell ref="F50:I50"/>
    <mergeCell ref="F44:G44"/>
    <mergeCell ref="F45:G45"/>
    <mergeCell ref="I44:J44"/>
    <mergeCell ref="F46:G46"/>
    <mergeCell ref="I45:J45"/>
    <mergeCell ref="H46:J46"/>
    <mergeCell ref="C39:I39"/>
    <mergeCell ref="F40:G40"/>
    <mergeCell ref="F41:G41"/>
    <mergeCell ref="H40:I40"/>
    <mergeCell ref="H41:I41"/>
  </mergeCells>
  <phoneticPr fontId="1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77F1-1835-4B45-8C50-50F0E0C49C46}">
  <dimension ref="A1:N50"/>
  <sheetViews>
    <sheetView topLeftCell="B25" zoomScaleNormal="100" workbookViewId="0">
      <selection activeCell="F38" sqref="F38:G38"/>
    </sheetView>
  </sheetViews>
  <sheetFormatPr defaultColWidth="10.6328125" defaultRowHeight="18"/>
  <cols>
    <col min="1" max="1" width="3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8" style="69" customWidth="1"/>
    <col min="7" max="7" width="8.90625" style="69" customWidth="1"/>
    <col min="8" max="8" width="14.08984375" style="69" customWidth="1"/>
    <col min="9" max="14" width="11.453125" style="69" customWidth="1"/>
    <col min="15" max="16384" width="10.6328125" style="69"/>
  </cols>
  <sheetData>
    <row r="1" spans="1:14" ht="24" customHeight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133" t="s">
        <v>463</v>
      </c>
      <c r="H1" s="151" t="s">
        <v>464</v>
      </c>
      <c r="I1" s="502" t="s">
        <v>248</v>
      </c>
      <c r="J1" s="503"/>
      <c r="K1" s="503"/>
      <c r="L1" s="503"/>
      <c r="M1" s="503"/>
      <c r="N1" s="504"/>
    </row>
    <row r="2" spans="1:14" ht="30.9" customHeight="1">
      <c r="A2" s="176">
        <v>45170</v>
      </c>
      <c r="B2" s="178" t="s">
        <v>473</v>
      </c>
      <c r="C2" s="183">
        <v>789961</v>
      </c>
      <c r="D2" s="183">
        <v>385993</v>
      </c>
      <c r="E2" s="183">
        <f>C2-D2</f>
        <v>403968</v>
      </c>
      <c r="F2" s="183">
        <v>-1277</v>
      </c>
      <c r="G2" s="183">
        <v>42107</v>
      </c>
      <c r="H2" s="184">
        <f>E2+F2</f>
        <v>402691</v>
      </c>
      <c r="I2" s="478" t="s">
        <v>249</v>
      </c>
      <c r="J2" s="479"/>
      <c r="K2" s="479"/>
      <c r="L2" s="479"/>
      <c r="M2" s="479"/>
      <c r="N2" s="480"/>
    </row>
    <row r="3" spans="1:14" ht="30.9" customHeight="1">
      <c r="A3" s="176">
        <v>45171</v>
      </c>
      <c r="B3" s="178" t="s">
        <v>474</v>
      </c>
      <c r="C3" s="183">
        <v>721899</v>
      </c>
      <c r="D3" s="183">
        <v>127640</v>
      </c>
      <c r="E3" s="183">
        <f t="shared" ref="E3:E32" si="0">C3-D3</f>
        <v>594259</v>
      </c>
      <c r="F3" s="183">
        <v>-732</v>
      </c>
      <c r="G3" s="183">
        <v>21272</v>
      </c>
      <c r="H3" s="184">
        <f>H2+E3+F3</f>
        <v>996218</v>
      </c>
      <c r="I3" s="105" t="s">
        <v>247</v>
      </c>
      <c r="J3" s="71" t="s">
        <v>251</v>
      </c>
      <c r="K3" s="134" t="s">
        <v>252</v>
      </c>
      <c r="L3" s="134" t="s">
        <v>449</v>
      </c>
      <c r="M3" s="481" t="s">
        <v>415</v>
      </c>
      <c r="N3" s="481"/>
    </row>
    <row r="4" spans="1:14" ht="30.9" customHeight="1">
      <c r="A4" s="176">
        <v>45172</v>
      </c>
      <c r="B4" s="178" t="s">
        <v>475</v>
      </c>
      <c r="C4" s="183">
        <v>485112</v>
      </c>
      <c r="D4" s="183">
        <v>297015</v>
      </c>
      <c r="E4" s="183">
        <f t="shared" si="0"/>
        <v>188097</v>
      </c>
      <c r="F4" s="183">
        <v>0</v>
      </c>
      <c r="G4" s="183">
        <v>0</v>
      </c>
      <c r="H4" s="184">
        <f t="shared" ref="H4:H32" si="1">H3+E4+F4</f>
        <v>1184315</v>
      </c>
      <c r="I4" s="484">
        <f>C33</f>
        <v>13789456</v>
      </c>
      <c r="J4" s="90">
        <f>G33</f>
        <v>411948</v>
      </c>
      <c r="K4" s="135"/>
      <c r="L4" s="135">
        <f>F33</f>
        <v>-4407</v>
      </c>
      <c r="M4" s="486">
        <v>25586</v>
      </c>
      <c r="N4" s="486"/>
    </row>
    <row r="5" spans="1:14" ht="30.9" customHeight="1" thickBot="1">
      <c r="A5" s="176">
        <v>45173</v>
      </c>
      <c r="B5" s="177" t="s">
        <v>476</v>
      </c>
      <c r="C5" s="183">
        <v>177354</v>
      </c>
      <c r="D5" s="183">
        <v>52514</v>
      </c>
      <c r="E5" s="183">
        <f t="shared" si="0"/>
        <v>124840</v>
      </c>
      <c r="F5" s="183">
        <v>0</v>
      </c>
      <c r="G5" s="183">
        <v>0</v>
      </c>
      <c r="H5" s="184">
        <f t="shared" si="1"/>
        <v>1309155</v>
      </c>
      <c r="I5" s="485"/>
      <c r="J5" s="98">
        <f>J4/I4</f>
        <v>2.9874129914914699E-2</v>
      </c>
      <c r="K5" s="136">
        <f>K4/I4</f>
        <v>0</v>
      </c>
      <c r="L5" s="173">
        <f>L4/I4</f>
        <v>-3.1959201291189443E-4</v>
      </c>
      <c r="M5" s="487">
        <f>M4/I4</f>
        <v>1.8554756619840551E-3</v>
      </c>
      <c r="N5" s="487"/>
    </row>
    <row r="6" spans="1:14" ht="30.9" customHeight="1" thickBot="1">
      <c r="A6" s="176">
        <v>45174</v>
      </c>
      <c r="B6" s="177" t="s">
        <v>470</v>
      </c>
      <c r="C6" s="183">
        <v>321907</v>
      </c>
      <c r="D6" s="183">
        <v>964213</v>
      </c>
      <c r="E6" s="183">
        <f t="shared" si="0"/>
        <v>-642306</v>
      </c>
      <c r="F6" s="183">
        <v>0</v>
      </c>
      <c r="G6" s="183">
        <v>0</v>
      </c>
      <c r="H6" s="184">
        <f t="shared" si="1"/>
        <v>666849</v>
      </c>
      <c r="I6" s="488" t="s">
        <v>250</v>
      </c>
      <c r="J6" s="489"/>
      <c r="K6" s="489"/>
      <c r="L6" s="489"/>
      <c r="M6" s="490"/>
      <c r="N6" s="491"/>
    </row>
    <row r="7" spans="1:14" ht="30.9" customHeight="1" thickTop="1">
      <c r="A7" s="176">
        <v>45175</v>
      </c>
      <c r="B7" s="177" t="s">
        <v>471</v>
      </c>
      <c r="C7" s="183">
        <v>320086</v>
      </c>
      <c r="D7" s="183">
        <v>185957</v>
      </c>
      <c r="E7" s="183">
        <f t="shared" si="0"/>
        <v>134129</v>
      </c>
      <c r="F7" s="183">
        <v>0</v>
      </c>
      <c r="G7" s="183">
        <v>0</v>
      </c>
      <c r="H7" s="184">
        <f t="shared" si="1"/>
        <v>800978</v>
      </c>
      <c r="I7" s="100" t="s">
        <v>241</v>
      </c>
      <c r="J7" s="72" t="s">
        <v>253</v>
      </c>
      <c r="K7" s="171" t="s">
        <v>255</v>
      </c>
      <c r="L7" s="71" t="s">
        <v>469</v>
      </c>
      <c r="M7" s="492" t="s">
        <v>247</v>
      </c>
      <c r="N7" s="493"/>
    </row>
    <row r="8" spans="1:14" ht="30.9" customHeight="1" thickBot="1">
      <c r="A8" s="176">
        <v>45176</v>
      </c>
      <c r="B8" s="177" t="s">
        <v>472</v>
      </c>
      <c r="C8" s="183">
        <v>281528</v>
      </c>
      <c r="D8" s="183">
        <v>501081</v>
      </c>
      <c r="E8" s="183">
        <f t="shared" si="0"/>
        <v>-219553</v>
      </c>
      <c r="F8" s="183">
        <v>-270</v>
      </c>
      <c r="G8" s="183">
        <v>14720</v>
      </c>
      <c r="H8" s="184">
        <f t="shared" si="1"/>
        <v>581155</v>
      </c>
      <c r="I8" s="101">
        <f>D33</f>
        <v>11249226</v>
      </c>
      <c r="J8" s="102">
        <f>L16</f>
        <v>799650</v>
      </c>
      <c r="K8" s="172">
        <f>N19</f>
        <v>87407</v>
      </c>
      <c r="L8" s="175">
        <f>J4*0.065</f>
        <v>26776.620000000003</v>
      </c>
      <c r="M8" s="494">
        <f>SUM(I8:L8)</f>
        <v>12163059.619999999</v>
      </c>
      <c r="N8" s="495"/>
    </row>
    <row r="9" spans="1:14" ht="30.9" customHeight="1" thickBot="1">
      <c r="A9" s="176">
        <v>45177</v>
      </c>
      <c r="B9" s="178" t="s">
        <v>485</v>
      </c>
      <c r="C9" s="183">
        <v>687907</v>
      </c>
      <c r="D9" s="183">
        <v>434680</v>
      </c>
      <c r="E9" s="183">
        <f t="shared" si="0"/>
        <v>253227</v>
      </c>
      <c r="F9" s="183">
        <v>-14</v>
      </c>
      <c r="G9" s="183">
        <v>0</v>
      </c>
      <c r="H9" s="184">
        <f t="shared" si="1"/>
        <v>834368</v>
      </c>
      <c r="I9" s="108" t="s">
        <v>266</v>
      </c>
      <c r="J9" s="496">
        <f>I4-M8-M4</f>
        <v>1600810.3800000008</v>
      </c>
      <c r="K9" s="497"/>
      <c r="L9" s="497"/>
      <c r="M9" s="498"/>
      <c r="N9" s="499"/>
    </row>
    <row r="10" spans="1:14" ht="30.9" customHeight="1">
      <c r="A10" s="176">
        <v>45178</v>
      </c>
      <c r="B10" s="178" t="s">
        <v>486</v>
      </c>
      <c r="C10" s="183">
        <v>607769</v>
      </c>
      <c r="D10" s="183">
        <v>384991</v>
      </c>
      <c r="E10" s="183">
        <f t="shared" si="0"/>
        <v>222778</v>
      </c>
      <c r="F10" s="183">
        <v>10</v>
      </c>
      <c r="G10" s="183">
        <v>0</v>
      </c>
      <c r="H10" s="184">
        <f t="shared" si="1"/>
        <v>1057156</v>
      </c>
      <c r="I10" s="482" t="s">
        <v>257</v>
      </c>
      <c r="J10" s="482"/>
      <c r="K10" s="482"/>
      <c r="L10" s="482"/>
      <c r="M10" s="482"/>
      <c r="N10" s="483"/>
    </row>
    <row r="11" spans="1:14" ht="30.9" customHeight="1">
      <c r="A11" s="176">
        <v>45179</v>
      </c>
      <c r="B11" s="178" t="s">
        <v>487</v>
      </c>
      <c r="C11" s="183">
        <v>376721</v>
      </c>
      <c r="D11" s="183">
        <v>343770</v>
      </c>
      <c r="E11" s="183">
        <f t="shared" si="0"/>
        <v>32951</v>
      </c>
      <c r="F11" s="183">
        <v>0</v>
      </c>
      <c r="G11" s="183">
        <v>0</v>
      </c>
      <c r="H11" s="184">
        <f>H10+E11+F11</f>
        <v>1090107</v>
      </c>
      <c r="I11" s="472" t="s">
        <v>477</v>
      </c>
      <c r="J11" s="472"/>
      <c r="K11" s="472"/>
      <c r="L11" s="472"/>
      <c r="M11" s="472"/>
      <c r="N11" s="472"/>
    </row>
    <row r="12" spans="1:14" ht="30.9" customHeight="1">
      <c r="A12" s="176">
        <v>45180</v>
      </c>
      <c r="B12" s="177" t="s">
        <v>488</v>
      </c>
      <c r="C12" s="183">
        <v>241765</v>
      </c>
      <c r="D12" s="183">
        <v>573298</v>
      </c>
      <c r="E12" s="183">
        <f t="shared" si="0"/>
        <v>-331533</v>
      </c>
      <c r="F12" s="183">
        <v>0</v>
      </c>
      <c r="G12" s="183">
        <v>18272</v>
      </c>
      <c r="H12" s="184">
        <f t="shared" si="1"/>
        <v>758574</v>
      </c>
      <c r="I12" s="171" t="s">
        <v>478</v>
      </c>
      <c r="J12" s="175" t="s">
        <v>479</v>
      </c>
      <c r="K12" s="175" t="s">
        <v>480</v>
      </c>
      <c r="L12" s="175" t="s">
        <v>455</v>
      </c>
      <c r="M12" s="175" t="s">
        <v>468</v>
      </c>
      <c r="N12" s="175" t="s">
        <v>230</v>
      </c>
    </row>
    <row r="13" spans="1:14" ht="30.9" customHeight="1">
      <c r="A13" s="176">
        <v>45181</v>
      </c>
      <c r="B13" s="177" t="s">
        <v>489</v>
      </c>
      <c r="C13" s="183">
        <v>291238</v>
      </c>
      <c r="D13" s="183">
        <v>104554</v>
      </c>
      <c r="E13" s="183">
        <f t="shared" si="0"/>
        <v>186684</v>
      </c>
      <c r="F13" s="183">
        <v>0</v>
      </c>
      <c r="G13" s="183">
        <v>37911</v>
      </c>
      <c r="H13" s="184">
        <f t="shared" si="1"/>
        <v>945258</v>
      </c>
      <c r="I13" s="172">
        <v>250000</v>
      </c>
      <c r="J13" s="175">
        <v>75075</v>
      </c>
      <c r="K13" s="175">
        <v>19425</v>
      </c>
      <c r="L13" s="175">
        <v>119700</v>
      </c>
      <c r="M13" s="172">
        <v>33250</v>
      </c>
      <c r="N13" s="172">
        <v>194000</v>
      </c>
    </row>
    <row r="14" spans="1:14" ht="30.9" customHeight="1">
      <c r="A14" s="176">
        <v>45182</v>
      </c>
      <c r="B14" s="177" t="s">
        <v>490</v>
      </c>
      <c r="C14" s="183">
        <v>413434</v>
      </c>
      <c r="D14" s="183">
        <v>637495</v>
      </c>
      <c r="E14" s="183">
        <f t="shared" si="0"/>
        <v>-224061</v>
      </c>
      <c r="F14" s="183">
        <v>-122</v>
      </c>
      <c r="G14" s="183">
        <v>0</v>
      </c>
      <c r="H14" s="184">
        <f t="shared" si="1"/>
        <v>721075</v>
      </c>
      <c r="I14" s="472" t="s">
        <v>481</v>
      </c>
      <c r="J14" s="472"/>
      <c r="K14" s="472"/>
      <c r="L14" s="472"/>
      <c r="M14" s="472"/>
      <c r="N14" s="472"/>
    </row>
    <row r="15" spans="1:14" ht="30.9" customHeight="1">
      <c r="A15" s="176">
        <v>45183</v>
      </c>
      <c r="B15" s="177" t="s">
        <v>491</v>
      </c>
      <c r="C15" s="183">
        <v>354850</v>
      </c>
      <c r="D15" s="183">
        <v>369372</v>
      </c>
      <c r="E15" s="183">
        <f t="shared" si="0"/>
        <v>-14522</v>
      </c>
      <c r="F15" s="183">
        <v>2</v>
      </c>
      <c r="G15" s="183">
        <v>0</v>
      </c>
      <c r="H15" s="184">
        <f t="shared" si="1"/>
        <v>706555</v>
      </c>
      <c r="I15" s="185">
        <v>88200</v>
      </c>
      <c r="J15" s="185">
        <v>20000</v>
      </c>
      <c r="K15" s="185"/>
      <c r="L15" s="185"/>
      <c r="M15" s="185"/>
      <c r="N15" s="185"/>
    </row>
    <row r="16" spans="1:14" ht="30.9" customHeight="1">
      <c r="A16" s="176">
        <v>45184</v>
      </c>
      <c r="B16" s="178" t="s">
        <v>485</v>
      </c>
      <c r="C16" s="183">
        <v>715090</v>
      </c>
      <c r="D16" s="183">
        <v>281814</v>
      </c>
      <c r="E16" s="183">
        <f t="shared" si="0"/>
        <v>433276</v>
      </c>
      <c r="F16" s="183">
        <v>0</v>
      </c>
      <c r="G16" s="183">
        <v>0</v>
      </c>
      <c r="H16" s="184">
        <f t="shared" si="1"/>
        <v>1139831</v>
      </c>
      <c r="I16" s="473" t="s">
        <v>247</v>
      </c>
      <c r="J16" s="473"/>
      <c r="K16" s="473"/>
      <c r="L16" s="500">
        <f>SUM(I13:N13)+SUM(I15:N15)</f>
        <v>799650</v>
      </c>
      <c r="M16" s="500"/>
      <c r="N16" s="500"/>
    </row>
    <row r="17" spans="1:14" ht="30.9" customHeight="1">
      <c r="A17" s="176">
        <v>45185</v>
      </c>
      <c r="B17" s="178" t="s">
        <v>486</v>
      </c>
      <c r="C17" s="183">
        <v>637018</v>
      </c>
      <c r="D17" s="183">
        <v>711233</v>
      </c>
      <c r="E17" s="183">
        <f t="shared" si="0"/>
        <v>-74215</v>
      </c>
      <c r="F17" s="183">
        <v>-18</v>
      </c>
      <c r="G17" s="183">
        <v>27120</v>
      </c>
      <c r="H17" s="184">
        <f t="shared" si="1"/>
        <v>1065598</v>
      </c>
      <c r="I17" s="474" t="s">
        <v>482</v>
      </c>
      <c r="J17" s="474"/>
      <c r="K17" s="474"/>
      <c r="L17" s="474"/>
      <c r="M17" s="474"/>
      <c r="N17" s="474"/>
    </row>
    <row r="18" spans="1:14" ht="30.9" customHeight="1">
      <c r="A18" s="176">
        <v>45186</v>
      </c>
      <c r="B18" s="178" t="s">
        <v>487</v>
      </c>
      <c r="C18" s="183">
        <v>365865</v>
      </c>
      <c r="D18" s="183">
        <v>249769</v>
      </c>
      <c r="E18" s="183">
        <f t="shared" si="0"/>
        <v>116096</v>
      </c>
      <c r="F18" s="183">
        <v>-27</v>
      </c>
      <c r="G18" s="183">
        <v>0</v>
      </c>
      <c r="H18" s="184">
        <f t="shared" si="1"/>
        <v>1181667</v>
      </c>
      <c r="I18" s="71" t="s">
        <v>494</v>
      </c>
      <c r="J18" s="186" t="s">
        <v>495</v>
      </c>
      <c r="K18" s="71" t="s">
        <v>484</v>
      </c>
      <c r="L18" s="71" t="s">
        <v>492</v>
      </c>
      <c r="M18" s="71" t="s">
        <v>493</v>
      </c>
      <c r="N18" s="71" t="s">
        <v>247</v>
      </c>
    </row>
    <row r="19" spans="1:14" ht="30.9" customHeight="1">
      <c r="A19" s="176">
        <v>45187</v>
      </c>
      <c r="B19" s="177" t="s">
        <v>488</v>
      </c>
      <c r="C19" s="183">
        <v>334806</v>
      </c>
      <c r="D19" s="183">
        <v>165855</v>
      </c>
      <c r="E19" s="183">
        <f t="shared" si="0"/>
        <v>168951</v>
      </c>
      <c r="F19" s="183">
        <v>-430</v>
      </c>
      <c r="G19" s="183">
        <v>12721</v>
      </c>
      <c r="H19" s="184">
        <f>H18+E19+F19</f>
        <v>1350188</v>
      </c>
      <c r="I19" s="181">
        <v>30000</v>
      </c>
      <c r="J19" s="181">
        <v>35000</v>
      </c>
      <c r="K19" s="181">
        <v>4407</v>
      </c>
      <c r="L19" s="181">
        <v>13000</v>
      </c>
      <c r="M19" s="181">
        <v>5000</v>
      </c>
      <c r="N19" s="181">
        <f>SUM(I19:M19)</f>
        <v>87407</v>
      </c>
    </row>
    <row r="20" spans="1:14" ht="30.9" customHeight="1">
      <c r="A20" s="176">
        <v>45188</v>
      </c>
      <c r="B20" s="177" t="s">
        <v>489</v>
      </c>
      <c r="C20" s="183">
        <v>268795</v>
      </c>
      <c r="D20" s="183">
        <v>183887</v>
      </c>
      <c r="E20" s="183">
        <f t="shared" si="0"/>
        <v>84908</v>
      </c>
      <c r="F20" s="183">
        <v>0</v>
      </c>
      <c r="G20" s="183">
        <v>19997</v>
      </c>
      <c r="H20" s="184">
        <f t="shared" si="1"/>
        <v>1435096</v>
      </c>
    </row>
    <row r="21" spans="1:14" ht="30.9" customHeight="1">
      <c r="A21" s="176">
        <v>45189</v>
      </c>
      <c r="B21" s="177" t="s">
        <v>490</v>
      </c>
      <c r="C21" s="183">
        <v>256197</v>
      </c>
      <c r="D21" s="183">
        <v>313486</v>
      </c>
      <c r="E21" s="183">
        <f t="shared" si="0"/>
        <v>-57289</v>
      </c>
      <c r="F21" s="183">
        <v>0</v>
      </c>
      <c r="G21" s="183">
        <v>5762</v>
      </c>
      <c r="H21" s="184">
        <f t="shared" si="1"/>
        <v>1377807</v>
      </c>
    </row>
    <row r="22" spans="1:14" ht="30.9" customHeight="1">
      <c r="A22" s="176">
        <v>45190</v>
      </c>
      <c r="B22" s="177" t="s">
        <v>491</v>
      </c>
      <c r="C22" s="183">
        <v>239216</v>
      </c>
      <c r="D22" s="183">
        <v>361664</v>
      </c>
      <c r="E22" s="183">
        <f t="shared" si="0"/>
        <v>-122448</v>
      </c>
      <c r="F22" s="183">
        <v>-112</v>
      </c>
      <c r="G22" s="183">
        <v>14720</v>
      </c>
      <c r="H22" s="184">
        <f t="shared" si="1"/>
        <v>1255247</v>
      </c>
    </row>
    <row r="23" spans="1:14" ht="30.9" customHeight="1">
      <c r="A23" s="176">
        <v>45191</v>
      </c>
      <c r="B23" s="178" t="s">
        <v>485</v>
      </c>
      <c r="C23" s="183">
        <v>653657</v>
      </c>
      <c r="D23" s="183">
        <v>191131</v>
      </c>
      <c r="E23" s="183">
        <f t="shared" si="0"/>
        <v>462526</v>
      </c>
      <c r="F23" s="183">
        <v>-224</v>
      </c>
      <c r="G23" s="183">
        <v>43020</v>
      </c>
      <c r="H23" s="184">
        <f t="shared" si="1"/>
        <v>1717549</v>
      </c>
    </row>
    <row r="24" spans="1:14" ht="30.9" customHeight="1">
      <c r="A24" s="176">
        <v>45192</v>
      </c>
      <c r="B24" s="178" t="s">
        <v>486</v>
      </c>
      <c r="C24" s="183">
        <v>676152</v>
      </c>
      <c r="D24" s="183">
        <v>76760</v>
      </c>
      <c r="E24" s="183">
        <f t="shared" si="0"/>
        <v>599392</v>
      </c>
      <c r="F24" s="183">
        <v>0</v>
      </c>
      <c r="G24" s="183">
        <v>31493</v>
      </c>
      <c r="H24" s="184">
        <f t="shared" si="1"/>
        <v>2316941</v>
      </c>
    </row>
    <row r="25" spans="1:14" ht="30.9" customHeight="1">
      <c r="A25" s="176">
        <v>45193</v>
      </c>
      <c r="B25" s="178" t="s">
        <v>487</v>
      </c>
      <c r="C25" s="183">
        <v>318815</v>
      </c>
      <c r="D25" s="183">
        <v>768020</v>
      </c>
      <c r="E25" s="183">
        <f t="shared" si="0"/>
        <v>-449205</v>
      </c>
      <c r="F25" s="183">
        <v>0</v>
      </c>
      <c r="G25" s="183">
        <v>0</v>
      </c>
      <c r="H25" s="184">
        <f t="shared" si="1"/>
        <v>1867736</v>
      </c>
    </row>
    <row r="26" spans="1:14" ht="30.9" customHeight="1">
      <c r="A26" s="176">
        <v>45194</v>
      </c>
      <c r="B26" s="177" t="s">
        <v>488</v>
      </c>
      <c r="C26" s="183">
        <v>388724</v>
      </c>
      <c r="D26" s="183">
        <v>789950</v>
      </c>
      <c r="E26" s="183">
        <f t="shared" si="0"/>
        <v>-401226</v>
      </c>
      <c r="F26" s="183">
        <v>0</v>
      </c>
      <c r="G26" s="183">
        <v>22780</v>
      </c>
      <c r="H26" s="184">
        <f t="shared" si="1"/>
        <v>1466510</v>
      </c>
    </row>
    <row r="27" spans="1:14" ht="30.9" customHeight="1">
      <c r="A27" s="176">
        <v>45195</v>
      </c>
      <c r="B27" s="177" t="s">
        <v>489</v>
      </c>
      <c r="C27" s="183">
        <v>459864</v>
      </c>
      <c r="D27" s="183">
        <v>395937</v>
      </c>
      <c r="E27" s="183">
        <f t="shared" si="0"/>
        <v>63927</v>
      </c>
      <c r="F27" s="183">
        <v>0</v>
      </c>
      <c r="G27" s="183">
        <v>0</v>
      </c>
      <c r="H27" s="184">
        <f t="shared" si="1"/>
        <v>1530437</v>
      </c>
    </row>
    <row r="28" spans="1:14" ht="30.9" customHeight="1">
      <c r="A28" s="176">
        <v>45196</v>
      </c>
      <c r="B28" s="177" t="s">
        <v>490</v>
      </c>
      <c r="C28" s="183">
        <v>478328</v>
      </c>
      <c r="D28" s="183">
        <v>305761</v>
      </c>
      <c r="E28" s="183">
        <f t="shared" si="0"/>
        <v>172567</v>
      </c>
      <c r="F28" s="183">
        <v>-472</v>
      </c>
      <c r="G28" s="183">
        <v>37420</v>
      </c>
      <c r="H28" s="184">
        <f t="shared" si="1"/>
        <v>1702532</v>
      </c>
    </row>
    <row r="29" spans="1:14" ht="30.9" customHeight="1">
      <c r="A29" s="176">
        <v>45197</v>
      </c>
      <c r="B29" s="177" t="s">
        <v>491</v>
      </c>
      <c r="C29" s="183">
        <v>443547</v>
      </c>
      <c r="D29" s="183">
        <v>273404</v>
      </c>
      <c r="E29" s="183">
        <f t="shared" si="0"/>
        <v>170143</v>
      </c>
      <c r="F29" s="183">
        <v>0</v>
      </c>
      <c r="G29" s="183">
        <v>21212</v>
      </c>
      <c r="H29" s="184">
        <f t="shared" si="1"/>
        <v>1872675</v>
      </c>
    </row>
    <row r="30" spans="1:14" ht="30.9" customHeight="1">
      <c r="A30" s="176">
        <v>45198</v>
      </c>
      <c r="B30" s="178" t="s">
        <v>485</v>
      </c>
      <c r="C30" s="183">
        <v>674894</v>
      </c>
      <c r="D30" s="183">
        <v>291926</v>
      </c>
      <c r="E30" s="183">
        <f t="shared" si="0"/>
        <v>382968</v>
      </c>
      <c r="F30" s="183">
        <v>0</v>
      </c>
      <c r="G30" s="183">
        <v>0</v>
      </c>
      <c r="H30" s="184">
        <f t="shared" si="1"/>
        <v>2255643</v>
      </c>
    </row>
    <row r="31" spans="1:14" ht="30.9" customHeight="1">
      <c r="A31" s="176">
        <v>45199</v>
      </c>
      <c r="B31" s="178" t="s">
        <v>486</v>
      </c>
      <c r="C31" s="183">
        <v>806957</v>
      </c>
      <c r="D31" s="183">
        <v>526056</v>
      </c>
      <c r="E31" s="183">
        <f t="shared" si="0"/>
        <v>280901</v>
      </c>
      <c r="F31" s="183">
        <v>-721</v>
      </c>
      <c r="G31" s="183">
        <v>41421</v>
      </c>
      <c r="H31" s="184">
        <f t="shared" si="1"/>
        <v>2535823</v>
      </c>
    </row>
    <row r="32" spans="1:14" ht="30.9" customHeight="1">
      <c r="A32" s="176"/>
      <c r="B32" s="177"/>
      <c r="C32" s="166"/>
      <c r="D32" s="165"/>
      <c r="E32" s="165">
        <f t="shared" si="0"/>
        <v>0</v>
      </c>
      <c r="F32" s="165"/>
      <c r="G32" s="165"/>
      <c r="H32" s="152">
        <f t="shared" si="1"/>
        <v>2535823</v>
      </c>
    </row>
    <row r="33" spans="1:8" ht="45" customHeight="1">
      <c r="A33" s="476" t="s">
        <v>247</v>
      </c>
      <c r="B33" s="477"/>
      <c r="C33" s="145">
        <f>SUM(C2:C32)</f>
        <v>13789456</v>
      </c>
      <c r="D33" s="145">
        <f>SUM(D2:D32)</f>
        <v>11249226</v>
      </c>
      <c r="E33" s="145">
        <f>SUM(E2:E32)</f>
        <v>2540230</v>
      </c>
      <c r="F33" s="145">
        <f>SUM(F2:F32)</f>
        <v>-4407</v>
      </c>
      <c r="G33" s="145">
        <f>SUM(G2:G32)</f>
        <v>411948</v>
      </c>
      <c r="H33" s="145">
        <f>H32</f>
        <v>2535823</v>
      </c>
    </row>
    <row r="34" spans="1:8">
      <c r="A34" s="69"/>
    </row>
    <row r="35" spans="1:8">
      <c r="A35" s="69"/>
    </row>
    <row r="36" spans="1:8">
      <c r="A36" s="69"/>
    </row>
    <row r="37" spans="1:8">
      <c r="A37" s="69"/>
    </row>
    <row r="38" spans="1:8">
      <c r="A38" s="69"/>
    </row>
    <row r="39" spans="1:8" ht="21" customHeight="1">
      <c r="A39" s="69"/>
    </row>
    <row r="40" spans="1:8" ht="23.1" customHeight="1">
      <c r="A40" s="69"/>
    </row>
    <row r="41" spans="1:8">
      <c r="A41" s="69"/>
    </row>
    <row r="42" spans="1:8" ht="29.1" customHeight="1">
      <c r="A42" s="69"/>
    </row>
    <row r="43" spans="1:8" ht="15" customHeight="1">
      <c r="A43" s="69"/>
    </row>
    <row r="44" spans="1:8">
      <c r="A44" s="69"/>
    </row>
    <row r="45" spans="1:8">
      <c r="A45" s="69"/>
    </row>
    <row r="46" spans="1:8">
      <c r="A46" s="69"/>
    </row>
    <row r="47" spans="1:8">
      <c r="A47" s="69"/>
    </row>
    <row r="48" spans="1:8">
      <c r="A48" s="69"/>
    </row>
    <row r="49" spans="1:1">
      <c r="A49" s="69"/>
    </row>
    <row r="50" spans="1:1" ht="18.899999999999999" customHeight="1">
      <c r="A50" s="69"/>
    </row>
  </sheetData>
  <mergeCells count="18">
    <mergeCell ref="I16:K16"/>
    <mergeCell ref="L16:N16"/>
    <mergeCell ref="I17:N17"/>
    <mergeCell ref="A33:B33"/>
    <mergeCell ref="M8:N8"/>
    <mergeCell ref="J9:N9"/>
    <mergeCell ref="I10:N10"/>
    <mergeCell ref="I11:N11"/>
    <mergeCell ref="I14:N14"/>
    <mergeCell ref="I6:N6"/>
    <mergeCell ref="M7:N7"/>
    <mergeCell ref="A1:B1"/>
    <mergeCell ref="I1:N1"/>
    <mergeCell ref="I2:N2"/>
    <mergeCell ref="M3:N3"/>
    <mergeCell ref="I4:I5"/>
    <mergeCell ref="M4:N4"/>
    <mergeCell ref="M5:N5"/>
  </mergeCells>
  <phoneticPr fontId="1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7B95-F836-4B4C-9BD7-3C98064555ED}">
  <dimension ref="A1:N50"/>
  <sheetViews>
    <sheetView topLeftCell="A23" zoomScaleNormal="100" workbookViewId="0">
      <selection activeCell="J27" sqref="J27"/>
    </sheetView>
  </sheetViews>
  <sheetFormatPr defaultColWidth="10.6328125" defaultRowHeight="18"/>
  <cols>
    <col min="1" max="1" width="3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8" style="69" customWidth="1"/>
    <col min="7" max="7" width="8.90625" style="69" customWidth="1"/>
    <col min="8" max="8" width="14.08984375" style="69" customWidth="1"/>
    <col min="9" max="14" width="11.453125" style="69" customWidth="1"/>
    <col min="15" max="16384" width="10.6328125" style="69"/>
  </cols>
  <sheetData>
    <row r="1" spans="1:14" ht="24" customHeight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133" t="s">
        <v>463</v>
      </c>
      <c r="H1" s="151" t="s">
        <v>464</v>
      </c>
      <c r="I1" s="502" t="s">
        <v>248</v>
      </c>
      <c r="J1" s="503"/>
      <c r="K1" s="503"/>
      <c r="L1" s="503"/>
      <c r="M1" s="503"/>
      <c r="N1" s="504"/>
    </row>
    <row r="2" spans="1:14" ht="30.9" customHeight="1">
      <c r="A2" s="176">
        <v>45200</v>
      </c>
      <c r="B2" s="178" t="s">
        <v>487</v>
      </c>
      <c r="C2" s="183">
        <v>439404</v>
      </c>
      <c r="D2" s="183">
        <v>97531</v>
      </c>
      <c r="E2" s="183">
        <f>C2-D2</f>
        <v>341873</v>
      </c>
      <c r="F2" s="183">
        <v>0</v>
      </c>
      <c r="G2" s="183">
        <v>24302</v>
      </c>
      <c r="H2" s="184">
        <f>E2+F2</f>
        <v>341873</v>
      </c>
      <c r="I2" s="478" t="s">
        <v>249</v>
      </c>
      <c r="J2" s="479"/>
      <c r="K2" s="479"/>
      <c r="L2" s="479"/>
      <c r="M2" s="479"/>
      <c r="N2" s="480"/>
    </row>
    <row r="3" spans="1:14" ht="30.9" customHeight="1">
      <c r="A3" s="176">
        <v>45201</v>
      </c>
      <c r="B3" s="177" t="s">
        <v>488</v>
      </c>
      <c r="C3" s="183">
        <v>293024</v>
      </c>
      <c r="D3" s="183">
        <v>193295</v>
      </c>
      <c r="E3" s="183">
        <f t="shared" ref="E3:E32" si="0">C3-D3</f>
        <v>99729</v>
      </c>
      <c r="F3" s="183">
        <v>0</v>
      </c>
      <c r="G3" s="183">
        <v>0</v>
      </c>
      <c r="H3" s="184">
        <f>H2+E3+F3</f>
        <v>441602</v>
      </c>
      <c r="I3" s="105" t="s">
        <v>247</v>
      </c>
      <c r="J3" s="71" t="s">
        <v>251</v>
      </c>
      <c r="K3" s="134" t="s">
        <v>252</v>
      </c>
      <c r="L3" s="134" t="s">
        <v>449</v>
      </c>
      <c r="M3" s="481" t="s">
        <v>415</v>
      </c>
      <c r="N3" s="481"/>
    </row>
    <row r="4" spans="1:14" ht="30.9" customHeight="1">
      <c r="A4" s="176">
        <v>45202</v>
      </c>
      <c r="B4" s="177" t="s">
        <v>489</v>
      </c>
      <c r="C4" s="183">
        <v>356376</v>
      </c>
      <c r="D4" s="183">
        <v>1153287</v>
      </c>
      <c r="E4" s="183">
        <f t="shared" si="0"/>
        <v>-796911</v>
      </c>
      <c r="F4" s="183">
        <v>-17</v>
      </c>
      <c r="G4" s="183">
        <v>12712</v>
      </c>
      <c r="H4" s="184">
        <f t="shared" ref="H4:H32" si="1">H3+E4+F4</f>
        <v>-355326</v>
      </c>
      <c r="I4" s="484">
        <f>C33</f>
        <v>12689656</v>
      </c>
      <c r="J4" s="90">
        <f>G33</f>
        <v>339621</v>
      </c>
      <c r="K4" s="135"/>
      <c r="L4" s="135">
        <f>F33</f>
        <v>-3598</v>
      </c>
      <c r="M4" s="486">
        <v>12094</v>
      </c>
      <c r="N4" s="486"/>
    </row>
    <row r="5" spans="1:14" ht="30.9" customHeight="1" thickBot="1">
      <c r="A5" s="176">
        <v>45203</v>
      </c>
      <c r="B5" s="177" t="s">
        <v>490</v>
      </c>
      <c r="C5" s="183">
        <v>202909</v>
      </c>
      <c r="D5" s="183">
        <v>644555</v>
      </c>
      <c r="E5" s="183">
        <f t="shared" si="0"/>
        <v>-441646</v>
      </c>
      <c r="F5" s="183">
        <v>-340</v>
      </c>
      <c r="G5" s="183">
        <v>9780</v>
      </c>
      <c r="H5" s="184">
        <f t="shared" si="1"/>
        <v>-797312</v>
      </c>
      <c r="I5" s="485"/>
      <c r="J5" s="98">
        <f>J4/I4</f>
        <v>2.6763609667590674E-2</v>
      </c>
      <c r="K5" s="136">
        <f>K4/I4</f>
        <v>0</v>
      </c>
      <c r="L5" s="173">
        <f>L4/I4</f>
        <v>-2.8353802498665056E-4</v>
      </c>
      <c r="M5" s="487">
        <f>M4/I4</f>
        <v>9.5305972045262694E-4</v>
      </c>
      <c r="N5" s="487"/>
    </row>
    <row r="6" spans="1:14" ht="30.9" customHeight="1" thickBot="1">
      <c r="A6" s="176">
        <v>45204</v>
      </c>
      <c r="B6" s="177" t="s">
        <v>491</v>
      </c>
      <c r="C6" s="183">
        <v>333146</v>
      </c>
      <c r="D6" s="183">
        <v>144531</v>
      </c>
      <c r="E6" s="183">
        <f t="shared" si="0"/>
        <v>188615</v>
      </c>
      <c r="F6" s="183">
        <v>0</v>
      </c>
      <c r="G6" s="183">
        <v>0</v>
      </c>
      <c r="H6" s="184">
        <f t="shared" si="1"/>
        <v>-608697</v>
      </c>
      <c r="I6" s="488" t="s">
        <v>250</v>
      </c>
      <c r="J6" s="489"/>
      <c r="K6" s="489"/>
      <c r="L6" s="489"/>
      <c r="M6" s="490"/>
      <c r="N6" s="491"/>
    </row>
    <row r="7" spans="1:14" ht="30.9" customHeight="1" thickTop="1">
      <c r="A7" s="176">
        <v>45205</v>
      </c>
      <c r="B7" s="178" t="s">
        <v>485</v>
      </c>
      <c r="C7" s="183">
        <v>754186</v>
      </c>
      <c r="D7" s="183">
        <v>341290</v>
      </c>
      <c r="E7" s="183">
        <f t="shared" si="0"/>
        <v>412896</v>
      </c>
      <c r="F7" s="183">
        <v>0</v>
      </c>
      <c r="G7" s="183">
        <v>0</v>
      </c>
      <c r="H7" s="184">
        <f t="shared" si="1"/>
        <v>-195801</v>
      </c>
      <c r="I7" s="100" t="s">
        <v>241</v>
      </c>
      <c r="J7" s="72" t="s">
        <v>253</v>
      </c>
      <c r="K7" s="189" t="s">
        <v>255</v>
      </c>
      <c r="L7" s="71" t="s">
        <v>469</v>
      </c>
      <c r="M7" s="492" t="s">
        <v>247</v>
      </c>
      <c r="N7" s="493"/>
    </row>
    <row r="8" spans="1:14" ht="30.9" customHeight="1" thickBot="1">
      <c r="A8" s="176">
        <v>45206</v>
      </c>
      <c r="B8" s="178" t="s">
        <v>486</v>
      </c>
      <c r="C8" s="183">
        <v>815492</v>
      </c>
      <c r="D8" s="183">
        <v>510750</v>
      </c>
      <c r="E8" s="183">
        <f t="shared" si="0"/>
        <v>304742</v>
      </c>
      <c r="F8" s="183">
        <v>22</v>
      </c>
      <c r="G8" s="183">
        <v>60271</v>
      </c>
      <c r="H8" s="184">
        <f t="shared" si="1"/>
        <v>108963</v>
      </c>
      <c r="I8" s="101">
        <f>D33</f>
        <v>11138899</v>
      </c>
      <c r="J8" s="102">
        <f>L16</f>
        <v>747750</v>
      </c>
      <c r="K8" s="190">
        <f>N19</f>
        <v>84657</v>
      </c>
      <c r="L8" s="175">
        <f>J4*0.065</f>
        <v>22075.365000000002</v>
      </c>
      <c r="M8" s="494">
        <f>SUM(I8:L8)</f>
        <v>11993381.365</v>
      </c>
      <c r="N8" s="495"/>
    </row>
    <row r="9" spans="1:14" ht="30.9" customHeight="1" thickBot="1">
      <c r="A9" s="176">
        <v>45207</v>
      </c>
      <c r="B9" s="178" t="s">
        <v>487</v>
      </c>
      <c r="C9" s="183">
        <v>331185</v>
      </c>
      <c r="D9" s="183">
        <v>80902</v>
      </c>
      <c r="E9" s="183">
        <f t="shared" si="0"/>
        <v>250283</v>
      </c>
      <c r="F9" s="183">
        <v>-470</v>
      </c>
      <c r="G9" s="183">
        <v>0</v>
      </c>
      <c r="H9" s="184">
        <f t="shared" si="1"/>
        <v>358776</v>
      </c>
      <c r="I9" s="108" t="s">
        <v>266</v>
      </c>
      <c r="J9" s="496">
        <f>I4-M8-M4</f>
        <v>684180.63499999978</v>
      </c>
      <c r="K9" s="497"/>
      <c r="L9" s="497"/>
      <c r="M9" s="498"/>
      <c r="N9" s="499"/>
    </row>
    <row r="10" spans="1:14" ht="30.9" customHeight="1">
      <c r="A10" s="176">
        <v>45208</v>
      </c>
      <c r="B10" s="177" t="s">
        <v>488</v>
      </c>
      <c r="C10" s="183">
        <v>292673</v>
      </c>
      <c r="D10" s="183">
        <v>253143</v>
      </c>
      <c r="E10" s="183">
        <f t="shared" si="0"/>
        <v>39530</v>
      </c>
      <c r="F10" s="183">
        <v>0</v>
      </c>
      <c r="G10" s="183">
        <v>21120</v>
      </c>
      <c r="H10" s="184">
        <f t="shared" si="1"/>
        <v>398306</v>
      </c>
      <c r="I10" s="482" t="s">
        <v>257</v>
      </c>
      <c r="J10" s="482"/>
      <c r="K10" s="482"/>
      <c r="L10" s="482"/>
      <c r="M10" s="482"/>
      <c r="N10" s="483"/>
    </row>
    <row r="11" spans="1:14" ht="30.9" customHeight="1">
      <c r="A11" s="176">
        <v>45209</v>
      </c>
      <c r="B11" s="177" t="s">
        <v>489</v>
      </c>
      <c r="C11" s="183">
        <v>294338</v>
      </c>
      <c r="D11" s="183">
        <v>1004156</v>
      </c>
      <c r="E11" s="183">
        <f t="shared" si="0"/>
        <v>-709818</v>
      </c>
      <c r="F11" s="183">
        <v>0</v>
      </c>
      <c r="G11" s="183">
        <v>0</v>
      </c>
      <c r="H11" s="184">
        <f>H10+E11+F11</f>
        <v>-311512</v>
      </c>
      <c r="I11" s="472" t="s">
        <v>477</v>
      </c>
      <c r="J11" s="472"/>
      <c r="K11" s="472"/>
      <c r="L11" s="472"/>
      <c r="M11" s="472"/>
      <c r="N11" s="472"/>
    </row>
    <row r="12" spans="1:14" ht="30.9" customHeight="1">
      <c r="A12" s="176">
        <v>45210</v>
      </c>
      <c r="B12" s="177" t="s">
        <v>490</v>
      </c>
      <c r="C12" s="183">
        <v>331533</v>
      </c>
      <c r="D12" s="183">
        <v>410522</v>
      </c>
      <c r="E12" s="183">
        <f t="shared" si="0"/>
        <v>-78989</v>
      </c>
      <c r="F12" s="183">
        <v>2</v>
      </c>
      <c r="G12" s="183">
        <v>22727</v>
      </c>
      <c r="H12" s="184">
        <f t="shared" si="1"/>
        <v>-390499</v>
      </c>
      <c r="I12" s="171" t="s">
        <v>478</v>
      </c>
      <c r="J12" s="175" t="s">
        <v>479</v>
      </c>
      <c r="K12" s="175" t="s">
        <v>480</v>
      </c>
      <c r="L12" s="175" t="s">
        <v>455</v>
      </c>
      <c r="M12" s="175" t="s">
        <v>468</v>
      </c>
      <c r="N12" s="175" t="s">
        <v>230</v>
      </c>
    </row>
    <row r="13" spans="1:14" ht="30.9" customHeight="1">
      <c r="A13" s="176">
        <v>45211</v>
      </c>
      <c r="B13" s="177" t="s">
        <v>491</v>
      </c>
      <c r="C13" s="183">
        <v>280023</v>
      </c>
      <c r="D13" s="183">
        <v>267327</v>
      </c>
      <c r="E13" s="183">
        <f t="shared" si="0"/>
        <v>12696</v>
      </c>
      <c r="F13" s="183">
        <v>-6</v>
      </c>
      <c r="G13" s="183">
        <v>11011</v>
      </c>
      <c r="H13" s="184">
        <f t="shared" si="1"/>
        <v>-377809</v>
      </c>
      <c r="I13" s="172">
        <v>250000</v>
      </c>
      <c r="J13" s="175">
        <v>180000</v>
      </c>
      <c r="K13" s="175">
        <v>60500</v>
      </c>
      <c r="L13" s="175">
        <v>16000</v>
      </c>
      <c r="M13" s="172">
        <v>34250</v>
      </c>
      <c r="N13" s="172">
        <v>185000</v>
      </c>
    </row>
    <row r="14" spans="1:14" ht="30.9" customHeight="1">
      <c r="A14" s="176">
        <v>45212</v>
      </c>
      <c r="B14" s="178" t="s">
        <v>485</v>
      </c>
      <c r="C14" s="183">
        <v>595580</v>
      </c>
      <c r="D14" s="183">
        <v>312102</v>
      </c>
      <c r="E14" s="183">
        <f t="shared" si="0"/>
        <v>283478</v>
      </c>
      <c r="F14" s="183">
        <v>157</v>
      </c>
      <c r="G14" s="183">
        <v>0</v>
      </c>
      <c r="H14" s="184">
        <f t="shared" si="1"/>
        <v>-94174</v>
      </c>
      <c r="I14" s="472" t="s">
        <v>481</v>
      </c>
      <c r="J14" s="472"/>
      <c r="K14" s="472"/>
      <c r="L14" s="472"/>
      <c r="M14" s="472"/>
      <c r="N14" s="472"/>
    </row>
    <row r="15" spans="1:14" ht="30.9" customHeight="1">
      <c r="A15" s="176">
        <v>45213</v>
      </c>
      <c r="B15" s="178" t="s">
        <v>486</v>
      </c>
      <c r="C15" s="183">
        <v>776798</v>
      </c>
      <c r="D15" s="183">
        <v>512510</v>
      </c>
      <c r="E15" s="183">
        <f t="shared" si="0"/>
        <v>264288</v>
      </c>
      <c r="F15" s="183">
        <v>-420</v>
      </c>
      <c r="G15" s="183">
        <v>0</v>
      </c>
      <c r="H15" s="184">
        <f t="shared" si="1"/>
        <v>169694</v>
      </c>
      <c r="I15" s="185">
        <v>22000</v>
      </c>
      <c r="J15" s="185"/>
      <c r="K15" s="185"/>
      <c r="L15" s="185"/>
      <c r="M15" s="185"/>
      <c r="N15" s="185"/>
    </row>
    <row r="16" spans="1:14" ht="30.9" customHeight="1">
      <c r="A16" s="176">
        <v>45214</v>
      </c>
      <c r="B16" s="178" t="s">
        <v>487</v>
      </c>
      <c r="C16" s="183">
        <v>374422</v>
      </c>
      <c r="D16" s="183">
        <v>44310</v>
      </c>
      <c r="E16" s="183">
        <f t="shared" si="0"/>
        <v>330112</v>
      </c>
      <c r="F16" s="183">
        <v>-221</v>
      </c>
      <c r="G16" s="183">
        <v>17720</v>
      </c>
      <c r="H16" s="184">
        <f t="shared" si="1"/>
        <v>499585</v>
      </c>
      <c r="I16" s="473" t="s">
        <v>247</v>
      </c>
      <c r="J16" s="473"/>
      <c r="K16" s="473"/>
      <c r="L16" s="500">
        <f>SUM(I13:N13)+SUM(I15:N15)</f>
        <v>747750</v>
      </c>
      <c r="M16" s="500"/>
      <c r="N16" s="500"/>
    </row>
    <row r="17" spans="1:14" ht="30.9" customHeight="1">
      <c r="A17" s="176">
        <v>45215</v>
      </c>
      <c r="B17" s="177" t="s">
        <v>488</v>
      </c>
      <c r="C17" s="183">
        <v>195191</v>
      </c>
      <c r="D17" s="183">
        <v>304208</v>
      </c>
      <c r="E17" s="183">
        <f t="shared" si="0"/>
        <v>-109017</v>
      </c>
      <c r="F17" s="183">
        <v>-75</v>
      </c>
      <c r="G17" s="183">
        <v>17708</v>
      </c>
      <c r="H17" s="184">
        <f t="shared" si="1"/>
        <v>390493</v>
      </c>
      <c r="I17" s="474" t="s">
        <v>482</v>
      </c>
      <c r="J17" s="474"/>
      <c r="K17" s="474"/>
      <c r="L17" s="474"/>
      <c r="M17" s="474"/>
      <c r="N17" s="474"/>
    </row>
    <row r="18" spans="1:14" ht="30.9" customHeight="1">
      <c r="A18" s="176">
        <v>45216</v>
      </c>
      <c r="B18" s="177" t="s">
        <v>489</v>
      </c>
      <c r="C18" s="183">
        <v>293535</v>
      </c>
      <c r="D18" s="183">
        <v>502427</v>
      </c>
      <c r="E18" s="183">
        <f t="shared" si="0"/>
        <v>-208892</v>
      </c>
      <c r="F18" s="183">
        <v>0</v>
      </c>
      <c r="G18" s="183">
        <v>0</v>
      </c>
      <c r="H18" s="184">
        <f t="shared" si="1"/>
        <v>181601</v>
      </c>
      <c r="I18" s="71" t="s">
        <v>494</v>
      </c>
      <c r="J18" s="186" t="s">
        <v>495</v>
      </c>
      <c r="K18" s="71" t="s">
        <v>484</v>
      </c>
      <c r="L18" s="71" t="s">
        <v>492</v>
      </c>
      <c r="M18" s="187" t="s">
        <v>498</v>
      </c>
      <c r="N18" s="71" t="s">
        <v>247</v>
      </c>
    </row>
    <row r="19" spans="1:14" ht="30.9" customHeight="1">
      <c r="A19" s="176">
        <v>45217</v>
      </c>
      <c r="B19" s="177" t="s">
        <v>490</v>
      </c>
      <c r="C19" s="183">
        <v>195064</v>
      </c>
      <c r="D19" s="183">
        <v>388611</v>
      </c>
      <c r="E19" s="183">
        <f t="shared" si="0"/>
        <v>-193547</v>
      </c>
      <c r="F19" s="183">
        <v>0</v>
      </c>
      <c r="G19" s="183">
        <v>4780</v>
      </c>
      <c r="H19" s="184">
        <f>H18+E19+F19</f>
        <v>-11946</v>
      </c>
      <c r="I19" s="181">
        <v>8000</v>
      </c>
      <c r="J19" s="181">
        <v>35000</v>
      </c>
      <c r="K19" s="181">
        <v>4407</v>
      </c>
      <c r="L19" s="181">
        <v>13000</v>
      </c>
      <c r="M19" s="188">
        <f>N23</f>
        <v>24250</v>
      </c>
      <c r="N19" s="181">
        <f>SUM(I19:M19)</f>
        <v>84657</v>
      </c>
    </row>
    <row r="20" spans="1:14" ht="30.9" customHeight="1">
      <c r="A20" s="176">
        <v>45218</v>
      </c>
      <c r="B20" s="177" t="s">
        <v>491</v>
      </c>
      <c r="C20" s="183">
        <v>283240</v>
      </c>
      <c r="D20" s="183">
        <v>244742</v>
      </c>
      <c r="E20" s="183">
        <f t="shared" si="0"/>
        <v>38498</v>
      </c>
      <c r="F20" s="183">
        <v>2</v>
      </c>
      <c r="G20" s="183">
        <v>20071</v>
      </c>
      <c r="H20" s="184">
        <f t="shared" si="1"/>
        <v>26554</v>
      </c>
    </row>
    <row r="21" spans="1:14" ht="30.9" customHeight="1">
      <c r="A21" s="176">
        <v>45219</v>
      </c>
      <c r="B21" s="178" t="s">
        <v>485</v>
      </c>
      <c r="C21" s="183">
        <v>592511</v>
      </c>
      <c r="D21" s="183">
        <v>369238</v>
      </c>
      <c r="E21" s="183">
        <f t="shared" si="0"/>
        <v>223273</v>
      </c>
      <c r="F21" s="183">
        <v>-798</v>
      </c>
      <c r="G21" s="183">
        <v>0</v>
      </c>
      <c r="H21" s="184">
        <f t="shared" si="1"/>
        <v>249029</v>
      </c>
      <c r="I21" s="616" t="s">
        <v>497</v>
      </c>
      <c r="J21" s="616"/>
      <c r="K21" s="616"/>
      <c r="L21" s="616"/>
      <c r="M21" s="616"/>
      <c r="N21" s="616"/>
    </row>
    <row r="22" spans="1:14" ht="30.9" customHeight="1">
      <c r="A22" s="176">
        <v>45220</v>
      </c>
      <c r="B22" s="178" t="s">
        <v>486</v>
      </c>
      <c r="C22" s="183">
        <v>450664</v>
      </c>
      <c r="D22" s="183">
        <v>96665</v>
      </c>
      <c r="E22" s="183">
        <f t="shared" si="0"/>
        <v>353999</v>
      </c>
      <c r="F22" s="183">
        <v>0</v>
      </c>
      <c r="G22" s="183">
        <v>0</v>
      </c>
      <c r="H22" s="184">
        <f t="shared" si="1"/>
        <v>603028</v>
      </c>
      <c r="I22" s="617" t="s">
        <v>496</v>
      </c>
      <c r="J22" s="186" t="s">
        <v>253</v>
      </c>
      <c r="K22" s="71" t="s">
        <v>499</v>
      </c>
      <c r="L22" s="71"/>
      <c r="M22" s="71"/>
      <c r="N22" s="71" t="s">
        <v>247</v>
      </c>
    </row>
    <row r="23" spans="1:14" ht="30.9" customHeight="1">
      <c r="A23" s="176">
        <v>45221</v>
      </c>
      <c r="B23" s="178" t="s">
        <v>487</v>
      </c>
      <c r="C23" s="183">
        <v>369899</v>
      </c>
      <c r="D23" s="183">
        <v>150706</v>
      </c>
      <c r="E23" s="183">
        <f t="shared" si="0"/>
        <v>219193</v>
      </c>
      <c r="F23" s="183">
        <v>0</v>
      </c>
      <c r="G23" s="183">
        <v>17424</v>
      </c>
      <c r="H23" s="184">
        <f t="shared" si="1"/>
        <v>822221</v>
      </c>
      <c r="I23" s="579"/>
      <c r="J23" s="181">
        <v>21850</v>
      </c>
      <c r="K23" s="181">
        <v>2400</v>
      </c>
      <c r="L23" s="181"/>
      <c r="M23" s="181"/>
      <c r="N23" s="181">
        <f>SUM(J23:M23)</f>
        <v>24250</v>
      </c>
    </row>
    <row r="24" spans="1:14" ht="30.9" customHeight="1">
      <c r="A24" s="176">
        <v>45222</v>
      </c>
      <c r="B24" s="177" t="s">
        <v>488</v>
      </c>
      <c r="C24" s="183">
        <v>209750</v>
      </c>
      <c r="D24" s="183">
        <v>98052</v>
      </c>
      <c r="E24" s="183">
        <f t="shared" si="0"/>
        <v>111698</v>
      </c>
      <c r="F24" s="183">
        <v>-22</v>
      </c>
      <c r="G24" s="183">
        <v>0</v>
      </c>
      <c r="H24" s="184">
        <f t="shared" si="1"/>
        <v>933897</v>
      </c>
    </row>
    <row r="25" spans="1:14" ht="30.9" customHeight="1">
      <c r="A25" s="176">
        <v>45223</v>
      </c>
      <c r="B25" s="177" t="s">
        <v>489</v>
      </c>
      <c r="C25" s="183">
        <v>271625</v>
      </c>
      <c r="D25" s="183">
        <v>138980</v>
      </c>
      <c r="E25" s="183">
        <f t="shared" si="0"/>
        <v>132645</v>
      </c>
      <c r="F25" s="183">
        <v>-423</v>
      </c>
      <c r="G25" s="183">
        <v>21720</v>
      </c>
      <c r="H25" s="184">
        <f t="shared" si="1"/>
        <v>1066119</v>
      </c>
    </row>
    <row r="26" spans="1:14" ht="30.9" customHeight="1">
      <c r="A26" s="176">
        <v>45224</v>
      </c>
      <c r="B26" s="177" t="s">
        <v>490</v>
      </c>
      <c r="C26" s="183">
        <v>378544</v>
      </c>
      <c r="D26" s="183">
        <v>1096679</v>
      </c>
      <c r="E26" s="183">
        <f t="shared" si="0"/>
        <v>-718135</v>
      </c>
      <c r="F26" s="183">
        <v>0</v>
      </c>
      <c r="G26" s="183">
        <v>4872</v>
      </c>
      <c r="H26" s="184">
        <f t="shared" si="1"/>
        <v>347984</v>
      </c>
    </row>
    <row r="27" spans="1:14" ht="30.9" customHeight="1">
      <c r="A27" s="176">
        <v>45225</v>
      </c>
      <c r="B27" s="177" t="s">
        <v>491</v>
      </c>
      <c r="C27" s="183">
        <v>424075</v>
      </c>
      <c r="D27" s="183">
        <v>217761</v>
      </c>
      <c r="E27" s="183">
        <f t="shared" si="0"/>
        <v>206314</v>
      </c>
      <c r="F27" s="183">
        <v>0</v>
      </c>
      <c r="G27" s="183">
        <v>0</v>
      </c>
      <c r="H27" s="184">
        <f t="shared" si="1"/>
        <v>554298</v>
      </c>
    </row>
    <row r="28" spans="1:14" ht="30.9" customHeight="1">
      <c r="A28" s="176">
        <v>45226</v>
      </c>
      <c r="B28" s="178" t="s">
        <v>485</v>
      </c>
      <c r="C28" s="183">
        <v>693142</v>
      </c>
      <c r="D28" s="183">
        <v>384833</v>
      </c>
      <c r="E28" s="183">
        <f t="shared" si="0"/>
        <v>308309</v>
      </c>
      <c r="F28" s="183">
        <v>-221</v>
      </c>
      <c r="G28" s="183">
        <v>34217</v>
      </c>
      <c r="H28" s="184">
        <f t="shared" si="1"/>
        <v>862386</v>
      </c>
    </row>
    <row r="29" spans="1:14" ht="30.9" customHeight="1">
      <c r="A29" s="176">
        <v>45227</v>
      </c>
      <c r="B29" s="178" t="s">
        <v>486</v>
      </c>
      <c r="C29" s="183">
        <v>844628</v>
      </c>
      <c r="D29" s="183">
        <v>511660</v>
      </c>
      <c r="E29" s="183">
        <f t="shared" si="0"/>
        <v>332968</v>
      </c>
      <c r="F29" s="183">
        <v>-657</v>
      </c>
      <c r="G29" s="183">
        <v>0</v>
      </c>
      <c r="H29" s="184">
        <f t="shared" si="1"/>
        <v>1194697</v>
      </c>
    </row>
    <row r="30" spans="1:14" ht="30.9" customHeight="1">
      <c r="A30" s="176">
        <v>45228</v>
      </c>
      <c r="B30" s="178" t="s">
        <v>487</v>
      </c>
      <c r="C30" s="183">
        <v>380493</v>
      </c>
      <c r="D30" s="183">
        <v>39632</v>
      </c>
      <c r="E30" s="183">
        <f t="shared" si="0"/>
        <v>340861</v>
      </c>
      <c r="F30" s="183">
        <v>0</v>
      </c>
      <c r="G30" s="183">
        <v>18471</v>
      </c>
      <c r="H30" s="184">
        <f t="shared" si="1"/>
        <v>1535558</v>
      </c>
    </row>
    <row r="31" spans="1:14" ht="30.9" customHeight="1">
      <c r="A31" s="176">
        <v>45229</v>
      </c>
      <c r="B31" s="177" t="s">
        <v>488</v>
      </c>
      <c r="C31" s="183">
        <v>355739</v>
      </c>
      <c r="D31" s="183">
        <v>138624</v>
      </c>
      <c r="E31" s="183">
        <f t="shared" si="0"/>
        <v>217115</v>
      </c>
      <c r="F31" s="183">
        <v>0</v>
      </c>
      <c r="G31" s="183">
        <v>9841</v>
      </c>
      <c r="H31" s="184">
        <f t="shared" si="1"/>
        <v>1752673</v>
      </c>
    </row>
    <row r="32" spans="1:14" ht="30.9" customHeight="1">
      <c r="A32" s="176">
        <v>45230</v>
      </c>
      <c r="B32" s="177" t="s">
        <v>489</v>
      </c>
      <c r="C32" s="183">
        <v>280467</v>
      </c>
      <c r="D32" s="165">
        <v>485870</v>
      </c>
      <c r="E32" s="183">
        <f t="shared" si="0"/>
        <v>-205403</v>
      </c>
      <c r="F32" s="165">
        <v>-111</v>
      </c>
      <c r="G32" s="165">
        <v>10874</v>
      </c>
      <c r="H32" s="152">
        <f t="shared" si="1"/>
        <v>1547159</v>
      </c>
    </row>
    <row r="33" spans="1:8" ht="45" customHeight="1">
      <c r="A33" s="476" t="s">
        <v>247</v>
      </c>
      <c r="B33" s="477"/>
      <c r="C33" s="145">
        <f>SUM(C2:C32)</f>
        <v>12689656</v>
      </c>
      <c r="D33" s="145">
        <f>SUM(D2:D32)</f>
        <v>11138899</v>
      </c>
      <c r="E33" s="145">
        <f>SUM(E2:E32)</f>
        <v>1550757</v>
      </c>
      <c r="F33" s="145">
        <f>SUM(F2:F32)</f>
        <v>-3598</v>
      </c>
      <c r="G33" s="145">
        <f>SUM(G2:G32)</f>
        <v>339621</v>
      </c>
      <c r="H33" s="145">
        <f>H32</f>
        <v>1547159</v>
      </c>
    </row>
    <row r="34" spans="1:8">
      <c r="A34" s="69"/>
    </row>
    <row r="35" spans="1:8">
      <c r="A35" s="69"/>
    </row>
    <row r="36" spans="1:8">
      <c r="A36" s="69"/>
    </row>
    <row r="37" spans="1:8">
      <c r="A37" s="69"/>
    </row>
    <row r="38" spans="1:8">
      <c r="A38" s="69"/>
    </row>
    <row r="39" spans="1:8" ht="21" customHeight="1">
      <c r="A39" s="69"/>
    </row>
    <row r="40" spans="1:8" ht="23.1" customHeight="1">
      <c r="A40" s="69"/>
    </row>
    <row r="41" spans="1:8">
      <c r="A41" s="69"/>
    </row>
    <row r="42" spans="1:8" ht="29.1" customHeight="1">
      <c r="A42" s="69"/>
    </row>
    <row r="43" spans="1:8" ht="15" customHeight="1">
      <c r="A43" s="69"/>
    </row>
    <row r="44" spans="1:8">
      <c r="A44" s="69"/>
    </row>
    <row r="45" spans="1:8">
      <c r="A45" s="69"/>
    </row>
    <row r="46" spans="1:8">
      <c r="A46" s="69"/>
    </row>
    <row r="47" spans="1:8">
      <c r="A47" s="69"/>
    </row>
    <row r="48" spans="1:8">
      <c r="A48" s="69"/>
    </row>
    <row r="49" spans="1:1">
      <c r="A49" s="69"/>
    </row>
    <row r="50" spans="1:1" ht="18.899999999999999" customHeight="1">
      <c r="A50" s="69"/>
    </row>
  </sheetData>
  <mergeCells count="20">
    <mergeCell ref="I14:N14"/>
    <mergeCell ref="I16:K16"/>
    <mergeCell ref="L16:N16"/>
    <mergeCell ref="I17:N17"/>
    <mergeCell ref="A33:B33"/>
    <mergeCell ref="I21:N21"/>
    <mergeCell ref="I22:I23"/>
    <mergeCell ref="I11:N11"/>
    <mergeCell ref="A1:B1"/>
    <mergeCell ref="I1:N1"/>
    <mergeCell ref="I2:N2"/>
    <mergeCell ref="M3:N3"/>
    <mergeCell ref="I4:I5"/>
    <mergeCell ref="M4:N4"/>
    <mergeCell ref="M5:N5"/>
    <mergeCell ref="I6:N6"/>
    <mergeCell ref="M7:N7"/>
    <mergeCell ref="M8:N8"/>
    <mergeCell ref="J9:N9"/>
    <mergeCell ref="I10:N10"/>
  </mergeCells>
  <phoneticPr fontId="1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2445D-D840-D84B-90E3-E93ACFF09309}">
  <dimension ref="A1:L271"/>
  <sheetViews>
    <sheetView topLeftCell="A214" zoomScale="86" zoomScaleNormal="86" workbookViewId="0">
      <selection activeCell="D18" sqref="D18"/>
    </sheetView>
  </sheetViews>
  <sheetFormatPr defaultColWidth="10.6328125" defaultRowHeight="36.9" customHeight="1"/>
  <cols>
    <col min="1" max="1" width="12.6328125" style="203" bestFit="1" customWidth="1"/>
    <col min="2" max="2" width="21.36328125" style="203" customWidth="1"/>
    <col min="3" max="3" width="12.36328125" style="203" customWidth="1"/>
    <col min="4" max="5" width="10.6328125" style="203"/>
    <col min="6" max="6" width="11.36328125" style="203" customWidth="1"/>
    <col min="7" max="7" width="15.6328125" style="203" customWidth="1"/>
    <col min="8" max="8" width="18" style="203" customWidth="1"/>
    <col min="9" max="16384" width="10.6328125" style="203"/>
  </cols>
  <sheetData>
    <row r="1" spans="1:8" ht="36.9" customHeight="1">
      <c r="A1" s="202" t="s">
        <v>510</v>
      </c>
      <c r="B1" s="202" t="s">
        <v>511</v>
      </c>
      <c r="C1" s="202" t="s">
        <v>512</v>
      </c>
      <c r="F1" s="466" t="s">
        <v>519</v>
      </c>
      <c r="G1" s="466"/>
      <c r="H1" s="466"/>
    </row>
    <row r="2" spans="1:8" ht="36.9" customHeight="1">
      <c r="A2" s="618">
        <v>45231</v>
      </c>
      <c r="B2" s="618"/>
      <c r="C2" s="618"/>
      <c r="F2" s="204" t="s">
        <v>528</v>
      </c>
      <c r="G2" s="205">
        <f>SUMIF($C$3:$C$497,"=食材",$A$3:$A$497)</f>
        <v>7882672</v>
      </c>
      <c r="H2" s="619">
        <f>SUM(G2:G10)</f>
        <v>11196218</v>
      </c>
    </row>
    <row r="3" spans="1:8" ht="36.9" customHeight="1">
      <c r="A3" s="206">
        <v>18650</v>
      </c>
      <c r="B3" s="206" t="s">
        <v>198</v>
      </c>
      <c r="C3" s="206" t="s">
        <v>517</v>
      </c>
      <c r="F3" s="204" t="s">
        <v>529</v>
      </c>
      <c r="G3" s="205">
        <f>SUMIF($C$3:$C$497,"=消耗品",$A$3:$A$497)</f>
        <v>54827</v>
      </c>
      <c r="H3" s="620"/>
    </row>
    <row r="4" spans="1:8" ht="36.9" customHeight="1">
      <c r="A4" s="206">
        <v>88020</v>
      </c>
      <c r="B4" s="206" t="s">
        <v>132</v>
      </c>
      <c r="C4" s="206" t="s">
        <v>517</v>
      </c>
      <c r="F4" s="204" t="s">
        <v>530</v>
      </c>
      <c r="G4" s="205">
        <f>SUMIF($C$3:$C$497,"=家賃",$A$3:$A$497)</f>
        <v>132000</v>
      </c>
      <c r="H4" s="620"/>
    </row>
    <row r="5" spans="1:8" ht="36.9" customHeight="1">
      <c r="A5" s="206">
        <v>484215</v>
      </c>
      <c r="B5" s="206" t="s">
        <v>25</v>
      </c>
      <c r="C5" s="206" t="s">
        <v>517</v>
      </c>
      <c r="F5" s="204" t="s">
        <v>531</v>
      </c>
      <c r="G5" s="205">
        <f>SUMIF($C$3:$C$497,"=水代",$A$3:$A$497)</f>
        <v>0</v>
      </c>
      <c r="H5" s="620"/>
    </row>
    <row r="6" spans="1:8" ht="36.9" customHeight="1">
      <c r="A6" s="206">
        <v>26155</v>
      </c>
      <c r="B6" s="206" t="s">
        <v>541</v>
      </c>
      <c r="C6" s="206" t="s">
        <v>517</v>
      </c>
      <c r="F6" s="204" t="s">
        <v>532</v>
      </c>
      <c r="G6" s="205">
        <f>SUMIF($C$3:$C$497,"=電気代",$A$3:$A$497)</f>
        <v>67185</v>
      </c>
      <c r="H6" s="620"/>
    </row>
    <row r="7" spans="1:8" ht="36.9" customHeight="1">
      <c r="A7" s="206">
        <v>10400</v>
      </c>
      <c r="B7" s="206" t="s">
        <v>542</v>
      </c>
      <c r="C7" s="206" t="s">
        <v>517</v>
      </c>
      <c r="F7" s="204" t="s">
        <v>543</v>
      </c>
      <c r="G7" s="205">
        <f>SUMIF($C$3:$C$497,"=ガソリン",$A$3:$A$497)</f>
        <v>68588</v>
      </c>
      <c r="H7" s="620"/>
    </row>
    <row r="8" spans="1:8" ht="36.9" customHeight="1">
      <c r="A8" s="206">
        <v>59346</v>
      </c>
      <c r="B8" s="206" t="s">
        <v>277</v>
      </c>
      <c r="C8" s="206" t="s">
        <v>517</v>
      </c>
      <c r="F8" s="204" t="s">
        <v>533</v>
      </c>
      <c r="G8" s="205">
        <f>SUMIF($C$3:$C$497,"=米",$A$3:$A$497)</f>
        <v>693600</v>
      </c>
      <c r="H8" s="620"/>
    </row>
    <row r="9" spans="1:8" ht="36.9" customHeight="1">
      <c r="A9" s="471">
        <f>SUM(A3:A8)</f>
        <v>686786</v>
      </c>
      <c r="B9" s="471"/>
      <c r="C9" s="471"/>
      <c r="F9" s="204" t="s">
        <v>347</v>
      </c>
      <c r="G9" s="205">
        <f>SUMIF($C$3:$C$497,"=TPX",$A$3:$A$497)</f>
        <v>2101650</v>
      </c>
      <c r="H9" s="620"/>
    </row>
    <row r="10" spans="1:8" ht="36.9" customHeight="1">
      <c r="A10" s="618">
        <v>45232</v>
      </c>
      <c r="B10" s="618"/>
      <c r="C10" s="618"/>
      <c r="F10" s="204" t="s">
        <v>534</v>
      </c>
      <c r="G10" s="205">
        <f>SUMIF($C$3:$C$497,"=その他",$A$3:$A$497)</f>
        <v>195696</v>
      </c>
      <c r="H10" s="620"/>
    </row>
    <row r="11" spans="1:8" ht="36.9" customHeight="1">
      <c r="A11" s="206">
        <v>2510</v>
      </c>
      <c r="B11" s="206" t="s">
        <v>44</v>
      </c>
      <c r="C11" s="206" t="s">
        <v>515</v>
      </c>
    </row>
    <row r="12" spans="1:8" ht="36.9" customHeight="1">
      <c r="A12" s="206">
        <v>110</v>
      </c>
      <c r="B12" s="206" t="s">
        <v>21</v>
      </c>
      <c r="C12" s="206" t="s">
        <v>516</v>
      </c>
    </row>
    <row r="13" spans="1:8" ht="36.9" customHeight="1">
      <c r="A13" s="206">
        <v>8836</v>
      </c>
      <c r="B13" s="206" t="s">
        <v>544</v>
      </c>
      <c r="C13" s="206" t="s">
        <v>543</v>
      </c>
    </row>
    <row r="14" spans="1:8" ht="36.9" customHeight="1">
      <c r="A14" s="206">
        <v>82582</v>
      </c>
      <c r="B14" s="206" t="s">
        <v>545</v>
      </c>
      <c r="C14" s="206" t="s">
        <v>546</v>
      </c>
    </row>
    <row r="15" spans="1:8" ht="36.9" customHeight="1">
      <c r="A15" s="206">
        <v>15840</v>
      </c>
      <c r="B15" s="206" t="s">
        <v>198</v>
      </c>
      <c r="C15" s="206" t="s">
        <v>517</v>
      </c>
    </row>
    <row r="16" spans="1:8" ht="36.9" customHeight="1">
      <c r="A16" s="206">
        <v>45600</v>
      </c>
      <c r="B16" s="206" t="s">
        <v>18</v>
      </c>
      <c r="C16" s="206" t="s">
        <v>517</v>
      </c>
    </row>
    <row r="17" spans="1:3" ht="36.9" customHeight="1">
      <c r="A17" s="206">
        <v>62550</v>
      </c>
      <c r="B17" s="206" t="s">
        <v>277</v>
      </c>
      <c r="C17" s="206" t="s">
        <v>517</v>
      </c>
    </row>
    <row r="18" spans="1:3" ht="36.9" customHeight="1">
      <c r="A18" s="471">
        <f>SUM(A11:A17)</f>
        <v>218028</v>
      </c>
      <c r="B18" s="471"/>
      <c r="C18" s="471"/>
    </row>
    <row r="19" spans="1:3" ht="36.9" customHeight="1">
      <c r="A19" s="618">
        <v>45233</v>
      </c>
      <c r="B19" s="618"/>
      <c r="C19" s="618"/>
    </row>
    <row r="20" spans="1:3" ht="36.9" customHeight="1">
      <c r="A20" s="206">
        <v>160</v>
      </c>
      <c r="B20" s="206" t="s">
        <v>521</v>
      </c>
      <c r="C20" s="206" t="s">
        <v>515</v>
      </c>
    </row>
    <row r="21" spans="1:3" ht="36.9" customHeight="1">
      <c r="A21" s="206">
        <v>2000</v>
      </c>
      <c r="B21" s="206" t="s">
        <v>547</v>
      </c>
      <c r="C21" s="206" t="s">
        <v>552</v>
      </c>
    </row>
    <row r="22" spans="1:3" ht="36.9" customHeight="1">
      <c r="A22" s="206">
        <v>200440</v>
      </c>
      <c r="B22" s="206" t="s">
        <v>513</v>
      </c>
      <c r="C22" s="206" t="s">
        <v>553</v>
      </c>
    </row>
    <row r="23" spans="1:3" ht="36.9" customHeight="1">
      <c r="A23" s="206">
        <v>2754</v>
      </c>
      <c r="B23" s="206" t="s">
        <v>21</v>
      </c>
      <c r="C23" s="206" t="s">
        <v>554</v>
      </c>
    </row>
    <row r="24" spans="1:3" ht="36.9" customHeight="1">
      <c r="A24" s="206">
        <v>27328</v>
      </c>
      <c r="B24" s="206" t="s">
        <v>12</v>
      </c>
      <c r="C24" s="206" t="s">
        <v>517</v>
      </c>
    </row>
    <row r="25" spans="1:3" ht="36.9" customHeight="1">
      <c r="A25" s="206">
        <v>4900</v>
      </c>
      <c r="B25" s="206" t="s">
        <v>538</v>
      </c>
      <c r="C25" s="206" t="s">
        <v>517</v>
      </c>
    </row>
    <row r="26" spans="1:3" ht="36.9" customHeight="1">
      <c r="A26" s="206">
        <v>6182</v>
      </c>
      <c r="B26" s="206" t="s">
        <v>21</v>
      </c>
      <c r="C26" s="206" t="s">
        <v>516</v>
      </c>
    </row>
    <row r="27" spans="1:3" ht="36.9" customHeight="1">
      <c r="A27" s="206">
        <v>366430</v>
      </c>
      <c r="B27" s="206" t="s">
        <v>535</v>
      </c>
      <c r="C27" s="206" t="s">
        <v>517</v>
      </c>
    </row>
    <row r="28" spans="1:3" ht="36.9" customHeight="1">
      <c r="A28" s="206">
        <v>25072</v>
      </c>
      <c r="B28" s="206" t="s">
        <v>548</v>
      </c>
      <c r="C28" s="206" t="s">
        <v>517</v>
      </c>
    </row>
    <row r="29" spans="1:3" ht="36.9" customHeight="1">
      <c r="A29" s="206">
        <v>47670</v>
      </c>
      <c r="B29" s="206" t="s">
        <v>549</v>
      </c>
      <c r="C29" s="206" t="s">
        <v>517</v>
      </c>
    </row>
    <row r="30" spans="1:3" ht="36.9" customHeight="1">
      <c r="A30" s="206">
        <v>25996</v>
      </c>
      <c r="B30" s="206" t="s">
        <v>447</v>
      </c>
      <c r="C30" s="206" t="s">
        <v>517</v>
      </c>
    </row>
    <row r="31" spans="1:3" ht="36.9" customHeight="1">
      <c r="A31" s="206">
        <v>73750</v>
      </c>
      <c r="B31" s="206" t="s">
        <v>550</v>
      </c>
      <c r="C31" s="206" t="s">
        <v>517</v>
      </c>
    </row>
    <row r="32" spans="1:3" ht="36.9" customHeight="1">
      <c r="A32" s="206">
        <v>23900</v>
      </c>
      <c r="B32" s="206" t="s">
        <v>551</v>
      </c>
      <c r="C32" s="206" t="s">
        <v>517</v>
      </c>
    </row>
    <row r="33" spans="1:3" ht="36.9" customHeight="1">
      <c r="A33" s="206">
        <v>80000</v>
      </c>
      <c r="B33" s="206" t="s">
        <v>120</v>
      </c>
      <c r="C33" s="206" t="s">
        <v>525</v>
      </c>
    </row>
    <row r="34" spans="1:3" ht="36.9" customHeight="1">
      <c r="A34" s="471">
        <f>SUM(A20:A33)</f>
        <v>886582</v>
      </c>
      <c r="B34" s="471"/>
      <c r="C34" s="471"/>
    </row>
    <row r="35" spans="1:3" ht="36.9" customHeight="1">
      <c r="A35" s="618">
        <v>45234</v>
      </c>
      <c r="B35" s="618"/>
      <c r="C35" s="618"/>
    </row>
    <row r="36" spans="1:3" ht="36.9" customHeight="1">
      <c r="A36" s="206">
        <v>2510</v>
      </c>
      <c r="B36" s="206" t="s">
        <v>44</v>
      </c>
      <c r="C36" s="206" t="s">
        <v>515</v>
      </c>
    </row>
    <row r="37" spans="1:3" ht="36.9" customHeight="1">
      <c r="A37" s="206">
        <v>3350</v>
      </c>
      <c r="B37" s="206" t="s">
        <v>555</v>
      </c>
      <c r="C37" s="206" t="s">
        <v>517</v>
      </c>
    </row>
    <row r="38" spans="1:3" ht="36.9" customHeight="1">
      <c r="A38" s="206">
        <v>42000</v>
      </c>
      <c r="B38" s="206" t="s">
        <v>41</v>
      </c>
      <c r="C38" s="206" t="s">
        <v>517</v>
      </c>
    </row>
    <row r="39" spans="1:3" ht="36.9" customHeight="1">
      <c r="A39" s="206">
        <v>32462</v>
      </c>
      <c r="B39" s="206" t="s">
        <v>556</v>
      </c>
      <c r="C39" s="206" t="s">
        <v>517</v>
      </c>
    </row>
    <row r="40" spans="1:3" ht="36.9" customHeight="1">
      <c r="A40" s="206">
        <v>18400</v>
      </c>
      <c r="B40" s="206" t="s">
        <v>557</v>
      </c>
      <c r="C40" s="206" t="s">
        <v>517</v>
      </c>
    </row>
    <row r="41" spans="1:3" ht="36.9" customHeight="1">
      <c r="A41" s="471">
        <f>SUM(A36:A40)</f>
        <v>98722</v>
      </c>
      <c r="B41" s="471"/>
      <c r="C41" s="471"/>
    </row>
    <row r="42" spans="1:3" ht="36.9" customHeight="1">
      <c r="A42" s="618">
        <v>45235</v>
      </c>
      <c r="B42" s="618"/>
      <c r="C42" s="618"/>
    </row>
    <row r="43" spans="1:3" ht="36.9" customHeight="1">
      <c r="A43" s="206">
        <v>662</v>
      </c>
      <c r="B43" s="206" t="s">
        <v>114</v>
      </c>
      <c r="C43" s="206" t="s">
        <v>516</v>
      </c>
    </row>
    <row r="44" spans="1:3" ht="36.9" customHeight="1">
      <c r="A44" s="206">
        <v>600550</v>
      </c>
      <c r="B44" s="206" t="s">
        <v>17</v>
      </c>
      <c r="C44" s="206" t="s">
        <v>347</v>
      </c>
    </row>
    <row r="45" spans="1:3" ht="36.9" customHeight="1">
      <c r="A45" s="206">
        <v>59412</v>
      </c>
      <c r="B45" s="206" t="s">
        <v>558</v>
      </c>
      <c r="C45" s="206" t="s">
        <v>561</v>
      </c>
    </row>
    <row r="46" spans="1:3" ht="36.9" customHeight="1">
      <c r="A46" s="206">
        <v>33652</v>
      </c>
      <c r="B46" s="206" t="s">
        <v>559</v>
      </c>
      <c r="C46" s="206" t="s">
        <v>517</v>
      </c>
    </row>
    <row r="47" spans="1:3" ht="36.9" customHeight="1">
      <c r="A47" s="206">
        <v>67750</v>
      </c>
      <c r="B47" s="206" t="s">
        <v>560</v>
      </c>
      <c r="C47" s="206" t="s">
        <v>517</v>
      </c>
    </row>
    <row r="48" spans="1:3" ht="36.9" customHeight="1">
      <c r="A48" s="471">
        <f>SUM(A43:A47)</f>
        <v>762026</v>
      </c>
      <c r="B48" s="471"/>
      <c r="C48" s="471"/>
    </row>
    <row r="49" spans="1:3" ht="36.9" customHeight="1">
      <c r="A49" s="618">
        <v>45236</v>
      </c>
      <c r="B49" s="618"/>
      <c r="C49" s="618"/>
    </row>
    <row r="50" spans="1:3" ht="36.9" customHeight="1">
      <c r="A50" s="206">
        <v>82100</v>
      </c>
      <c r="B50" s="206" t="s">
        <v>116</v>
      </c>
      <c r="C50" s="206" t="s">
        <v>561</v>
      </c>
    </row>
    <row r="51" spans="1:3" ht="36.9" customHeight="1">
      <c r="A51" s="206">
        <v>118451</v>
      </c>
      <c r="B51" s="206" t="s">
        <v>25</v>
      </c>
      <c r="C51" s="206" t="s">
        <v>561</v>
      </c>
    </row>
    <row r="52" spans="1:3" ht="36.9" customHeight="1">
      <c r="A52" s="206">
        <v>62249</v>
      </c>
      <c r="B52" s="206" t="s">
        <v>13</v>
      </c>
      <c r="C52" s="206" t="s">
        <v>561</v>
      </c>
    </row>
    <row r="53" spans="1:3" ht="36.9" customHeight="1">
      <c r="A53" s="206">
        <v>27880</v>
      </c>
      <c r="B53" s="206" t="s">
        <v>562</v>
      </c>
      <c r="C53" s="206" t="s">
        <v>561</v>
      </c>
    </row>
    <row r="54" spans="1:3" ht="36.9" customHeight="1">
      <c r="A54" s="206">
        <v>88300</v>
      </c>
      <c r="B54" s="206" t="s">
        <v>120</v>
      </c>
      <c r="C54" s="206" t="s">
        <v>525</v>
      </c>
    </row>
    <row r="55" spans="1:3" ht="36.9" customHeight="1">
      <c r="A55" s="471">
        <f>SUM(A50:A54)</f>
        <v>378980</v>
      </c>
      <c r="B55" s="471"/>
      <c r="C55" s="471"/>
    </row>
    <row r="56" spans="1:3" ht="36.9" customHeight="1">
      <c r="A56" s="618">
        <v>45237</v>
      </c>
      <c r="B56" s="618"/>
      <c r="C56" s="618"/>
    </row>
    <row r="57" spans="1:3" ht="36.9" customHeight="1">
      <c r="A57" s="206">
        <v>2510</v>
      </c>
      <c r="B57" s="206" t="s">
        <v>44</v>
      </c>
      <c r="C57" s="206" t="s">
        <v>515</v>
      </c>
    </row>
    <row r="58" spans="1:3" ht="36.9" customHeight="1">
      <c r="A58" s="206">
        <v>18930</v>
      </c>
      <c r="B58" s="206" t="s">
        <v>563</v>
      </c>
      <c r="C58" s="206" t="s">
        <v>517</v>
      </c>
    </row>
    <row r="59" spans="1:3" ht="36.9" customHeight="1">
      <c r="A59" s="206">
        <v>9051</v>
      </c>
      <c r="B59" s="206" t="s">
        <v>544</v>
      </c>
      <c r="C59" s="206" t="s">
        <v>543</v>
      </c>
    </row>
    <row r="60" spans="1:3" ht="36.9" customHeight="1">
      <c r="A60" s="206">
        <v>16720</v>
      </c>
      <c r="B60" s="206" t="s">
        <v>518</v>
      </c>
      <c r="C60" s="206" t="s">
        <v>517</v>
      </c>
    </row>
    <row r="61" spans="1:3" ht="36.9" customHeight="1">
      <c r="A61" s="471">
        <f>SUM(A57:A60)</f>
        <v>47211</v>
      </c>
      <c r="B61" s="471"/>
      <c r="C61" s="471"/>
    </row>
    <row r="62" spans="1:3" ht="36.9" customHeight="1">
      <c r="A62" s="618">
        <v>45238</v>
      </c>
      <c r="B62" s="618"/>
      <c r="C62" s="618"/>
    </row>
    <row r="63" spans="1:3" ht="36.9" customHeight="1">
      <c r="A63" s="206">
        <v>99846</v>
      </c>
      <c r="B63" s="206" t="s">
        <v>277</v>
      </c>
      <c r="C63" s="206" t="s">
        <v>517</v>
      </c>
    </row>
    <row r="64" spans="1:3" ht="36.9" customHeight="1">
      <c r="A64" s="206">
        <v>29880</v>
      </c>
      <c r="B64" s="206" t="s">
        <v>551</v>
      </c>
      <c r="C64" s="206" t="s">
        <v>517</v>
      </c>
    </row>
    <row r="65" spans="1:3" ht="36.9" customHeight="1">
      <c r="A65" s="206">
        <v>37399</v>
      </c>
      <c r="B65" s="206" t="s">
        <v>25</v>
      </c>
      <c r="C65" s="206" t="s">
        <v>517</v>
      </c>
    </row>
    <row r="66" spans="1:3" ht="36.9" customHeight="1">
      <c r="A66" s="206">
        <v>29880</v>
      </c>
      <c r="B66" s="206" t="s">
        <v>564</v>
      </c>
      <c r="C66" s="206" t="s">
        <v>517</v>
      </c>
    </row>
    <row r="67" spans="1:3" ht="36.9" customHeight="1">
      <c r="A67" s="206">
        <v>142727</v>
      </c>
      <c r="B67" s="206" t="s">
        <v>549</v>
      </c>
      <c r="C67" s="206" t="s">
        <v>517</v>
      </c>
    </row>
    <row r="68" spans="1:3" ht="36.9" customHeight="1">
      <c r="A68" s="206">
        <v>49000</v>
      </c>
      <c r="B68" s="206" t="s">
        <v>103</v>
      </c>
      <c r="C68" s="206" t="s">
        <v>517</v>
      </c>
    </row>
    <row r="69" spans="1:3" ht="36.9" customHeight="1">
      <c r="A69" s="206">
        <v>44340</v>
      </c>
      <c r="B69" s="206" t="s">
        <v>132</v>
      </c>
      <c r="C69" s="206" t="s">
        <v>517</v>
      </c>
    </row>
    <row r="70" spans="1:3" ht="36.9" customHeight="1">
      <c r="A70" s="206">
        <v>14070</v>
      </c>
      <c r="B70" s="206" t="s">
        <v>565</v>
      </c>
      <c r="C70" s="206" t="s">
        <v>517</v>
      </c>
    </row>
    <row r="71" spans="1:3" ht="36.9" customHeight="1">
      <c r="A71" s="206">
        <v>87800</v>
      </c>
      <c r="B71" s="206" t="s">
        <v>120</v>
      </c>
      <c r="C71" s="206" t="s">
        <v>525</v>
      </c>
    </row>
    <row r="72" spans="1:3" ht="36.9" customHeight="1">
      <c r="A72" s="206">
        <v>15800</v>
      </c>
      <c r="B72" s="206" t="s">
        <v>143</v>
      </c>
      <c r="C72" s="206" t="s">
        <v>566</v>
      </c>
    </row>
    <row r="73" spans="1:3" ht="36.9" customHeight="1">
      <c r="A73" s="206">
        <v>90200</v>
      </c>
      <c r="B73" s="206" t="s">
        <v>116</v>
      </c>
      <c r="C73" s="206" t="s">
        <v>566</v>
      </c>
    </row>
    <row r="74" spans="1:3" ht="36.9" customHeight="1">
      <c r="A74" s="471">
        <f>SUM(A63:A73)</f>
        <v>640942</v>
      </c>
      <c r="B74" s="471"/>
      <c r="C74" s="471"/>
    </row>
    <row r="75" spans="1:3" ht="36.9" customHeight="1">
      <c r="A75" s="618">
        <v>45239</v>
      </c>
      <c r="B75" s="618"/>
      <c r="C75" s="618"/>
    </row>
    <row r="76" spans="1:3" ht="36.9" customHeight="1">
      <c r="A76" s="206">
        <v>807</v>
      </c>
      <c r="B76" s="206" t="s">
        <v>515</v>
      </c>
      <c r="C76" s="206" t="s">
        <v>515</v>
      </c>
    </row>
    <row r="77" spans="1:3" ht="36.9" customHeight="1">
      <c r="A77" s="206">
        <v>32240</v>
      </c>
      <c r="B77" s="206" t="s">
        <v>567</v>
      </c>
      <c r="C77" s="206" t="s">
        <v>517</v>
      </c>
    </row>
    <row r="78" spans="1:3" ht="36.9" customHeight="1">
      <c r="A78" s="206">
        <v>15331</v>
      </c>
      <c r="B78" s="206" t="s">
        <v>568</v>
      </c>
      <c r="C78" s="206" t="s">
        <v>517</v>
      </c>
    </row>
    <row r="79" spans="1:3" ht="36.9" customHeight="1">
      <c r="A79" s="206">
        <v>62770</v>
      </c>
      <c r="B79" s="206" t="s">
        <v>569</v>
      </c>
      <c r="C79" s="206" t="s">
        <v>517</v>
      </c>
    </row>
    <row r="80" spans="1:3" ht="36.9" customHeight="1">
      <c r="A80" s="206">
        <v>82300</v>
      </c>
      <c r="B80" s="206" t="s">
        <v>18</v>
      </c>
      <c r="C80" s="206" t="s">
        <v>517</v>
      </c>
    </row>
    <row r="81" spans="1:3" ht="36.9" customHeight="1">
      <c r="A81" s="471">
        <f>SUM(A76:A80)</f>
        <v>193448</v>
      </c>
      <c r="B81" s="471"/>
      <c r="C81" s="471"/>
    </row>
    <row r="82" spans="1:3" ht="36.9" customHeight="1">
      <c r="A82" s="618">
        <v>45240</v>
      </c>
      <c r="B82" s="618"/>
      <c r="C82" s="618"/>
    </row>
    <row r="83" spans="1:3" ht="36.9" customHeight="1">
      <c r="A83" s="206">
        <v>4900</v>
      </c>
      <c r="B83" s="206" t="s">
        <v>538</v>
      </c>
      <c r="C83" s="206" t="s">
        <v>517</v>
      </c>
    </row>
    <row r="84" spans="1:3" ht="36.9" customHeight="1">
      <c r="A84" s="206">
        <v>4287</v>
      </c>
      <c r="B84" s="206" t="s">
        <v>21</v>
      </c>
      <c r="C84" s="206" t="s">
        <v>573</v>
      </c>
    </row>
    <row r="85" spans="1:3" ht="36.9" customHeight="1">
      <c r="A85" s="206">
        <v>5000</v>
      </c>
      <c r="B85" s="206" t="s">
        <v>544</v>
      </c>
      <c r="C85" s="206" t="s">
        <v>517</v>
      </c>
    </row>
    <row r="86" spans="1:3" ht="36.9" customHeight="1">
      <c r="A86" s="206">
        <v>67185</v>
      </c>
      <c r="B86" s="206" t="s">
        <v>570</v>
      </c>
      <c r="C86" s="206" t="s">
        <v>574</v>
      </c>
    </row>
    <row r="87" spans="1:3" ht="36.9" customHeight="1">
      <c r="A87" s="206">
        <v>69400</v>
      </c>
      <c r="B87" s="206" t="s">
        <v>170</v>
      </c>
      <c r="C87" s="206" t="s">
        <v>517</v>
      </c>
    </row>
    <row r="88" spans="1:3" ht="36.9" customHeight="1">
      <c r="A88" s="206">
        <v>13431</v>
      </c>
      <c r="B88" s="206" t="s">
        <v>447</v>
      </c>
      <c r="C88" s="206" t="s">
        <v>517</v>
      </c>
    </row>
    <row r="89" spans="1:3" ht="36.9" customHeight="1">
      <c r="A89" s="471">
        <f>SUM(A83:A88)</f>
        <v>164203</v>
      </c>
      <c r="B89" s="471"/>
      <c r="C89" s="471"/>
    </row>
    <row r="90" spans="1:3" ht="36.9" customHeight="1">
      <c r="A90" s="618">
        <v>45241</v>
      </c>
      <c r="B90" s="618"/>
      <c r="C90" s="618"/>
    </row>
    <row r="91" spans="1:3" ht="36.9" customHeight="1">
      <c r="A91" s="206">
        <v>94422</v>
      </c>
      <c r="B91" s="206" t="s">
        <v>575</v>
      </c>
      <c r="C91" s="206" t="s">
        <v>517</v>
      </c>
    </row>
    <row r="92" spans="1:3" ht="36.9" customHeight="1">
      <c r="A92" s="206">
        <v>737</v>
      </c>
      <c r="B92" s="206" t="s">
        <v>572</v>
      </c>
      <c r="C92" s="206" t="s">
        <v>576</v>
      </c>
    </row>
    <row r="93" spans="1:3" ht="36.9" customHeight="1">
      <c r="A93" s="206">
        <v>10500</v>
      </c>
      <c r="B93" s="206" t="s">
        <v>219</v>
      </c>
      <c r="C93" s="206" t="s">
        <v>517</v>
      </c>
    </row>
    <row r="94" spans="1:3" ht="36.9" customHeight="1">
      <c r="A94" s="206">
        <v>26032</v>
      </c>
      <c r="B94" s="206" t="s">
        <v>277</v>
      </c>
      <c r="C94" s="206" t="s">
        <v>517</v>
      </c>
    </row>
    <row r="95" spans="1:3" ht="36.9" customHeight="1">
      <c r="A95" s="206">
        <v>71080</v>
      </c>
      <c r="B95" s="206" t="s">
        <v>571</v>
      </c>
      <c r="C95" s="206" t="s">
        <v>576</v>
      </c>
    </row>
    <row r="96" spans="1:3" ht="36.9" customHeight="1">
      <c r="A96" s="471">
        <f>SUM(A91:A95)</f>
        <v>202771</v>
      </c>
      <c r="B96" s="471"/>
      <c r="C96" s="471"/>
    </row>
    <row r="97" spans="1:3" ht="36.9" customHeight="1">
      <c r="A97" s="618">
        <v>45242</v>
      </c>
      <c r="B97" s="618"/>
      <c r="C97" s="618"/>
    </row>
    <row r="98" spans="1:3" ht="36.9" customHeight="1">
      <c r="A98" s="206">
        <v>9105</v>
      </c>
      <c r="B98" s="206" t="s">
        <v>30</v>
      </c>
      <c r="C98" s="206" t="s">
        <v>517</v>
      </c>
    </row>
    <row r="99" spans="1:3" ht="36.9" customHeight="1">
      <c r="A99" s="206">
        <v>22000</v>
      </c>
      <c r="B99" s="206" t="s">
        <v>575</v>
      </c>
      <c r="C99" s="206" t="s">
        <v>517</v>
      </c>
    </row>
    <row r="100" spans="1:3" ht="36.9" customHeight="1">
      <c r="A100" s="206">
        <v>30280</v>
      </c>
      <c r="B100" s="206" t="s">
        <v>575</v>
      </c>
      <c r="C100" s="206" t="s">
        <v>517</v>
      </c>
    </row>
    <row r="101" spans="1:3" ht="36.9" customHeight="1">
      <c r="A101" s="206">
        <v>44500</v>
      </c>
      <c r="B101" s="206" t="s">
        <v>100</v>
      </c>
      <c r="C101" s="206" t="s">
        <v>517</v>
      </c>
    </row>
    <row r="102" spans="1:3" ht="36.9" customHeight="1">
      <c r="A102" s="206">
        <v>23220</v>
      </c>
      <c r="B102" s="206" t="s">
        <v>597</v>
      </c>
      <c r="C102" s="206" t="s">
        <v>517</v>
      </c>
    </row>
    <row r="103" spans="1:3" ht="36.9" customHeight="1">
      <c r="A103" s="206">
        <v>20400</v>
      </c>
      <c r="B103" s="206" t="s">
        <v>13</v>
      </c>
      <c r="C103" s="206" t="s">
        <v>517</v>
      </c>
    </row>
    <row r="104" spans="1:3" ht="36.9" customHeight="1">
      <c r="A104" s="206">
        <v>11100</v>
      </c>
      <c r="B104" s="206" t="s">
        <v>18</v>
      </c>
      <c r="C104" s="206" t="s">
        <v>517</v>
      </c>
    </row>
    <row r="105" spans="1:3" ht="36.9" customHeight="1">
      <c r="A105" s="206">
        <v>53096</v>
      </c>
      <c r="B105" s="206" t="s">
        <v>598</v>
      </c>
      <c r="C105" s="206" t="s">
        <v>517</v>
      </c>
    </row>
    <row r="106" spans="1:3" ht="36.9" customHeight="1">
      <c r="A106" s="471">
        <f>SUM(A98:A105)</f>
        <v>213701</v>
      </c>
      <c r="B106" s="471"/>
      <c r="C106" s="471"/>
    </row>
    <row r="107" spans="1:3" ht="36.9" customHeight="1">
      <c r="A107" s="618">
        <v>45243</v>
      </c>
      <c r="B107" s="618"/>
      <c r="C107" s="618"/>
    </row>
    <row r="108" spans="1:3" ht="36.9" customHeight="1">
      <c r="A108" s="206">
        <v>6000</v>
      </c>
      <c r="B108" s="206" t="s">
        <v>30</v>
      </c>
      <c r="C108" s="206" t="s">
        <v>517</v>
      </c>
    </row>
    <row r="109" spans="1:3" ht="36.9" customHeight="1">
      <c r="A109" s="206">
        <v>3304</v>
      </c>
      <c r="B109" s="206" t="s">
        <v>114</v>
      </c>
      <c r="C109" s="206" t="s">
        <v>599</v>
      </c>
    </row>
    <row r="110" spans="1:3" ht="36.9" customHeight="1">
      <c r="A110" s="206">
        <v>9000</v>
      </c>
      <c r="B110" s="206" t="s">
        <v>544</v>
      </c>
      <c r="C110" s="206" t="s">
        <v>600</v>
      </c>
    </row>
    <row r="111" spans="1:3" ht="36.9" customHeight="1">
      <c r="A111" s="206">
        <v>2424</v>
      </c>
      <c r="B111" s="206" t="s">
        <v>601</v>
      </c>
      <c r="C111" s="206" t="s">
        <v>517</v>
      </c>
    </row>
    <row r="112" spans="1:3" ht="36.9" customHeight="1">
      <c r="A112" s="206">
        <v>3441</v>
      </c>
      <c r="B112" s="206" t="s">
        <v>243</v>
      </c>
      <c r="C112" s="206" t="s">
        <v>576</v>
      </c>
    </row>
    <row r="113" spans="1:3" ht="36.9" customHeight="1">
      <c r="A113" s="206">
        <v>17680</v>
      </c>
      <c r="B113" s="206" t="s">
        <v>575</v>
      </c>
      <c r="C113" s="206" t="s">
        <v>517</v>
      </c>
    </row>
    <row r="114" spans="1:3" ht="36.9" customHeight="1">
      <c r="A114" s="206">
        <v>78031</v>
      </c>
      <c r="B114" s="206" t="s">
        <v>549</v>
      </c>
      <c r="C114" s="206" t="s">
        <v>517</v>
      </c>
    </row>
    <row r="115" spans="1:3" ht="36.9" customHeight="1">
      <c r="A115" s="206">
        <v>78540</v>
      </c>
      <c r="B115" s="206" t="s">
        <v>116</v>
      </c>
      <c r="C115" s="206" t="s">
        <v>517</v>
      </c>
    </row>
    <row r="116" spans="1:3" ht="36.9" customHeight="1">
      <c r="A116" s="206">
        <v>26040</v>
      </c>
      <c r="B116" s="206" t="s">
        <v>577</v>
      </c>
      <c r="C116" s="206" t="s">
        <v>517</v>
      </c>
    </row>
    <row r="117" spans="1:3" ht="36.9" customHeight="1">
      <c r="A117" s="206">
        <v>43756</v>
      </c>
      <c r="B117" s="206" t="s">
        <v>578</v>
      </c>
      <c r="C117" s="206" t="s">
        <v>517</v>
      </c>
    </row>
    <row r="118" spans="1:3" ht="36.9" customHeight="1">
      <c r="A118" s="206">
        <v>141990</v>
      </c>
      <c r="B118" s="206" t="s">
        <v>234</v>
      </c>
      <c r="C118" s="206" t="s">
        <v>517</v>
      </c>
    </row>
    <row r="119" spans="1:3" ht="36.9" customHeight="1">
      <c r="A119" s="206">
        <v>700550</v>
      </c>
      <c r="B119" s="206" t="s">
        <v>347</v>
      </c>
      <c r="C119" s="206" t="s">
        <v>347</v>
      </c>
    </row>
    <row r="120" spans="1:3" ht="36.9" customHeight="1">
      <c r="A120" s="206">
        <v>200440</v>
      </c>
      <c r="B120" s="206" t="s">
        <v>575</v>
      </c>
      <c r="C120" s="206" t="s">
        <v>517</v>
      </c>
    </row>
    <row r="121" spans="1:3" ht="36.9" customHeight="1">
      <c r="A121" s="471">
        <f>SUM(A108:A120)</f>
        <v>1311196</v>
      </c>
      <c r="B121" s="471"/>
      <c r="C121" s="471"/>
    </row>
    <row r="122" spans="1:3" ht="36.9" customHeight="1">
      <c r="A122" s="618">
        <v>45244</v>
      </c>
      <c r="B122" s="618"/>
      <c r="C122" s="618"/>
    </row>
    <row r="123" spans="1:3" ht="36.9" customHeight="1">
      <c r="A123" s="206">
        <v>29100</v>
      </c>
      <c r="B123" s="206" t="s">
        <v>535</v>
      </c>
      <c r="C123" s="206" t="s">
        <v>517</v>
      </c>
    </row>
    <row r="124" spans="1:3" ht="36.9" customHeight="1">
      <c r="A124" s="206">
        <v>6915</v>
      </c>
      <c r="B124" s="206" t="s">
        <v>13</v>
      </c>
      <c r="C124" s="206" t="s">
        <v>517</v>
      </c>
    </row>
    <row r="125" spans="1:3" ht="36.9" customHeight="1">
      <c r="A125" s="206">
        <v>102800</v>
      </c>
      <c r="B125" s="206" t="s">
        <v>169</v>
      </c>
      <c r="C125" s="206" t="s">
        <v>517</v>
      </c>
    </row>
    <row r="126" spans="1:3" ht="36.9" customHeight="1">
      <c r="A126" s="206">
        <v>4260</v>
      </c>
      <c r="B126" s="206" t="s">
        <v>44</v>
      </c>
      <c r="C126" s="206" t="s">
        <v>576</v>
      </c>
    </row>
    <row r="127" spans="1:3" ht="36.9" customHeight="1">
      <c r="A127" s="206">
        <v>80000</v>
      </c>
      <c r="B127" s="206" t="s">
        <v>120</v>
      </c>
      <c r="C127" s="206" t="s">
        <v>517</v>
      </c>
    </row>
    <row r="128" spans="1:3" ht="36.9" customHeight="1">
      <c r="A128" s="206">
        <v>26440</v>
      </c>
      <c r="B128" s="206" t="s">
        <v>579</v>
      </c>
      <c r="C128" s="206" t="s">
        <v>517</v>
      </c>
    </row>
    <row r="129" spans="1:3" ht="36.9" customHeight="1">
      <c r="A129" s="206">
        <v>26400</v>
      </c>
      <c r="B129" s="206" t="s">
        <v>545</v>
      </c>
      <c r="C129" s="206" t="s">
        <v>517</v>
      </c>
    </row>
    <row r="130" spans="1:3" ht="36.9" customHeight="1">
      <c r="A130" s="471">
        <f>SUM(A123:A129)</f>
        <v>275915</v>
      </c>
      <c r="B130" s="471"/>
      <c r="C130" s="471"/>
    </row>
    <row r="131" spans="1:3" ht="36.9" customHeight="1">
      <c r="A131" s="618">
        <v>45245</v>
      </c>
      <c r="B131" s="618"/>
      <c r="C131" s="618"/>
    </row>
    <row r="132" spans="1:3" ht="36.9" customHeight="1">
      <c r="A132" s="206">
        <v>18400</v>
      </c>
      <c r="B132" s="206" t="s">
        <v>567</v>
      </c>
      <c r="C132" s="206" t="s">
        <v>517</v>
      </c>
    </row>
    <row r="133" spans="1:3" ht="36.9" customHeight="1">
      <c r="A133" s="206">
        <v>26690</v>
      </c>
      <c r="B133" s="206" t="s">
        <v>25</v>
      </c>
      <c r="C133" s="206" t="s">
        <v>517</v>
      </c>
    </row>
    <row r="134" spans="1:3" ht="36.9" customHeight="1">
      <c r="A134" s="206">
        <v>101460</v>
      </c>
      <c r="B134" s="206" t="s">
        <v>326</v>
      </c>
      <c r="C134" s="206" t="s">
        <v>517</v>
      </c>
    </row>
    <row r="135" spans="1:3" ht="36.9" customHeight="1">
      <c r="A135" s="206">
        <v>65356</v>
      </c>
      <c r="B135" s="206" t="s">
        <v>115</v>
      </c>
      <c r="C135" s="206" t="s">
        <v>517</v>
      </c>
    </row>
    <row r="136" spans="1:3" ht="36.9" customHeight="1">
      <c r="A136" s="206">
        <v>21650</v>
      </c>
      <c r="B136" s="206" t="s">
        <v>559</v>
      </c>
      <c r="C136" s="206" t="s">
        <v>517</v>
      </c>
    </row>
    <row r="137" spans="1:3" ht="36.9" customHeight="1">
      <c r="A137" s="206">
        <v>80042</v>
      </c>
      <c r="B137" s="206" t="s">
        <v>277</v>
      </c>
      <c r="C137" s="206" t="s">
        <v>517</v>
      </c>
    </row>
    <row r="138" spans="1:3" ht="36.9" customHeight="1">
      <c r="A138" s="471">
        <f>SUM(A132:A137)</f>
        <v>313598</v>
      </c>
      <c r="B138" s="471"/>
      <c r="C138" s="471"/>
    </row>
    <row r="139" spans="1:3" ht="36.9" customHeight="1">
      <c r="A139" s="618">
        <v>45246</v>
      </c>
      <c r="B139" s="618"/>
      <c r="C139" s="618"/>
    </row>
    <row r="140" spans="1:3" ht="36.9" customHeight="1">
      <c r="A140" s="206">
        <v>1040</v>
      </c>
      <c r="B140" s="206" t="s">
        <v>580</v>
      </c>
      <c r="C140" s="206" t="s">
        <v>602</v>
      </c>
    </row>
    <row r="141" spans="1:3" ht="36.9" customHeight="1">
      <c r="A141" s="206">
        <v>320</v>
      </c>
      <c r="B141" s="206" t="s">
        <v>581</v>
      </c>
      <c r="C141" s="206" t="s">
        <v>602</v>
      </c>
    </row>
    <row r="142" spans="1:3" ht="36.9" customHeight="1">
      <c r="A142" s="206">
        <v>8250</v>
      </c>
      <c r="B142" s="206" t="s">
        <v>582</v>
      </c>
      <c r="C142" s="206" t="s">
        <v>600</v>
      </c>
    </row>
    <row r="143" spans="1:3" ht="36.9" customHeight="1">
      <c r="A143" s="206">
        <v>49000</v>
      </c>
      <c r="B143" s="206" t="s">
        <v>103</v>
      </c>
      <c r="C143" s="206" t="s">
        <v>517</v>
      </c>
    </row>
    <row r="144" spans="1:3" ht="36.9" customHeight="1">
      <c r="A144" s="206">
        <v>22600</v>
      </c>
      <c r="B144" s="206" t="s">
        <v>583</v>
      </c>
      <c r="C144" s="206" t="s">
        <v>517</v>
      </c>
    </row>
    <row r="145" spans="1:12" ht="36.9" customHeight="1">
      <c r="A145" s="206">
        <v>90000</v>
      </c>
      <c r="B145" s="206" t="s">
        <v>197</v>
      </c>
      <c r="C145" s="206" t="s">
        <v>603</v>
      </c>
    </row>
    <row r="146" spans="1:12" ht="36.9" customHeight="1">
      <c r="A146" s="206">
        <v>44000</v>
      </c>
      <c r="B146" s="206" t="s">
        <v>176</v>
      </c>
      <c r="C146" s="206" t="s">
        <v>517</v>
      </c>
    </row>
    <row r="147" spans="1:12" ht="36.9" customHeight="1">
      <c r="A147" s="206">
        <v>32340</v>
      </c>
      <c r="B147" s="206" t="s">
        <v>584</v>
      </c>
      <c r="C147" s="206" t="s">
        <v>517</v>
      </c>
    </row>
    <row r="148" spans="1:12" ht="36.9" customHeight="1">
      <c r="A148" s="471">
        <f>SUM(A140:A147)</f>
        <v>247550</v>
      </c>
      <c r="B148" s="471"/>
      <c r="C148" s="471"/>
    </row>
    <row r="149" spans="1:12" ht="36.9" customHeight="1">
      <c r="A149" s="618">
        <v>45247</v>
      </c>
      <c r="B149" s="618"/>
      <c r="C149" s="618"/>
    </row>
    <row r="150" spans="1:12" ht="36.9" customHeight="1">
      <c r="A150" s="206">
        <v>8620</v>
      </c>
      <c r="B150" s="206" t="s">
        <v>21</v>
      </c>
      <c r="C150" s="206" t="s">
        <v>599</v>
      </c>
    </row>
    <row r="151" spans="1:12" ht="36.9" customHeight="1">
      <c r="A151" s="206">
        <v>46121</v>
      </c>
      <c r="B151" s="206" t="s">
        <v>12</v>
      </c>
      <c r="C151" s="206" t="s">
        <v>517</v>
      </c>
    </row>
    <row r="152" spans="1:12" ht="36.9" customHeight="1">
      <c r="A152" s="206">
        <v>24600</v>
      </c>
      <c r="B152" s="206" t="s">
        <v>221</v>
      </c>
      <c r="C152" s="206" t="s">
        <v>517</v>
      </c>
    </row>
    <row r="153" spans="1:12" ht="36.9" customHeight="1">
      <c r="A153" s="206">
        <v>24300</v>
      </c>
      <c r="B153" s="206" t="s">
        <v>116</v>
      </c>
      <c r="C153" s="206" t="s">
        <v>517</v>
      </c>
    </row>
    <row r="154" spans="1:12" ht="36.9" customHeight="1">
      <c r="A154" s="471">
        <f>SUM(A150:A153)</f>
        <v>103641</v>
      </c>
      <c r="B154" s="471"/>
      <c r="C154" s="471"/>
    </row>
    <row r="155" spans="1:12" ht="36.9" customHeight="1">
      <c r="A155" s="618">
        <v>45248</v>
      </c>
      <c r="B155" s="618"/>
      <c r="C155" s="618"/>
    </row>
    <row r="156" spans="1:12" ht="36.9" customHeight="1">
      <c r="A156" s="206">
        <v>28301</v>
      </c>
      <c r="B156" s="206" t="s">
        <v>586</v>
      </c>
      <c r="C156" s="206" t="s">
        <v>604</v>
      </c>
      <c r="L156" s="203" t="s">
        <v>585</v>
      </c>
    </row>
    <row r="157" spans="1:12" ht="36.9" customHeight="1">
      <c r="A157" s="206">
        <v>17288</v>
      </c>
      <c r="B157" s="206" t="s">
        <v>161</v>
      </c>
      <c r="C157" s="206" t="s">
        <v>604</v>
      </c>
    </row>
    <row r="158" spans="1:12" ht="36.9" customHeight="1">
      <c r="A158" s="206">
        <v>6358</v>
      </c>
      <c r="B158" s="206" t="s">
        <v>21</v>
      </c>
      <c r="C158" s="206" t="s">
        <v>599</v>
      </c>
      <c r="F158" s="203" t="s">
        <v>587</v>
      </c>
    </row>
    <row r="159" spans="1:12" ht="36.9" customHeight="1">
      <c r="A159" s="206">
        <v>30338</v>
      </c>
      <c r="B159" s="206" t="s">
        <v>30</v>
      </c>
      <c r="C159" s="206" t="s">
        <v>604</v>
      </c>
    </row>
    <row r="160" spans="1:12" ht="36.9" customHeight="1">
      <c r="A160" s="206">
        <v>8604</v>
      </c>
      <c r="B160" s="206" t="s">
        <v>582</v>
      </c>
      <c r="C160" s="206" t="s">
        <v>600</v>
      </c>
    </row>
    <row r="161" spans="1:3" ht="36.9" customHeight="1">
      <c r="A161" s="206">
        <v>2510</v>
      </c>
      <c r="B161" s="206" t="s">
        <v>243</v>
      </c>
      <c r="C161" s="206" t="s">
        <v>602</v>
      </c>
    </row>
    <row r="162" spans="1:3" ht="36.9" customHeight="1">
      <c r="A162" s="206">
        <v>2010</v>
      </c>
      <c r="B162" s="206" t="s">
        <v>243</v>
      </c>
      <c r="C162" s="206" t="s">
        <v>602</v>
      </c>
    </row>
    <row r="163" spans="1:3" ht="36.9" customHeight="1">
      <c r="A163" s="206">
        <v>67900</v>
      </c>
      <c r="B163" s="206" t="s">
        <v>120</v>
      </c>
      <c r="C163" s="206" t="s">
        <v>603</v>
      </c>
    </row>
    <row r="164" spans="1:3" ht="36.9" customHeight="1">
      <c r="A164" s="206">
        <v>93260</v>
      </c>
      <c r="B164" s="206" t="s">
        <v>25</v>
      </c>
      <c r="C164" s="206" t="s">
        <v>605</v>
      </c>
    </row>
    <row r="165" spans="1:3" ht="36.9" customHeight="1">
      <c r="A165" s="471">
        <f>SUM(A156:A164)</f>
        <v>256569</v>
      </c>
      <c r="B165" s="471"/>
      <c r="C165" s="471"/>
    </row>
    <row r="166" spans="1:3" ht="36.9" customHeight="1">
      <c r="A166" s="618">
        <v>45249</v>
      </c>
      <c r="B166" s="618"/>
      <c r="C166" s="618"/>
    </row>
    <row r="167" spans="1:3" ht="36.9" customHeight="1">
      <c r="A167" s="206">
        <v>272100</v>
      </c>
      <c r="B167" s="206" t="s">
        <v>25</v>
      </c>
      <c r="C167" s="206" t="s">
        <v>604</v>
      </c>
    </row>
    <row r="168" spans="1:3" ht="36.9" customHeight="1">
      <c r="A168" s="206">
        <v>16076</v>
      </c>
      <c r="B168" s="206" t="s">
        <v>142</v>
      </c>
      <c r="C168" s="206" t="s">
        <v>602</v>
      </c>
    </row>
    <row r="169" spans="1:3" ht="36.9" customHeight="1">
      <c r="A169" s="206">
        <v>23950</v>
      </c>
      <c r="B169" s="206" t="s">
        <v>25</v>
      </c>
      <c r="C169" s="206" t="s">
        <v>604</v>
      </c>
    </row>
    <row r="170" spans="1:3" ht="36.9" customHeight="1">
      <c r="A170" s="206">
        <v>71052</v>
      </c>
      <c r="B170" s="206" t="s">
        <v>13</v>
      </c>
      <c r="C170" s="206" t="s">
        <v>604</v>
      </c>
    </row>
    <row r="171" spans="1:3" ht="36.9" customHeight="1">
      <c r="A171" s="206">
        <v>18960</v>
      </c>
      <c r="B171" s="206" t="s">
        <v>588</v>
      </c>
      <c r="C171" s="206" t="s">
        <v>604</v>
      </c>
    </row>
    <row r="172" spans="1:3" ht="36.9" customHeight="1">
      <c r="A172" s="471">
        <f>SUM(A167:A171)</f>
        <v>402138</v>
      </c>
      <c r="B172" s="471"/>
      <c r="C172" s="471"/>
    </row>
    <row r="173" spans="1:3" ht="36.9" customHeight="1">
      <c r="A173" s="618">
        <v>45250</v>
      </c>
      <c r="B173" s="618"/>
      <c r="C173" s="618"/>
    </row>
    <row r="174" spans="1:3" ht="36.9" customHeight="1">
      <c r="A174" s="206">
        <v>58680</v>
      </c>
      <c r="B174" s="206" t="s">
        <v>132</v>
      </c>
      <c r="C174" s="206" t="s">
        <v>604</v>
      </c>
    </row>
    <row r="175" spans="1:3" ht="36.9" customHeight="1">
      <c r="A175" s="206">
        <v>22520</v>
      </c>
      <c r="B175" s="206" t="s">
        <v>277</v>
      </c>
      <c r="C175" s="206" t="s">
        <v>604</v>
      </c>
    </row>
    <row r="176" spans="1:3" ht="36.9" customHeight="1">
      <c r="A176" s="471">
        <f>SUM(A174:A175)</f>
        <v>81200</v>
      </c>
      <c r="B176" s="471"/>
      <c r="C176" s="471"/>
    </row>
    <row r="177" spans="1:3" ht="36.9" customHeight="1">
      <c r="A177" s="618">
        <v>45251</v>
      </c>
      <c r="B177" s="618"/>
      <c r="C177" s="618"/>
    </row>
    <row r="178" spans="1:3" ht="36.9" customHeight="1">
      <c r="A178" s="206">
        <v>17390</v>
      </c>
      <c r="B178" s="206" t="s">
        <v>563</v>
      </c>
      <c r="C178" s="206" t="s">
        <v>604</v>
      </c>
    </row>
    <row r="179" spans="1:3" ht="36.9" customHeight="1">
      <c r="A179" s="206">
        <v>22800</v>
      </c>
      <c r="B179" s="206" t="s">
        <v>143</v>
      </c>
      <c r="C179" s="206" t="s">
        <v>604</v>
      </c>
    </row>
    <row r="180" spans="1:3" ht="36.9" customHeight="1">
      <c r="A180" s="471">
        <f>SUM(A178:A179)</f>
        <v>40190</v>
      </c>
      <c r="B180" s="471"/>
      <c r="C180" s="471"/>
    </row>
    <row r="181" spans="1:3" ht="36.9" customHeight="1">
      <c r="A181" s="618">
        <v>45252</v>
      </c>
      <c r="B181" s="618"/>
      <c r="C181" s="618"/>
    </row>
    <row r="182" spans="1:3" ht="36.9" customHeight="1">
      <c r="A182" s="206">
        <v>2130</v>
      </c>
      <c r="B182" s="206" t="s">
        <v>243</v>
      </c>
      <c r="C182" s="206" t="s">
        <v>602</v>
      </c>
    </row>
    <row r="183" spans="1:3" ht="36.9" customHeight="1">
      <c r="A183" s="206">
        <v>64720</v>
      </c>
      <c r="B183" s="206" t="s">
        <v>589</v>
      </c>
      <c r="C183" s="206" t="s">
        <v>604</v>
      </c>
    </row>
    <row r="184" spans="1:3" ht="36.9" customHeight="1">
      <c r="A184" s="206">
        <v>72640</v>
      </c>
      <c r="B184" s="206" t="s">
        <v>25</v>
      </c>
      <c r="C184" s="206" t="s">
        <v>604</v>
      </c>
    </row>
    <row r="185" spans="1:3" ht="36.9" customHeight="1">
      <c r="A185" s="206">
        <v>10549</v>
      </c>
      <c r="B185" s="206" t="s">
        <v>590</v>
      </c>
      <c r="C185" s="206" t="s">
        <v>604</v>
      </c>
    </row>
    <row r="186" spans="1:3" ht="36.9" customHeight="1">
      <c r="A186" s="206">
        <v>15331</v>
      </c>
      <c r="B186" s="206" t="s">
        <v>568</v>
      </c>
      <c r="C186" s="206" t="s">
        <v>604</v>
      </c>
    </row>
    <row r="187" spans="1:3" ht="36.9" customHeight="1">
      <c r="A187" s="471">
        <f>SUM(A182:A186)</f>
        <v>165370</v>
      </c>
      <c r="B187" s="471"/>
      <c r="C187" s="471"/>
    </row>
    <row r="188" spans="1:3" ht="36.9" customHeight="1">
      <c r="A188" s="618">
        <v>45253</v>
      </c>
      <c r="B188" s="618"/>
      <c r="C188" s="618"/>
    </row>
    <row r="189" spans="1:3" ht="36.9" customHeight="1">
      <c r="A189" s="206">
        <v>81000</v>
      </c>
      <c r="B189" s="206" t="s">
        <v>575</v>
      </c>
      <c r="C189" s="206" t="s">
        <v>604</v>
      </c>
    </row>
    <row r="190" spans="1:3" ht="36.9" customHeight="1">
      <c r="A190" s="206">
        <v>13955</v>
      </c>
      <c r="B190" s="206" t="s">
        <v>21</v>
      </c>
      <c r="C190" s="206" t="s">
        <v>599</v>
      </c>
    </row>
    <row r="191" spans="1:3" ht="36.9" customHeight="1">
      <c r="A191" s="206">
        <v>84240</v>
      </c>
      <c r="B191" s="206" t="s">
        <v>132</v>
      </c>
      <c r="C191" s="206" t="s">
        <v>604</v>
      </c>
    </row>
    <row r="192" spans="1:3" ht="36.9" customHeight="1">
      <c r="A192" s="206">
        <v>49000</v>
      </c>
      <c r="B192" s="206" t="s">
        <v>103</v>
      </c>
      <c r="C192" s="206" t="s">
        <v>604</v>
      </c>
    </row>
    <row r="193" spans="1:3" ht="36.9" customHeight="1">
      <c r="A193" s="206">
        <v>8000</v>
      </c>
      <c r="B193" s="206" t="s">
        <v>544</v>
      </c>
      <c r="C193" s="206" t="s">
        <v>600</v>
      </c>
    </row>
    <row r="194" spans="1:3" ht="36.9" customHeight="1">
      <c r="A194" s="206">
        <v>21159</v>
      </c>
      <c r="B194" s="206" t="s">
        <v>591</v>
      </c>
      <c r="C194" s="206" t="s">
        <v>604</v>
      </c>
    </row>
    <row r="195" spans="1:3" ht="36.9" customHeight="1">
      <c r="A195" s="206">
        <v>139071</v>
      </c>
      <c r="B195" s="206" t="s">
        <v>592</v>
      </c>
      <c r="C195" s="206" t="s">
        <v>604</v>
      </c>
    </row>
    <row r="196" spans="1:3" ht="36.9" customHeight="1">
      <c r="A196" s="206">
        <v>73350</v>
      </c>
      <c r="B196" s="206" t="s">
        <v>18</v>
      </c>
      <c r="C196" s="206" t="s">
        <v>604</v>
      </c>
    </row>
    <row r="197" spans="1:3" ht="36.9" customHeight="1">
      <c r="A197" s="206">
        <v>25855</v>
      </c>
      <c r="B197" s="206" t="s">
        <v>25</v>
      </c>
      <c r="C197" s="206" t="s">
        <v>604</v>
      </c>
    </row>
    <row r="198" spans="1:3" ht="36.9" customHeight="1">
      <c r="A198" s="206">
        <v>76910</v>
      </c>
      <c r="B198" s="206" t="s">
        <v>277</v>
      </c>
      <c r="C198" s="206" t="s">
        <v>604</v>
      </c>
    </row>
    <row r="199" spans="1:3" ht="36.9" customHeight="1">
      <c r="A199" s="206">
        <v>38543</v>
      </c>
      <c r="B199" s="206" t="s">
        <v>593</v>
      </c>
      <c r="C199" s="206" t="s">
        <v>604</v>
      </c>
    </row>
    <row r="200" spans="1:3" ht="36.9" customHeight="1">
      <c r="A200" s="471">
        <f>SUM(A189:A199)</f>
        <v>611083</v>
      </c>
      <c r="B200" s="471"/>
      <c r="C200" s="471"/>
    </row>
    <row r="201" spans="1:3" ht="36.9" customHeight="1">
      <c r="A201" s="618">
        <v>45254</v>
      </c>
      <c r="B201" s="618"/>
      <c r="C201" s="618"/>
    </row>
    <row r="202" spans="1:3" ht="36.9" customHeight="1">
      <c r="A202" s="206">
        <v>10500</v>
      </c>
      <c r="B202" s="206" t="s">
        <v>18</v>
      </c>
      <c r="C202" s="206" t="s">
        <v>604</v>
      </c>
    </row>
    <row r="203" spans="1:3" ht="36.9" customHeight="1">
      <c r="A203" s="206">
        <v>3412</v>
      </c>
      <c r="B203" s="206" t="s">
        <v>594</v>
      </c>
      <c r="C203" s="206" t="s">
        <v>599</v>
      </c>
    </row>
    <row r="204" spans="1:3" ht="36.9" customHeight="1">
      <c r="A204" s="206">
        <v>34301</v>
      </c>
      <c r="B204" s="206" t="s">
        <v>12</v>
      </c>
      <c r="C204" s="206" t="s">
        <v>604</v>
      </c>
    </row>
    <row r="205" spans="1:3" ht="36.9" customHeight="1">
      <c r="A205" s="206">
        <v>27990</v>
      </c>
      <c r="B205" s="206" t="s">
        <v>595</v>
      </c>
      <c r="C205" s="206" t="s">
        <v>604</v>
      </c>
    </row>
    <row r="206" spans="1:3" ht="36.9" customHeight="1">
      <c r="A206" s="206">
        <v>54860</v>
      </c>
      <c r="B206" s="206" t="s">
        <v>277</v>
      </c>
      <c r="C206" s="206" t="s">
        <v>604</v>
      </c>
    </row>
    <row r="207" spans="1:3" ht="36.9" customHeight="1">
      <c r="A207" s="206">
        <v>10480</v>
      </c>
      <c r="B207" s="206" t="s">
        <v>121</v>
      </c>
      <c r="C207" s="206" t="s">
        <v>604</v>
      </c>
    </row>
    <row r="208" spans="1:3" ht="36.9" customHeight="1">
      <c r="A208" s="206">
        <v>44504</v>
      </c>
      <c r="B208" s="206" t="s">
        <v>25</v>
      </c>
      <c r="C208" s="206" t="s">
        <v>604</v>
      </c>
    </row>
    <row r="209" spans="1:3" ht="36.9" customHeight="1">
      <c r="A209" s="471">
        <f>SUM(A202:A208)</f>
        <v>186047</v>
      </c>
      <c r="B209" s="471"/>
      <c r="C209" s="471"/>
    </row>
    <row r="210" spans="1:3" ht="36.9" customHeight="1">
      <c r="A210" s="618">
        <v>45255</v>
      </c>
      <c r="B210" s="618"/>
      <c r="C210" s="618"/>
    </row>
    <row r="211" spans="1:3" ht="36.9" customHeight="1">
      <c r="A211" s="206">
        <v>90000</v>
      </c>
      <c r="B211" s="206" t="s">
        <v>120</v>
      </c>
      <c r="C211" s="206" t="s">
        <v>606</v>
      </c>
    </row>
    <row r="212" spans="1:3" ht="36.9" customHeight="1">
      <c r="A212" s="206">
        <v>9289</v>
      </c>
      <c r="B212" s="206" t="s">
        <v>544</v>
      </c>
      <c r="C212" s="206" t="s">
        <v>600</v>
      </c>
    </row>
    <row r="213" spans="1:3" ht="36.9" customHeight="1">
      <c r="A213" s="206">
        <v>520</v>
      </c>
      <c r="B213" s="206" t="s">
        <v>520</v>
      </c>
      <c r="C213" s="206" t="s">
        <v>602</v>
      </c>
    </row>
    <row r="214" spans="1:3" ht="36.9" customHeight="1">
      <c r="A214" s="206">
        <v>59904</v>
      </c>
      <c r="B214" s="206" t="s">
        <v>13</v>
      </c>
      <c r="C214" s="206" t="s">
        <v>604</v>
      </c>
    </row>
    <row r="215" spans="1:3" ht="36.9" customHeight="1">
      <c r="A215" s="206">
        <v>14439</v>
      </c>
      <c r="B215" s="206" t="s">
        <v>277</v>
      </c>
      <c r="C215" s="206" t="s">
        <v>604</v>
      </c>
    </row>
    <row r="216" spans="1:3" ht="36.9" customHeight="1">
      <c r="A216" s="206">
        <v>49000</v>
      </c>
      <c r="B216" s="206" t="s">
        <v>103</v>
      </c>
      <c r="C216" s="206" t="s">
        <v>604</v>
      </c>
    </row>
    <row r="217" spans="1:3" ht="36.9" customHeight="1">
      <c r="A217" s="206">
        <v>49190</v>
      </c>
      <c r="B217" s="206" t="s">
        <v>132</v>
      </c>
      <c r="C217" s="206" t="s">
        <v>604</v>
      </c>
    </row>
    <row r="218" spans="1:3" ht="36.9" customHeight="1">
      <c r="A218" s="471">
        <f>SUM(A211:A217)</f>
        <v>272342</v>
      </c>
      <c r="B218" s="471"/>
      <c r="C218" s="471"/>
    </row>
    <row r="219" spans="1:3" ht="36.9" customHeight="1">
      <c r="A219" s="618">
        <v>45256</v>
      </c>
      <c r="B219" s="618"/>
      <c r="C219" s="618"/>
    </row>
    <row r="220" spans="1:3" ht="36.9" customHeight="1">
      <c r="A220" s="206">
        <v>31600</v>
      </c>
      <c r="B220" s="206" t="s">
        <v>596</v>
      </c>
      <c r="C220" s="207" t="s">
        <v>515</v>
      </c>
    </row>
    <row r="221" spans="1:3" ht="36.9" customHeight="1">
      <c r="A221" s="206">
        <v>51120</v>
      </c>
      <c r="B221" s="206" t="s">
        <v>607</v>
      </c>
      <c r="C221" s="207" t="s">
        <v>561</v>
      </c>
    </row>
    <row r="222" spans="1:3" ht="36.9" customHeight="1">
      <c r="A222" s="206">
        <v>25150</v>
      </c>
      <c r="B222" s="206" t="s">
        <v>608</v>
      </c>
      <c r="C222" s="207" t="s">
        <v>561</v>
      </c>
    </row>
    <row r="223" spans="1:3" ht="36.9" customHeight="1">
      <c r="A223" s="206">
        <v>18598</v>
      </c>
      <c r="B223" s="206" t="s">
        <v>25</v>
      </c>
      <c r="C223" s="207" t="s">
        <v>561</v>
      </c>
    </row>
    <row r="224" spans="1:3" ht="36.9" customHeight="1">
      <c r="A224" s="206">
        <v>21130</v>
      </c>
      <c r="B224" s="206" t="s">
        <v>609</v>
      </c>
      <c r="C224" s="207" t="s">
        <v>561</v>
      </c>
    </row>
    <row r="225" spans="1:3" ht="36.9" customHeight="1">
      <c r="A225" s="206">
        <v>85550</v>
      </c>
      <c r="B225" s="206" t="s">
        <v>567</v>
      </c>
      <c r="C225" s="207" t="s">
        <v>561</v>
      </c>
    </row>
    <row r="226" spans="1:3" ht="36.9" customHeight="1">
      <c r="A226" s="206">
        <v>49140</v>
      </c>
      <c r="B226" s="206" t="s">
        <v>277</v>
      </c>
      <c r="C226" s="207" t="s">
        <v>561</v>
      </c>
    </row>
    <row r="227" spans="1:3" ht="36.9" customHeight="1">
      <c r="A227" s="206">
        <v>4900</v>
      </c>
      <c r="B227" s="206" t="s">
        <v>538</v>
      </c>
      <c r="C227" s="207" t="s">
        <v>561</v>
      </c>
    </row>
    <row r="228" spans="1:3" ht="36.9" customHeight="1">
      <c r="A228" s="206">
        <v>18400</v>
      </c>
      <c r="B228" s="206" t="s">
        <v>25</v>
      </c>
      <c r="C228" s="207" t="s">
        <v>561</v>
      </c>
    </row>
    <row r="229" spans="1:3" ht="36.9" customHeight="1">
      <c r="A229" s="471">
        <f>SUM(A220:A228)</f>
        <v>305588</v>
      </c>
      <c r="B229" s="471"/>
      <c r="C229" s="471"/>
    </row>
    <row r="230" spans="1:3" ht="36.9" customHeight="1">
      <c r="A230" s="618">
        <v>45257</v>
      </c>
      <c r="B230" s="618"/>
      <c r="C230" s="618"/>
    </row>
    <row r="231" spans="1:3" ht="36.9" customHeight="1">
      <c r="A231" s="206">
        <v>520</v>
      </c>
      <c r="B231" s="206" t="s">
        <v>610</v>
      </c>
      <c r="C231" s="207" t="s">
        <v>515</v>
      </c>
    </row>
    <row r="232" spans="1:3" ht="36.9" customHeight="1">
      <c r="A232" s="206">
        <v>800550</v>
      </c>
      <c r="B232" s="206" t="s">
        <v>347</v>
      </c>
      <c r="C232" s="207" t="s">
        <v>347</v>
      </c>
    </row>
    <row r="233" spans="1:3" ht="36.9" customHeight="1">
      <c r="A233" s="206">
        <v>19750</v>
      </c>
      <c r="B233" s="206" t="s">
        <v>609</v>
      </c>
      <c r="C233" s="207" t="s">
        <v>561</v>
      </c>
    </row>
    <row r="234" spans="1:3" ht="36.9" customHeight="1">
      <c r="A234" s="206">
        <v>78400</v>
      </c>
      <c r="B234" s="206" t="s">
        <v>611</v>
      </c>
      <c r="C234" s="207" t="s">
        <v>561</v>
      </c>
    </row>
    <row r="235" spans="1:3" ht="36.9" customHeight="1">
      <c r="A235" s="206">
        <v>42400</v>
      </c>
      <c r="B235" s="206" t="s">
        <v>113</v>
      </c>
      <c r="C235" s="207" t="s">
        <v>561</v>
      </c>
    </row>
    <row r="236" spans="1:3" ht="36.9" customHeight="1">
      <c r="A236" s="206">
        <v>14530</v>
      </c>
      <c r="B236" s="206" t="s">
        <v>612</v>
      </c>
      <c r="C236" s="207" t="s">
        <v>561</v>
      </c>
    </row>
    <row r="237" spans="1:3" ht="36.9" customHeight="1">
      <c r="A237" s="206">
        <v>32650</v>
      </c>
      <c r="B237" s="206" t="s">
        <v>126</v>
      </c>
      <c r="C237" s="207" t="s">
        <v>561</v>
      </c>
    </row>
    <row r="238" spans="1:3" ht="36.9" customHeight="1">
      <c r="A238" s="206">
        <v>30662</v>
      </c>
      <c r="B238" s="206" t="s">
        <v>568</v>
      </c>
      <c r="C238" s="207" t="s">
        <v>561</v>
      </c>
    </row>
    <row r="239" spans="1:3" ht="36.9" customHeight="1">
      <c r="A239" s="471">
        <f>SUM(A231:A238)</f>
        <v>1019462</v>
      </c>
      <c r="B239" s="471"/>
      <c r="C239" s="471"/>
    </row>
    <row r="240" spans="1:3" ht="36.9" customHeight="1">
      <c r="A240" s="618">
        <v>45258</v>
      </c>
      <c r="B240" s="618"/>
      <c r="C240" s="618"/>
    </row>
    <row r="241" spans="1:3" ht="36.9" customHeight="1">
      <c r="A241" s="206">
        <v>320</v>
      </c>
      <c r="B241" s="206" t="s">
        <v>521</v>
      </c>
      <c r="C241" s="207" t="s">
        <v>515</v>
      </c>
    </row>
    <row r="242" spans="1:3" ht="36.9" customHeight="1">
      <c r="A242" s="206">
        <v>49000</v>
      </c>
      <c r="B242" s="206" t="s">
        <v>103</v>
      </c>
      <c r="C242" s="207" t="s">
        <v>561</v>
      </c>
    </row>
    <row r="243" spans="1:3" ht="36.9" customHeight="1">
      <c r="A243" s="206">
        <v>132000</v>
      </c>
      <c r="B243" s="206" t="s">
        <v>32</v>
      </c>
      <c r="C243" s="207" t="s">
        <v>616</v>
      </c>
    </row>
    <row r="244" spans="1:3" ht="36.9" customHeight="1">
      <c r="A244" s="206">
        <v>100000</v>
      </c>
      <c r="B244" s="206" t="s">
        <v>120</v>
      </c>
      <c r="C244" s="207" t="s">
        <v>525</v>
      </c>
    </row>
    <row r="245" spans="1:3" ht="36.9" customHeight="1">
      <c r="A245" s="206">
        <v>26400</v>
      </c>
      <c r="B245" s="206" t="s">
        <v>265</v>
      </c>
      <c r="C245" s="207" t="s">
        <v>561</v>
      </c>
    </row>
    <row r="246" spans="1:3" ht="36.9" customHeight="1">
      <c r="A246" s="206">
        <v>18400</v>
      </c>
      <c r="B246" s="206" t="s">
        <v>613</v>
      </c>
      <c r="C246" s="207" t="s">
        <v>561</v>
      </c>
    </row>
    <row r="247" spans="1:3" ht="36.9" customHeight="1">
      <c r="A247" s="206">
        <v>30150</v>
      </c>
      <c r="B247" s="206" t="s">
        <v>614</v>
      </c>
      <c r="C247" s="207" t="s">
        <v>561</v>
      </c>
    </row>
    <row r="248" spans="1:3" ht="36.9" customHeight="1">
      <c r="A248" s="206">
        <v>3183</v>
      </c>
      <c r="B248" s="206" t="s">
        <v>21</v>
      </c>
      <c r="C248" s="207" t="s">
        <v>554</v>
      </c>
    </row>
    <row r="249" spans="1:3" ht="36.9" customHeight="1">
      <c r="A249" s="206">
        <v>30332</v>
      </c>
      <c r="B249" s="206" t="s">
        <v>51</v>
      </c>
      <c r="C249" s="207" t="s">
        <v>561</v>
      </c>
    </row>
    <row r="250" spans="1:3" ht="36.9" customHeight="1">
      <c r="A250" s="206">
        <v>26612</v>
      </c>
      <c r="B250" s="206" t="s">
        <v>615</v>
      </c>
      <c r="C250" s="207" t="s">
        <v>561</v>
      </c>
    </row>
    <row r="251" spans="1:3" ht="36.9" customHeight="1">
      <c r="A251" s="471">
        <f>SUM(A241:A250)</f>
        <v>416397</v>
      </c>
      <c r="B251" s="471"/>
      <c r="C251" s="471"/>
    </row>
    <row r="252" spans="1:3" ht="36.9" customHeight="1">
      <c r="A252" s="618">
        <v>45259</v>
      </c>
      <c r="B252" s="618"/>
      <c r="C252" s="618"/>
    </row>
    <row r="253" spans="1:3" ht="36.9" customHeight="1">
      <c r="A253" s="206">
        <v>75904</v>
      </c>
      <c r="B253" s="206" t="s">
        <v>13</v>
      </c>
      <c r="C253" s="207" t="s">
        <v>561</v>
      </c>
    </row>
    <row r="254" spans="1:3" ht="36.9" customHeight="1">
      <c r="A254" s="206">
        <v>12210</v>
      </c>
      <c r="B254" s="206" t="s">
        <v>617</v>
      </c>
      <c r="C254" s="207" t="s">
        <v>561</v>
      </c>
    </row>
    <row r="255" spans="1:3" ht="36.9" customHeight="1">
      <c r="A255" s="206">
        <v>49190</v>
      </c>
      <c r="B255" s="206" t="s">
        <v>545</v>
      </c>
      <c r="C255" s="207" t="s">
        <v>561</v>
      </c>
    </row>
    <row r="256" spans="1:3" ht="36.9" customHeight="1">
      <c r="A256" s="206">
        <v>32380</v>
      </c>
      <c r="B256" s="206" t="s">
        <v>618</v>
      </c>
      <c r="C256" s="207" t="s">
        <v>561</v>
      </c>
    </row>
    <row r="257" spans="1:3" ht="36.9" customHeight="1">
      <c r="A257" s="206">
        <v>89600</v>
      </c>
      <c r="B257" s="206" t="s">
        <v>120</v>
      </c>
      <c r="C257" s="207" t="s">
        <v>525</v>
      </c>
    </row>
    <row r="258" spans="1:3" ht="36.9" customHeight="1">
      <c r="A258" s="206">
        <v>36337</v>
      </c>
      <c r="B258" s="206" t="s">
        <v>619</v>
      </c>
      <c r="C258" s="207" t="s">
        <v>561</v>
      </c>
    </row>
    <row r="259" spans="1:3" ht="36.9" customHeight="1">
      <c r="A259" s="206">
        <v>49500</v>
      </c>
      <c r="B259" s="206" t="s">
        <v>18</v>
      </c>
      <c r="C259" s="207" t="s">
        <v>561</v>
      </c>
    </row>
    <row r="260" spans="1:3" ht="36.9" customHeight="1">
      <c r="A260" s="206">
        <v>98345</v>
      </c>
      <c r="B260" s="206" t="s">
        <v>115</v>
      </c>
      <c r="C260" s="207" t="s">
        <v>561</v>
      </c>
    </row>
    <row r="261" spans="1:3" ht="36.9" customHeight="1">
      <c r="A261" s="471">
        <f>SUM(A253:A260)</f>
        <v>443466</v>
      </c>
      <c r="B261" s="471"/>
      <c r="C261" s="471"/>
    </row>
    <row r="262" spans="1:3" ht="36.9" customHeight="1">
      <c r="A262" s="618">
        <v>45260</v>
      </c>
      <c r="B262" s="618"/>
      <c r="C262" s="618"/>
    </row>
    <row r="263" spans="1:3" ht="36.9" customHeight="1">
      <c r="A263" s="206">
        <v>2130</v>
      </c>
      <c r="B263" s="206" t="s">
        <v>44</v>
      </c>
      <c r="C263" s="207" t="s">
        <v>515</v>
      </c>
    </row>
    <row r="264" spans="1:3" ht="36.9" customHeight="1">
      <c r="A264" s="206">
        <v>7558</v>
      </c>
      <c r="B264" s="206" t="s">
        <v>544</v>
      </c>
      <c r="C264" s="207" t="s">
        <v>543</v>
      </c>
    </row>
    <row r="265" spans="1:3" ht="36.9" customHeight="1">
      <c r="A265" s="206">
        <v>17720</v>
      </c>
      <c r="B265" s="206" t="s">
        <v>265</v>
      </c>
      <c r="C265" s="207" t="s">
        <v>561</v>
      </c>
    </row>
    <row r="266" spans="1:3" ht="36.9" customHeight="1">
      <c r="A266" s="206">
        <v>48505</v>
      </c>
      <c r="B266" s="206" t="s">
        <v>620</v>
      </c>
      <c r="C266" s="207" t="s">
        <v>515</v>
      </c>
    </row>
    <row r="267" spans="1:3" ht="36.9" customHeight="1">
      <c r="A267" s="206">
        <v>26300</v>
      </c>
      <c r="B267" s="206" t="s">
        <v>277</v>
      </c>
      <c r="C267" s="207" t="s">
        <v>561</v>
      </c>
    </row>
    <row r="268" spans="1:3" ht="36.9" customHeight="1">
      <c r="A268" s="206">
        <v>78031</v>
      </c>
      <c r="B268" s="206" t="s">
        <v>621</v>
      </c>
      <c r="C268" s="207" t="s">
        <v>561</v>
      </c>
    </row>
    <row r="269" spans="1:3" ht="36.9" customHeight="1">
      <c r="A269" s="206">
        <v>23060</v>
      </c>
      <c r="B269" s="206" t="s">
        <v>277</v>
      </c>
      <c r="C269" s="207" t="s">
        <v>561</v>
      </c>
    </row>
    <row r="270" spans="1:3" ht="36.9" customHeight="1">
      <c r="A270" s="206">
        <v>47762</v>
      </c>
      <c r="B270" s="206" t="s">
        <v>622</v>
      </c>
      <c r="C270" s="207" t="s">
        <v>561</v>
      </c>
    </row>
    <row r="271" spans="1:3" ht="36.9" customHeight="1">
      <c r="A271" s="471">
        <f>SUM(A263:A270)</f>
        <v>251066</v>
      </c>
      <c r="B271" s="471"/>
      <c r="C271" s="471"/>
    </row>
  </sheetData>
  <mergeCells count="62">
    <mergeCell ref="A131:C131"/>
    <mergeCell ref="A138:C138"/>
    <mergeCell ref="A106:C106"/>
    <mergeCell ref="A107:C107"/>
    <mergeCell ref="A121:C121"/>
    <mergeCell ref="A122:C122"/>
    <mergeCell ref="A130:C130"/>
    <mergeCell ref="A82:C82"/>
    <mergeCell ref="A89:C89"/>
    <mergeCell ref="A90:C90"/>
    <mergeCell ref="A96:C96"/>
    <mergeCell ref="A97:C97"/>
    <mergeCell ref="A62:C62"/>
    <mergeCell ref="A74:C74"/>
    <mergeCell ref="A75:C75"/>
    <mergeCell ref="A81:C81"/>
    <mergeCell ref="A55:C55"/>
    <mergeCell ref="A56:C56"/>
    <mergeCell ref="A61:C61"/>
    <mergeCell ref="A42:C42"/>
    <mergeCell ref="A48:C48"/>
    <mergeCell ref="A49:C49"/>
    <mergeCell ref="A18:C18"/>
    <mergeCell ref="A19:C19"/>
    <mergeCell ref="A34:C34"/>
    <mergeCell ref="A35:C35"/>
    <mergeCell ref="F1:H1"/>
    <mergeCell ref="A2:C2"/>
    <mergeCell ref="A9:C9"/>
    <mergeCell ref="A10:C10"/>
    <mergeCell ref="A41:C41"/>
    <mergeCell ref="H2:H10"/>
    <mergeCell ref="A139:C139"/>
    <mergeCell ref="A148:C148"/>
    <mergeCell ref="A149:C149"/>
    <mergeCell ref="A154:C154"/>
    <mergeCell ref="A155:C155"/>
    <mergeCell ref="A165:C165"/>
    <mergeCell ref="A166:C166"/>
    <mergeCell ref="A172:C172"/>
    <mergeCell ref="A173:C173"/>
    <mergeCell ref="A176:C176"/>
    <mergeCell ref="A177:C177"/>
    <mergeCell ref="A180:C180"/>
    <mergeCell ref="A181:C181"/>
    <mergeCell ref="A187:C187"/>
    <mergeCell ref="A188:C188"/>
    <mergeCell ref="A200:C200"/>
    <mergeCell ref="A201:C201"/>
    <mergeCell ref="A209:C209"/>
    <mergeCell ref="A210:C210"/>
    <mergeCell ref="A218:C218"/>
    <mergeCell ref="A219:C219"/>
    <mergeCell ref="A229:C229"/>
    <mergeCell ref="A230:C230"/>
    <mergeCell ref="A239:C239"/>
    <mergeCell ref="A240:C240"/>
    <mergeCell ref="A251:C251"/>
    <mergeCell ref="A252:C252"/>
    <mergeCell ref="A261:C261"/>
    <mergeCell ref="A262:C262"/>
    <mergeCell ref="A271:C271"/>
  </mergeCells>
  <phoneticPr fontId="1"/>
  <pageMargins left="0.7" right="0.7" top="0.75" bottom="0.75" header="0.3" footer="0.3"/>
  <pageSetup paperSize="9" orientation="portrait" horizontalDpi="300" verticalDpi="300" copies="1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8CD0-08ED-2040-8F54-9F7870005EDD}">
  <dimension ref="A1:N50"/>
  <sheetViews>
    <sheetView topLeftCell="A13" zoomScale="70" zoomScaleNormal="70" workbookViewId="0">
      <selection activeCell="P9" sqref="P9"/>
    </sheetView>
  </sheetViews>
  <sheetFormatPr defaultColWidth="10.6328125" defaultRowHeight="18"/>
  <cols>
    <col min="1" max="1" width="3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8" style="69" customWidth="1"/>
    <col min="7" max="7" width="8.90625" style="69" customWidth="1"/>
    <col min="8" max="8" width="14.08984375" style="69" customWidth="1"/>
    <col min="9" max="14" width="11.453125" style="69" customWidth="1"/>
    <col min="15" max="16384" width="10.6328125" style="69"/>
  </cols>
  <sheetData>
    <row r="1" spans="1:14" ht="24" customHeight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133" t="s">
        <v>463</v>
      </c>
      <c r="H1" s="151" t="s">
        <v>464</v>
      </c>
      <c r="I1" s="502" t="s">
        <v>248</v>
      </c>
      <c r="J1" s="503"/>
      <c r="K1" s="503"/>
      <c r="L1" s="503"/>
      <c r="M1" s="503"/>
      <c r="N1" s="504"/>
    </row>
    <row r="2" spans="1:14" ht="30.9" customHeight="1">
      <c r="A2" s="176">
        <v>45231</v>
      </c>
      <c r="B2" s="177" t="s">
        <v>490</v>
      </c>
      <c r="C2" s="183">
        <v>389338</v>
      </c>
      <c r="D2" s="183">
        <v>686786</v>
      </c>
      <c r="E2" s="183">
        <f>C2-D2</f>
        <v>-297448</v>
      </c>
      <c r="F2" s="183">
        <v>-2</v>
      </c>
      <c r="G2" s="183">
        <v>12547</v>
      </c>
      <c r="H2" s="184">
        <f>E2+F2</f>
        <v>-297450</v>
      </c>
      <c r="I2" s="478" t="s">
        <v>249</v>
      </c>
      <c r="J2" s="479"/>
      <c r="K2" s="479"/>
      <c r="L2" s="479"/>
      <c r="M2" s="479"/>
      <c r="N2" s="480"/>
    </row>
    <row r="3" spans="1:14" ht="30.9" customHeight="1">
      <c r="A3" s="176">
        <v>45232</v>
      </c>
      <c r="B3" s="177" t="s">
        <v>491</v>
      </c>
      <c r="C3" s="183">
        <v>204632</v>
      </c>
      <c r="D3" s="183">
        <v>218028</v>
      </c>
      <c r="E3" s="183">
        <f t="shared" ref="E3:E32" si="0">C3-D3</f>
        <v>-13396</v>
      </c>
      <c r="F3" s="183">
        <v>-17</v>
      </c>
      <c r="G3" s="183">
        <v>0</v>
      </c>
      <c r="H3" s="184">
        <f>H2+E3+F3</f>
        <v>-310863</v>
      </c>
      <c r="I3" s="105" t="s">
        <v>247</v>
      </c>
      <c r="J3" s="71" t="s">
        <v>251</v>
      </c>
      <c r="K3" s="134" t="s">
        <v>252</v>
      </c>
      <c r="L3" s="134" t="s">
        <v>449</v>
      </c>
      <c r="M3" s="481" t="s">
        <v>415</v>
      </c>
      <c r="N3" s="481"/>
    </row>
    <row r="4" spans="1:14" ht="30.9" customHeight="1">
      <c r="A4" s="176">
        <v>45233</v>
      </c>
      <c r="B4" s="178" t="s">
        <v>485</v>
      </c>
      <c r="C4" s="183">
        <v>861190</v>
      </c>
      <c r="D4" s="183">
        <v>886582</v>
      </c>
      <c r="E4" s="183">
        <f t="shared" si="0"/>
        <v>-25392</v>
      </c>
      <c r="F4" s="183">
        <v>0</v>
      </c>
      <c r="G4" s="183">
        <v>45541</v>
      </c>
      <c r="H4" s="184">
        <f t="shared" ref="H4:H32" si="1">H3+E4+F4</f>
        <v>-336255</v>
      </c>
      <c r="I4" s="484">
        <f>C33</f>
        <v>12007335</v>
      </c>
      <c r="J4" s="90">
        <f>G33</f>
        <v>270102</v>
      </c>
      <c r="K4" s="135"/>
      <c r="L4" s="135">
        <f>F33</f>
        <v>-1378</v>
      </c>
      <c r="M4" s="486">
        <v>19881</v>
      </c>
      <c r="N4" s="486"/>
    </row>
    <row r="5" spans="1:14" ht="30.9" customHeight="1" thickBot="1">
      <c r="A5" s="176">
        <v>45234</v>
      </c>
      <c r="B5" s="178" t="s">
        <v>486</v>
      </c>
      <c r="C5" s="183">
        <v>401924</v>
      </c>
      <c r="D5" s="183">
        <v>98722</v>
      </c>
      <c r="E5" s="183">
        <f t="shared" si="0"/>
        <v>303202</v>
      </c>
      <c r="F5" s="183">
        <v>0</v>
      </c>
      <c r="G5" s="183">
        <v>8571</v>
      </c>
      <c r="H5" s="184">
        <f t="shared" si="1"/>
        <v>-33053</v>
      </c>
      <c r="I5" s="485"/>
      <c r="J5" s="98">
        <f>J4/I4</f>
        <v>2.249475008401115E-2</v>
      </c>
      <c r="K5" s="136">
        <f>K4/I4</f>
        <v>0</v>
      </c>
      <c r="L5" s="173">
        <f>L4/I4</f>
        <v>-1.147631843369074E-4</v>
      </c>
      <c r="M5" s="487">
        <f>M4/I4</f>
        <v>1.6557379301901712E-3</v>
      </c>
      <c r="N5" s="487"/>
    </row>
    <row r="6" spans="1:14" ht="30.9" customHeight="1" thickBot="1">
      <c r="A6" s="176">
        <v>45235</v>
      </c>
      <c r="B6" s="178" t="s">
        <v>487</v>
      </c>
      <c r="C6" s="183">
        <v>391274</v>
      </c>
      <c r="D6" s="183">
        <v>762026</v>
      </c>
      <c r="E6" s="183">
        <f t="shared" si="0"/>
        <v>-370752</v>
      </c>
      <c r="F6" s="183">
        <v>0</v>
      </c>
      <c r="G6" s="183">
        <v>0</v>
      </c>
      <c r="H6" s="184">
        <f t="shared" si="1"/>
        <v>-403805</v>
      </c>
      <c r="I6" s="488" t="s">
        <v>250</v>
      </c>
      <c r="J6" s="489"/>
      <c r="K6" s="489"/>
      <c r="L6" s="489"/>
      <c r="M6" s="490"/>
      <c r="N6" s="491"/>
    </row>
    <row r="7" spans="1:14" ht="30.9" customHeight="1" thickTop="1">
      <c r="A7" s="176">
        <v>45236</v>
      </c>
      <c r="B7" s="177" t="s">
        <v>488</v>
      </c>
      <c r="C7" s="183">
        <v>180736</v>
      </c>
      <c r="D7" s="183">
        <v>378980</v>
      </c>
      <c r="E7" s="183">
        <f t="shared" si="0"/>
        <v>-198244</v>
      </c>
      <c r="F7" s="183">
        <v>-22</v>
      </c>
      <c r="G7" s="183">
        <v>0</v>
      </c>
      <c r="H7" s="184">
        <f t="shared" si="1"/>
        <v>-602071</v>
      </c>
      <c r="I7" s="100" t="s">
        <v>241</v>
      </c>
      <c r="J7" s="72" t="s">
        <v>253</v>
      </c>
      <c r="K7" s="189" t="s">
        <v>624</v>
      </c>
      <c r="L7" s="71" t="s">
        <v>469</v>
      </c>
      <c r="M7" s="492" t="s">
        <v>247</v>
      </c>
      <c r="N7" s="493"/>
    </row>
    <row r="8" spans="1:14" ht="30.9" customHeight="1" thickBot="1">
      <c r="A8" s="176">
        <v>45237</v>
      </c>
      <c r="B8" s="177" t="s">
        <v>489</v>
      </c>
      <c r="C8" s="183">
        <v>315166</v>
      </c>
      <c r="D8" s="183">
        <v>47211</v>
      </c>
      <c r="E8" s="183">
        <f t="shared" si="0"/>
        <v>267955</v>
      </c>
      <c r="F8" s="183">
        <v>-29</v>
      </c>
      <c r="G8" s="183">
        <v>12475</v>
      </c>
      <c r="H8" s="184">
        <f t="shared" si="1"/>
        <v>-334145</v>
      </c>
      <c r="I8" s="101">
        <f>D33</f>
        <v>11196218</v>
      </c>
      <c r="J8" s="102">
        <f>L16</f>
        <v>705000</v>
      </c>
      <c r="K8" s="190">
        <f>N19</f>
        <v>55542</v>
      </c>
      <c r="L8" s="175">
        <f>J4*0.065</f>
        <v>17556.63</v>
      </c>
      <c r="M8" s="494">
        <f>SUM(I8:L8)</f>
        <v>11974316.630000001</v>
      </c>
      <c r="N8" s="495"/>
    </row>
    <row r="9" spans="1:14" ht="30.9" customHeight="1" thickBot="1">
      <c r="A9" s="176">
        <v>45238</v>
      </c>
      <c r="B9" s="177" t="s">
        <v>490</v>
      </c>
      <c r="C9" s="183">
        <v>186466</v>
      </c>
      <c r="D9" s="183">
        <v>640942</v>
      </c>
      <c r="E9" s="183">
        <f t="shared" si="0"/>
        <v>-454476</v>
      </c>
      <c r="F9" s="183">
        <v>24</v>
      </c>
      <c r="G9" s="183">
        <v>0</v>
      </c>
      <c r="H9" s="184">
        <f t="shared" si="1"/>
        <v>-788597</v>
      </c>
      <c r="I9" s="108" t="s">
        <v>266</v>
      </c>
      <c r="J9" s="496">
        <f>I4-M8-M4</f>
        <v>13137.36999999918</v>
      </c>
      <c r="K9" s="497"/>
      <c r="L9" s="497"/>
      <c r="M9" s="498"/>
      <c r="N9" s="499"/>
    </row>
    <row r="10" spans="1:14" ht="30.9" customHeight="1">
      <c r="A10" s="176">
        <v>45239</v>
      </c>
      <c r="B10" s="177" t="s">
        <v>491</v>
      </c>
      <c r="C10" s="183">
        <v>315770</v>
      </c>
      <c r="D10" s="183">
        <v>193448</v>
      </c>
      <c r="E10" s="183">
        <f t="shared" si="0"/>
        <v>122322</v>
      </c>
      <c r="F10" s="183">
        <v>-222</v>
      </c>
      <c r="G10" s="183">
        <v>0</v>
      </c>
      <c r="H10" s="184">
        <f t="shared" si="1"/>
        <v>-666497</v>
      </c>
      <c r="I10" s="482" t="s">
        <v>257</v>
      </c>
      <c r="J10" s="482"/>
      <c r="K10" s="482"/>
      <c r="L10" s="482"/>
      <c r="M10" s="482"/>
      <c r="N10" s="483"/>
    </row>
    <row r="11" spans="1:14" ht="30.9" customHeight="1">
      <c r="A11" s="176">
        <v>45240</v>
      </c>
      <c r="B11" s="178" t="s">
        <v>485</v>
      </c>
      <c r="C11" s="183">
        <v>635625</v>
      </c>
      <c r="D11" s="183">
        <v>164203</v>
      </c>
      <c r="E11" s="183">
        <f t="shared" si="0"/>
        <v>471422</v>
      </c>
      <c r="F11" s="183">
        <v>0</v>
      </c>
      <c r="G11" s="183">
        <v>11254</v>
      </c>
      <c r="H11" s="184">
        <f>H10+E11+F11</f>
        <v>-195075</v>
      </c>
      <c r="I11" s="472" t="s">
        <v>477</v>
      </c>
      <c r="J11" s="472"/>
      <c r="K11" s="472"/>
      <c r="L11" s="472"/>
      <c r="M11" s="472"/>
      <c r="N11" s="472"/>
    </row>
    <row r="12" spans="1:14" ht="30.9" customHeight="1">
      <c r="A12" s="176">
        <v>45241</v>
      </c>
      <c r="B12" s="178" t="s">
        <v>486</v>
      </c>
      <c r="C12" s="183">
        <v>987759</v>
      </c>
      <c r="D12" s="183">
        <v>202771</v>
      </c>
      <c r="E12" s="183">
        <f t="shared" si="0"/>
        <v>784988</v>
      </c>
      <c r="F12" s="183">
        <v>0</v>
      </c>
      <c r="G12" s="183">
        <v>24710</v>
      </c>
      <c r="H12" s="184">
        <f t="shared" si="1"/>
        <v>589913</v>
      </c>
      <c r="I12" s="171" t="s">
        <v>478</v>
      </c>
      <c r="J12" s="175" t="s">
        <v>479</v>
      </c>
      <c r="K12" s="175" t="s">
        <v>480</v>
      </c>
      <c r="L12" s="175" t="s">
        <v>455</v>
      </c>
      <c r="M12" s="175" t="s">
        <v>468</v>
      </c>
      <c r="N12" s="175" t="s">
        <v>230</v>
      </c>
    </row>
    <row r="13" spans="1:14" ht="30.9" customHeight="1">
      <c r="A13" s="176">
        <v>45242</v>
      </c>
      <c r="B13" s="178" t="s">
        <v>487</v>
      </c>
      <c r="C13" s="183">
        <v>367750</v>
      </c>
      <c r="D13" s="183">
        <v>213701</v>
      </c>
      <c r="E13" s="183">
        <f t="shared" si="0"/>
        <v>154049</v>
      </c>
      <c r="F13" s="183">
        <v>-779</v>
      </c>
      <c r="G13" s="183">
        <v>0</v>
      </c>
      <c r="H13" s="184">
        <f t="shared" si="1"/>
        <v>743183</v>
      </c>
      <c r="I13" s="172">
        <v>250000</v>
      </c>
      <c r="J13" s="175">
        <v>68500</v>
      </c>
      <c r="K13" s="175">
        <v>75000</v>
      </c>
      <c r="L13" s="175">
        <v>10000</v>
      </c>
      <c r="M13" s="172">
        <v>35500</v>
      </c>
      <c r="N13" s="172">
        <v>197000</v>
      </c>
    </row>
    <row r="14" spans="1:14" ht="30.9" customHeight="1">
      <c r="A14" s="176">
        <v>45243</v>
      </c>
      <c r="B14" s="177" t="s">
        <v>488</v>
      </c>
      <c r="C14" s="183">
        <v>268983</v>
      </c>
      <c r="D14" s="183">
        <v>1311196</v>
      </c>
      <c r="E14" s="183">
        <f t="shared" si="0"/>
        <v>-1042213</v>
      </c>
      <c r="F14" s="183">
        <v>22</v>
      </c>
      <c r="G14" s="183">
        <v>0</v>
      </c>
      <c r="H14" s="184">
        <f t="shared" si="1"/>
        <v>-299008</v>
      </c>
      <c r="I14" s="472" t="s">
        <v>481</v>
      </c>
      <c r="J14" s="472"/>
      <c r="K14" s="472"/>
      <c r="L14" s="472"/>
      <c r="M14" s="472"/>
      <c r="N14" s="472"/>
    </row>
    <row r="15" spans="1:14" ht="30.9" customHeight="1">
      <c r="A15" s="176">
        <v>45244</v>
      </c>
      <c r="B15" s="177" t="s">
        <v>489</v>
      </c>
      <c r="C15" s="183">
        <v>372138</v>
      </c>
      <c r="D15" s="183">
        <v>275915</v>
      </c>
      <c r="E15" s="183">
        <f t="shared" si="0"/>
        <v>96223</v>
      </c>
      <c r="F15" s="183">
        <v>-54</v>
      </c>
      <c r="G15" s="183">
        <v>15442</v>
      </c>
      <c r="H15" s="184">
        <f t="shared" si="1"/>
        <v>-202839</v>
      </c>
      <c r="I15" s="185">
        <v>69000</v>
      </c>
      <c r="J15" s="185"/>
      <c r="K15" s="185"/>
      <c r="L15" s="185"/>
      <c r="M15" s="185"/>
      <c r="N15" s="185"/>
    </row>
    <row r="16" spans="1:14" ht="30.9" customHeight="1">
      <c r="A16" s="176">
        <v>45245</v>
      </c>
      <c r="B16" s="177" t="s">
        <v>490</v>
      </c>
      <c r="C16" s="183">
        <v>272372</v>
      </c>
      <c r="D16" s="183">
        <v>313598</v>
      </c>
      <c r="E16" s="183">
        <f t="shared" si="0"/>
        <v>-41226</v>
      </c>
      <c r="F16" s="183">
        <v>-11</v>
      </c>
      <c r="G16" s="183">
        <v>0</v>
      </c>
      <c r="H16" s="184">
        <f t="shared" si="1"/>
        <v>-244076</v>
      </c>
      <c r="I16" s="473" t="s">
        <v>247</v>
      </c>
      <c r="J16" s="473"/>
      <c r="K16" s="473"/>
      <c r="L16" s="500">
        <f>SUM(I13:N13)+SUM(I15:N15)</f>
        <v>705000</v>
      </c>
      <c r="M16" s="500"/>
      <c r="N16" s="500"/>
    </row>
    <row r="17" spans="1:14" ht="30.9" customHeight="1">
      <c r="A17" s="176">
        <v>45246</v>
      </c>
      <c r="B17" s="177" t="s">
        <v>491</v>
      </c>
      <c r="C17" s="183">
        <v>243354</v>
      </c>
      <c r="D17" s="183">
        <v>247550</v>
      </c>
      <c r="E17" s="183">
        <f t="shared" si="0"/>
        <v>-4196</v>
      </c>
      <c r="F17" s="183">
        <v>0</v>
      </c>
      <c r="G17" s="183">
        <v>8521</v>
      </c>
      <c r="H17" s="184">
        <f t="shared" si="1"/>
        <v>-248272</v>
      </c>
      <c r="I17" s="474" t="s">
        <v>482</v>
      </c>
      <c r="J17" s="474"/>
      <c r="K17" s="474"/>
      <c r="L17" s="474"/>
      <c r="M17" s="474"/>
      <c r="N17" s="474"/>
    </row>
    <row r="18" spans="1:14" ht="30.9" customHeight="1">
      <c r="A18" s="176">
        <v>45247</v>
      </c>
      <c r="B18" s="178" t="s">
        <v>485</v>
      </c>
      <c r="C18" s="183">
        <v>605936</v>
      </c>
      <c r="D18" s="183">
        <v>103641</v>
      </c>
      <c r="E18" s="183">
        <f t="shared" si="0"/>
        <v>502295</v>
      </c>
      <c r="F18" s="183">
        <v>124</v>
      </c>
      <c r="G18" s="183">
        <v>12545</v>
      </c>
      <c r="H18" s="184">
        <f t="shared" si="1"/>
        <v>254147</v>
      </c>
      <c r="I18" s="71" t="s">
        <v>494</v>
      </c>
      <c r="J18" s="186" t="s">
        <v>495</v>
      </c>
      <c r="K18" s="71" t="s">
        <v>484</v>
      </c>
      <c r="L18" s="71" t="s">
        <v>492</v>
      </c>
      <c r="M18" s="187" t="s">
        <v>498</v>
      </c>
      <c r="N18" s="71" t="s">
        <v>247</v>
      </c>
    </row>
    <row r="19" spans="1:14" ht="30.9" customHeight="1">
      <c r="A19" s="176">
        <v>45248</v>
      </c>
      <c r="B19" s="178" t="s">
        <v>486</v>
      </c>
      <c r="C19" s="183">
        <v>534465</v>
      </c>
      <c r="D19" s="183">
        <v>256569</v>
      </c>
      <c r="E19" s="183">
        <f t="shared" si="0"/>
        <v>277896</v>
      </c>
      <c r="F19" s="183">
        <v>11</v>
      </c>
      <c r="G19" s="183">
        <v>0</v>
      </c>
      <c r="H19" s="184">
        <f>H18+E19+F19</f>
        <v>532054</v>
      </c>
      <c r="I19" s="181">
        <v>18000</v>
      </c>
      <c r="J19" s="181">
        <v>35000</v>
      </c>
      <c r="K19" s="181"/>
      <c r="L19" s="181"/>
      <c r="M19" s="188">
        <f>N23</f>
        <v>2542</v>
      </c>
      <c r="N19" s="181">
        <f>SUM(I19:M19)</f>
        <v>55542</v>
      </c>
    </row>
    <row r="20" spans="1:14" ht="30.9" customHeight="1">
      <c r="A20" s="176">
        <v>45249</v>
      </c>
      <c r="B20" s="178" t="s">
        <v>487</v>
      </c>
      <c r="C20" s="183">
        <v>234365</v>
      </c>
      <c r="D20" s="183">
        <v>402138</v>
      </c>
      <c r="E20" s="183">
        <f t="shared" si="0"/>
        <v>-167773</v>
      </c>
      <c r="F20" s="183">
        <v>-22</v>
      </c>
      <c r="G20" s="183">
        <v>0</v>
      </c>
      <c r="H20" s="184">
        <f t="shared" si="1"/>
        <v>364259</v>
      </c>
    </row>
    <row r="21" spans="1:14" ht="30.9" customHeight="1">
      <c r="A21" s="176">
        <v>45250</v>
      </c>
      <c r="B21" s="177" t="s">
        <v>488</v>
      </c>
      <c r="C21" s="183">
        <v>258659</v>
      </c>
      <c r="D21" s="183">
        <v>81200</v>
      </c>
      <c r="E21" s="183">
        <f t="shared" si="0"/>
        <v>177459</v>
      </c>
      <c r="F21" s="183">
        <v>-41</v>
      </c>
      <c r="G21" s="183">
        <v>15754</v>
      </c>
      <c r="H21" s="184">
        <f t="shared" si="1"/>
        <v>541677</v>
      </c>
      <c r="I21" s="616" t="s">
        <v>497</v>
      </c>
      <c r="J21" s="616"/>
      <c r="K21" s="616"/>
      <c r="L21" s="616"/>
      <c r="M21" s="616"/>
      <c r="N21" s="616"/>
    </row>
    <row r="22" spans="1:14" ht="30.9" customHeight="1">
      <c r="A22" s="176">
        <v>45251</v>
      </c>
      <c r="B22" s="177" t="s">
        <v>489</v>
      </c>
      <c r="C22" s="183">
        <v>266581</v>
      </c>
      <c r="D22" s="183">
        <v>40190</v>
      </c>
      <c r="E22" s="183">
        <f t="shared" si="0"/>
        <v>226391</v>
      </c>
      <c r="F22" s="183">
        <v>0</v>
      </c>
      <c r="G22" s="183">
        <v>12272</v>
      </c>
      <c r="H22" s="184">
        <f t="shared" si="1"/>
        <v>768068</v>
      </c>
      <c r="I22" s="617"/>
      <c r="J22" s="186" t="s">
        <v>625</v>
      </c>
      <c r="K22" s="71"/>
      <c r="L22" s="71"/>
      <c r="M22" s="71"/>
      <c r="N22" s="71" t="s">
        <v>247</v>
      </c>
    </row>
    <row r="23" spans="1:14" ht="30.9" customHeight="1">
      <c r="A23" s="176">
        <v>45252</v>
      </c>
      <c r="B23" s="177" t="s">
        <v>490</v>
      </c>
      <c r="C23" s="183">
        <v>359856</v>
      </c>
      <c r="D23" s="183">
        <v>165370</v>
      </c>
      <c r="E23" s="183">
        <f t="shared" si="0"/>
        <v>194486</v>
      </c>
      <c r="F23" s="183">
        <v>-254</v>
      </c>
      <c r="G23" s="183">
        <v>0</v>
      </c>
      <c r="H23" s="184">
        <f t="shared" si="1"/>
        <v>962300</v>
      </c>
      <c r="I23" s="579"/>
      <c r="J23" s="181">
        <v>2542</v>
      </c>
      <c r="K23" s="181"/>
      <c r="L23" s="181"/>
      <c r="M23" s="181"/>
      <c r="N23" s="181">
        <f>SUM(J23:M23)</f>
        <v>2542</v>
      </c>
    </row>
    <row r="24" spans="1:14" ht="30.9" customHeight="1">
      <c r="A24" s="176">
        <v>45253</v>
      </c>
      <c r="B24" s="177" t="s">
        <v>491</v>
      </c>
      <c r="C24" s="183">
        <v>332407</v>
      </c>
      <c r="D24" s="183">
        <v>611083</v>
      </c>
      <c r="E24" s="183">
        <f t="shared" si="0"/>
        <v>-278676</v>
      </c>
      <c r="F24" s="183">
        <v>0</v>
      </c>
      <c r="G24" s="183">
        <v>0</v>
      </c>
      <c r="H24" s="184">
        <f t="shared" si="1"/>
        <v>683624</v>
      </c>
    </row>
    <row r="25" spans="1:14" ht="30.9" customHeight="1">
      <c r="A25" s="176">
        <v>45254</v>
      </c>
      <c r="B25" s="178" t="s">
        <v>485</v>
      </c>
      <c r="C25" s="183">
        <v>679449</v>
      </c>
      <c r="D25" s="183">
        <v>186047</v>
      </c>
      <c r="E25" s="183">
        <f t="shared" si="0"/>
        <v>493402</v>
      </c>
      <c r="F25" s="183">
        <v>-4</v>
      </c>
      <c r="G25" s="183">
        <v>0</v>
      </c>
      <c r="H25" s="184">
        <f t="shared" si="1"/>
        <v>1177022</v>
      </c>
    </row>
    <row r="26" spans="1:14" ht="30.9" customHeight="1">
      <c r="A26" s="176">
        <v>45255</v>
      </c>
      <c r="B26" s="178" t="s">
        <v>486</v>
      </c>
      <c r="C26" s="183">
        <v>736726</v>
      </c>
      <c r="D26" s="183">
        <v>272342</v>
      </c>
      <c r="E26" s="183">
        <f t="shared" si="0"/>
        <v>464384</v>
      </c>
      <c r="F26" s="183">
        <v>0</v>
      </c>
      <c r="G26" s="183">
        <v>15756</v>
      </c>
      <c r="H26" s="184">
        <f t="shared" si="1"/>
        <v>1641406</v>
      </c>
    </row>
    <row r="27" spans="1:14" ht="30.9" customHeight="1">
      <c r="A27" s="176">
        <v>45256</v>
      </c>
      <c r="B27" s="178" t="s">
        <v>487</v>
      </c>
      <c r="C27" s="183">
        <v>509454</v>
      </c>
      <c r="D27" s="183">
        <v>305588</v>
      </c>
      <c r="E27" s="183">
        <f t="shared" si="0"/>
        <v>203866</v>
      </c>
      <c r="F27" s="183">
        <v>-125</v>
      </c>
      <c r="G27" s="183">
        <v>48510</v>
      </c>
      <c r="H27" s="184">
        <f t="shared" si="1"/>
        <v>1845147</v>
      </c>
    </row>
    <row r="28" spans="1:14" ht="30.9" customHeight="1">
      <c r="A28" s="176">
        <v>45257</v>
      </c>
      <c r="B28" s="177" t="s">
        <v>488</v>
      </c>
      <c r="C28" s="183">
        <v>328560</v>
      </c>
      <c r="D28" s="183">
        <v>1019462</v>
      </c>
      <c r="E28" s="183">
        <f t="shared" si="0"/>
        <v>-690902</v>
      </c>
      <c r="F28" s="183">
        <v>12</v>
      </c>
      <c r="G28" s="183">
        <v>0</v>
      </c>
      <c r="H28" s="184">
        <f t="shared" si="1"/>
        <v>1154257</v>
      </c>
    </row>
    <row r="29" spans="1:14" ht="30.9" customHeight="1">
      <c r="A29" s="176">
        <v>45258</v>
      </c>
      <c r="B29" s="177" t="s">
        <v>489</v>
      </c>
      <c r="C29" s="183">
        <v>155170</v>
      </c>
      <c r="D29" s="183">
        <v>416397</v>
      </c>
      <c r="E29" s="183">
        <f t="shared" si="0"/>
        <v>-261227</v>
      </c>
      <c r="F29" s="183">
        <v>0</v>
      </c>
      <c r="G29" s="183">
        <v>0</v>
      </c>
      <c r="H29" s="184">
        <f t="shared" si="1"/>
        <v>893030</v>
      </c>
    </row>
    <row r="30" spans="1:14" ht="30.9" customHeight="1">
      <c r="A30" s="176">
        <v>45259</v>
      </c>
      <c r="B30" s="177" t="s">
        <v>490</v>
      </c>
      <c r="C30" s="183">
        <v>370378</v>
      </c>
      <c r="D30" s="183">
        <v>443466</v>
      </c>
      <c r="E30" s="183">
        <f t="shared" si="0"/>
        <v>-73088</v>
      </c>
      <c r="F30" s="183">
        <v>0</v>
      </c>
      <c r="G30" s="183">
        <v>15750</v>
      </c>
      <c r="H30" s="184">
        <f t="shared" si="1"/>
        <v>819942</v>
      </c>
    </row>
    <row r="31" spans="1:14" ht="30.9" customHeight="1">
      <c r="A31" s="176">
        <v>45260</v>
      </c>
      <c r="B31" s="177" t="s">
        <v>491</v>
      </c>
      <c r="C31" s="183">
        <v>240852</v>
      </c>
      <c r="D31" s="183">
        <v>251066</v>
      </c>
      <c r="E31" s="183">
        <f t="shared" si="0"/>
        <v>-10214</v>
      </c>
      <c r="F31" s="183">
        <v>11</v>
      </c>
      <c r="G31" s="183">
        <v>10454</v>
      </c>
      <c r="H31" s="184">
        <f t="shared" si="1"/>
        <v>809739</v>
      </c>
    </row>
    <row r="32" spans="1:14" ht="30.9" customHeight="1">
      <c r="A32" s="176" t="s">
        <v>623</v>
      </c>
      <c r="B32" s="178" t="s">
        <v>485</v>
      </c>
      <c r="C32" s="183">
        <v>0</v>
      </c>
      <c r="D32" s="165">
        <v>0</v>
      </c>
      <c r="E32" s="183">
        <f t="shared" si="0"/>
        <v>0</v>
      </c>
      <c r="F32" s="165"/>
      <c r="G32" s="165"/>
      <c r="H32" s="152">
        <f t="shared" si="1"/>
        <v>809739</v>
      </c>
    </row>
    <row r="33" spans="1:8" ht="45" customHeight="1">
      <c r="A33" s="476" t="s">
        <v>247</v>
      </c>
      <c r="B33" s="477"/>
      <c r="C33" s="145">
        <f>SUM(C2:C32)</f>
        <v>12007335</v>
      </c>
      <c r="D33" s="145">
        <f>SUM(D2:D32)</f>
        <v>11196218</v>
      </c>
      <c r="E33" s="145">
        <f>SUM(E2:E32)</f>
        <v>811117</v>
      </c>
      <c r="F33" s="145">
        <f>SUM(F2:F32)</f>
        <v>-1378</v>
      </c>
      <c r="G33" s="145">
        <f>SUM(G2:G32)</f>
        <v>270102</v>
      </c>
      <c r="H33" s="145">
        <f>H32</f>
        <v>809739</v>
      </c>
    </row>
    <row r="34" spans="1:8">
      <c r="A34" s="69"/>
    </row>
    <row r="35" spans="1:8">
      <c r="A35" s="69"/>
    </row>
    <row r="36" spans="1:8">
      <c r="A36" s="69"/>
    </row>
    <row r="37" spans="1:8">
      <c r="A37" s="69"/>
    </row>
    <row r="38" spans="1:8">
      <c r="A38" s="69"/>
    </row>
    <row r="39" spans="1:8" ht="21" customHeight="1">
      <c r="A39" s="69"/>
    </row>
    <row r="40" spans="1:8" ht="23.1" customHeight="1">
      <c r="A40" s="69"/>
    </row>
    <row r="41" spans="1:8">
      <c r="A41" s="69"/>
    </row>
    <row r="42" spans="1:8" ht="29.1" customHeight="1">
      <c r="A42" s="69"/>
    </row>
    <row r="43" spans="1:8" ht="15" customHeight="1">
      <c r="A43" s="69"/>
    </row>
    <row r="44" spans="1:8">
      <c r="A44" s="69"/>
    </row>
    <row r="45" spans="1:8">
      <c r="A45" s="69"/>
    </row>
    <row r="46" spans="1:8">
      <c r="A46" s="69"/>
    </row>
    <row r="47" spans="1:8">
      <c r="A47" s="69"/>
    </row>
    <row r="48" spans="1:8">
      <c r="A48" s="69"/>
    </row>
    <row r="49" spans="1:1">
      <c r="A49" s="69"/>
    </row>
    <row r="50" spans="1:1" ht="18.899999999999999" customHeight="1">
      <c r="A50" s="69"/>
    </row>
  </sheetData>
  <mergeCells count="20">
    <mergeCell ref="A33:B33"/>
    <mergeCell ref="I14:N14"/>
    <mergeCell ref="I16:K16"/>
    <mergeCell ref="L16:N16"/>
    <mergeCell ref="I17:N17"/>
    <mergeCell ref="I21:N21"/>
    <mergeCell ref="I22:I23"/>
    <mergeCell ref="I11:N11"/>
    <mergeCell ref="A1:B1"/>
    <mergeCell ref="I1:N1"/>
    <mergeCell ref="I2:N2"/>
    <mergeCell ref="M3:N3"/>
    <mergeCell ref="I4:I5"/>
    <mergeCell ref="M4:N4"/>
    <mergeCell ref="M5:N5"/>
    <mergeCell ref="I6:N6"/>
    <mergeCell ref="M7:N7"/>
    <mergeCell ref="M8:N8"/>
    <mergeCell ref="J9:N9"/>
    <mergeCell ref="I10:N10"/>
  </mergeCells>
  <phoneticPr fontId="1"/>
  <pageMargins left="0.7" right="0.7" top="0.75" bottom="0.75" header="0.3" footer="0.3"/>
  <pageSetup paperSize="9" orientation="portrait" horizontalDpi="300" verticalDpi="300" copies="1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FE265-3B74-224D-B856-0AF28F5C2C94}">
  <dimension ref="A1:G36"/>
  <sheetViews>
    <sheetView workbookViewId="0">
      <selection activeCell="A34" sqref="A34"/>
    </sheetView>
  </sheetViews>
  <sheetFormatPr defaultColWidth="10.6328125" defaultRowHeight="36.9" customHeight="1"/>
  <cols>
    <col min="1" max="1" width="12.6328125" style="203" bestFit="1" customWidth="1"/>
    <col min="2" max="2" width="21.36328125" style="203" customWidth="1"/>
    <col min="3" max="5" width="10.6328125" style="203"/>
    <col min="6" max="6" width="15.6328125" style="203" customWidth="1"/>
    <col min="7" max="7" width="18" style="203" customWidth="1"/>
    <col min="8" max="16384" width="10.6328125" style="203"/>
  </cols>
  <sheetData>
    <row r="1" spans="1:7" ht="36.9" customHeight="1">
      <c r="A1" s="202" t="s">
        <v>510</v>
      </c>
      <c r="B1" s="202" t="s">
        <v>511</v>
      </c>
      <c r="C1" s="202" t="s">
        <v>512</v>
      </c>
      <c r="E1" s="466" t="s">
        <v>519</v>
      </c>
      <c r="F1" s="466"/>
      <c r="G1" s="466"/>
    </row>
    <row r="2" spans="1:7" ht="36.9" customHeight="1">
      <c r="A2" s="467">
        <v>45261</v>
      </c>
      <c r="B2" s="467"/>
      <c r="C2" s="467"/>
      <c r="E2" s="204" t="s">
        <v>528</v>
      </c>
      <c r="F2" s="205">
        <f>SUMIF($C$3:$C$193,"=食材",$A$3:$A$193)</f>
        <v>1079483</v>
      </c>
      <c r="G2" s="468">
        <f>SUM(F2:F8)</f>
        <v>1199761</v>
      </c>
    </row>
    <row r="3" spans="1:7" ht="36.9" customHeight="1">
      <c r="A3" s="206">
        <v>6776</v>
      </c>
      <c r="B3" s="206" t="s">
        <v>21</v>
      </c>
      <c r="C3" s="206" t="s">
        <v>516</v>
      </c>
      <c r="E3" s="204" t="s">
        <v>529</v>
      </c>
      <c r="F3" s="205">
        <f>SUMIF($C$3:$C$193,"=消耗品",$A$3:$A$193)</f>
        <v>6776</v>
      </c>
      <c r="G3" s="469"/>
    </row>
    <row r="4" spans="1:7" ht="36.9" customHeight="1">
      <c r="A4" s="206">
        <v>114020</v>
      </c>
      <c r="B4" s="206" t="s">
        <v>25</v>
      </c>
      <c r="C4" s="206" t="s">
        <v>517</v>
      </c>
      <c r="E4" s="204" t="s">
        <v>530</v>
      </c>
      <c r="F4" s="205">
        <f>SUMIF($C$3:$C$193,"=家賃",$A$3:$A$193)</f>
        <v>0</v>
      </c>
      <c r="G4" s="469"/>
    </row>
    <row r="5" spans="1:7" ht="36.9" customHeight="1">
      <c r="A5" s="206">
        <v>39400</v>
      </c>
      <c r="B5" s="206" t="s">
        <v>12</v>
      </c>
      <c r="C5" s="206" t="s">
        <v>517</v>
      </c>
      <c r="E5" s="204" t="s">
        <v>531</v>
      </c>
      <c r="F5" s="205">
        <f>SUMIF($C$3:$C$193,"=水代",$A$3:$A$193)</f>
        <v>9242</v>
      </c>
      <c r="G5" s="469"/>
    </row>
    <row r="6" spans="1:7" ht="36.9" customHeight="1">
      <c r="A6" s="206">
        <v>64705</v>
      </c>
      <c r="B6" s="206" t="s">
        <v>518</v>
      </c>
      <c r="C6" s="206" t="s">
        <v>517</v>
      </c>
      <c r="E6" s="204" t="s">
        <v>532</v>
      </c>
      <c r="F6" s="205">
        <f>SUMIF($C$3:$C$193,"=電気代",$A$3:$A$193)</f>
        <v>0</v>
      </c>
      <c r="G6" s="469"/>
    </row>
    <row r="7" spans="1:7" ht="36.9" customHeight="1">
      <c r="A7" s="206">
        <v>48790</v>
      </c>
      <c r="B7" s="206" t="s">
        <v>33</v>
      </c>
      <c r="C7" s="206" t="s">
        <v>517</v>
      </c>
      <c r="E7" s="204" t="s">
        <v>533</v>
      </c>
      <c r="F7" s="205">
        <f>SUMIF($C$3:$C$193,"=米",$A$3:$A$193)</f>
        <v>102500</v>
      </c>
      <c r="G7" s="469"/>
    </row>
    <row r="8" spans="1:7" ht="36.9" customHeight="1">
      <c r="A8" s="471">
        <f>SUM(A3:A7)</f>
        <v>273691</v>
      </c>
      <c r="B8" s="471"/>
      <c r="C8" s="471"/>
      <c r="E8" s="204" t="s">
        <v>534</v>
      </c>
      <c r="F8" s="205">
        <f>SUMIF($C$3:$C$193,"=その他",$A$3:$A$193)</f>
        <v>1760</v>
      </c>
      <c r="G8" s="470"/>
    </row>
    <row r="9" spans="1:7" ht="36.9" customHeight="1">
      <c r="A9" s="467">
        <v>45262</v>
      </c>
      <c r="B9" s="467"/>
      <c r="C9" s="467"/>
    </row>
    <row r="10" spans="1:7" ht="36.9" customHeight="1">
      <c r="A10" s="206">
        <v>520</v>
      </c>
      <c r="B10" s="206" t="s">
        <v>520</v>
      </c>
      <c r="C10" s="206" t="s">
        <v>515</v>
      </c>
    </row>
    <row r="11" spans="1:7" ht="36.9" customHeight="1">
      <c r="A11" s="206">
        <v>320</v>
      </c>
      <c r="B11" s="206" t="s">
        <v>521</v>
      </c>
      <c r="C11" s="206" t="s">
        <v>515</v>
      </c>
    </row>
    <row r="12" spans="1:7" ht="36.9" customHeight="1">
      <c r="A12" s="206">
        <v>9242</v>
      </c>
      <c r="B12" s="206" t="s">
        <v>522</v>
      </c>
      <c r="C12" s="206" t="s">
        <v>526</v>
      </c>
    </row>
    <row r="13" spans="1:7" ht="36.9" customHeight="1">
      <c r="A13" s="206">
        <v>50401</v>
      </c>
      <c r="B13" s="206" t="s">
        <v>41</v>
      </c>
      <c r="C13" s="206" t="s">
        <v>527</v>
      </c>
    </row>
    <row r="14" spans="1:7" ht="36.9" customHeight="1">
      <c r="A14" s="206">
        <v>53740</v>
      </c>
      <c r="B14" s="206" t="s">
        <v>523</v>
      </c>
      <c r="C14" s="206" t="s">
        <v>517</v>
      </c>
    </row>
    <row r="15" spans="1:7" ht="36.9" customHeight="1">
      <c r="A15" s="206">
        <v>41980</v>
      </c>
      <c r="B15" s="206" t="s">
        <v>277</v>
      </c>
      <c r="C15" s="206" t="s">
        <v>517</v>
      </c>
    </row>
    <row r="16" spans="1:7" ht="36.9" customHeight="1">
      <c r="A16" s="206">
        <v>59904</v>
      </c>
      <c r="B16" s="206" t="s">
        <v>524</v>
      </c>
      <c r="C16" s="206" t="s">
        <v>517</v>
      </c>
    </row>
    <row r="17" spans="1:3" ht="36.9" customHeight="1">
      <c r="A17" s="206">
        <v>102500</v>
      </c>
      <c r="B17" s="206" t="s">
        <v>120</v>
      </c>
      <c r="C17" s="206" t="s">
        <v>525</v>
      </c>
    </row>
    <row r="18" spans="1:3" ht="36.9" customHeight="1">
      <c r="A18" s="471">
        <f>SUM(A10:A17)</f>
        <v>318607</v>
      </c>
      <c r="B18" s="471"/>
      <c r="C18" s="471"/>
    </row>
    <row r="19" spans="1:3" ht="36.9" customHeight="1">
      <c r="A19" s="467">
        <v>45263</v>
      </c>
      <c r="B19" s="467"/>
      <c r="C19" s="467"/>
    </row>
    <row r="20" spans="1:3" ht="36.9" customHeight="1">
      <c r="A20" s="206">
        <v>141440</v>
      </c>
      <c r="B20" s="206" t="s">
        <v>513</v>
      </c>
      <c r="C20" s="206" t="s">
        <v>517</v>
      </c>
    </row>
    <row r="21" spans="1:3" ht="36.9" customHeight="1">
      <c r="A21" s="206">
        <v>400</v>
      </c>
      <c r="B21" s="206" t="s">
        <v>514</v>
      </c>
      <c r="C21" s="206" t="s">
        <v>515</v>
      </c>
    </row>
    <row r="22" spans="1:3" ht="36.9" customHeight="1">
      <c r="A22" s="206">
        <v>36330</v>
      </c>
      <c r="B22" s="206" t="s">
        <v>535</v>
      </c>
      <c r="C22" s="206" t="s">
        <v>517</v>
      </c>
    </row>
    <row r="23" spans="1:3" ht="36.9" customHeight="1">
      <c r="A23" s="206">
        <v>55900</v>
      </c>
      <c r="B23" s="206" t="s">
        <v>536</v>
      </c>
      <c r="C23" s="206" t="s">
        <v>517</v>
      </c>
    </row>
    <row r="24" spans="1:3" ht="36.9" customHeight="1">
      <c r="A24" s="206">
        <v>26440</v>
      </c>
      <c r="B24" s="206" t="s">
        <v>537</v>
      </c>
      <c r="C24" s="206" t="s">
        <v>517</v>
      </c>
    </row>
    <row r="25" spans="1:3" ht="36.9" customHeight="1">
      <c r="A25" s="206">
        <v>4900</v>
      </c>
      <c r="B25" s="206" t="s">
        <v>538</v>
      </c>
      <c r="C25" s="206" t="s">
        <v>517</v>
      </c>
    </row>
    <row r="26" spans="1:3" ht="36.9" customHeight="1">
      <c r="A26" s="206">
        <v>35220</v>
      </c>
      <c r="B26" s="206" t="s">
        <v>539</v>
      </c>
      <c r="C26" s="206" t="s">
        <v>517</v>
      </c>
    </row>
    <row r="27" spans="1:3" ht="36.9" customHeight="1">
      <c r="A27" s="206">
        <v>123560</v>
      </c>
      <c r="B27" s="206" t="s">
        <v>25</v>
      </c>
      <c r="C27" s="206" t="s">
        <v>517</v>
      </c>
    </row>
    <row r="28" spans="1:3" ht="36.9" customHeight="1">
      <c r="A28" s="206">
        <v>43412</v>
      </c>
      <c r="B28" s="206" t="s">
        <v>25</v>
      </c>
      <c r="C28" s="206" t="s">
        <v>517</v>
      </c>
    </row>
    <row r="29" spans="1:3" ht="36.9" customHeight="1">
      <c r="A29" s="621">
        <f>SUM(A20:A28)</f>
        <v>467602</v>
      </c>
      <c r="B29" s="621"/>
      <c r="C29" s="621"/>
    </row>
    <row r="30" spans="1:3" ht="36.9" customHeight="1">
      <c r="A30" s="467">
        <v>45264</v>
      </c>
      <c r="B30" s="467"/>
      <c r="C30" s="467"/>
    </row>
    <row r="31" spans="1:3" ht="36.9" customHeight="1">
      <c r="A31" s="206">
        <v>14780</v>
      </c>
      <c r="B31" s="206" t="s">
        <v>107</v>
      </c>
      <c r="C31" s="206" t="s">
        <v>517</v>
      </c>
    </row>
    <row r="32" spans="1:3" ht="36.9" customHeight="1">
      <c r="A32" s="206">
        <v>520</v>
      </c>
      <c r="B32" s="206" t="s">
        <v>520</v>
      </c>
      <c r="C32" s="206" t="s">
        <v>515</v>
      </c>
    </row>
    <row r="33" spans="1:3" ht="36.9" customHeight="1">
      <c r="A33" s="206">
        <v>27862</v>
      </c>
      <c r="B33" s="206" t="s">
        <v>447</v>
      </c>
      <c r="C33" s="206" t="s">
        <v>517</v>
      </c>
    </row>
    <row r="34" spans="1:3" ht="36.9" customHeight="1">
      <c r="A34" s="206">
        <v>20729</v>
      </c>
      <c r="B34" s="206" t="s">
        <v>540</v>
      </c>
      <c r="C34" s="206" t="s">
        <v>517</v>
      </c>
    </row>
    <row r="35" spans="1:3" ht="36.9" customHeight="1">
      <c r="A35" s="206">
        <v>75970</v>
      </c>
      <c r="B35" s="206" t="s">
        <v>33</v>
      </c>
      <c r="C35" s="206" t="s">
        <v>517</v>
      </c>
    </row>
    <row r="36" spans="1:3" ht="36.9" customHeight="1">
      <c r="A36" s="621">
        <f>SUM(A31:A35)</f>
        <v>139861</v>
      </c>
      <c r="B36" s="621"/>
      <c r="C36" s="621"/>
    </row>
  </sheetData>
  <mergeCells count="10">
    <mergeCell ref="A29:C29"/>
    <mergeCell ref="G2:G8"/>
    <mergeCell ref="A30:C30"/>
    <mergeCell ref="A36:C36"/>
    <mergeCell ref="E1:G1"/>
    <mergeCell ref="A2:C2"/>
    <mergeCell ref="A8:C8"/>
    <mergeCell ref="A9:C9"/>
    <mergeCell ref="A18:C18"/>
    <mergeCell ref="A19:C19"/>
  </mergeCells>
  <phoneticPr fontId="1"/>
  <pageMargins left="0.7" right="0.7" top="0.75" bottom="0.75" header="0.3" footer="0.3"/>
  <pageSetup paperSize="9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A06B3-85A2-FF4F-88FD-467DB6A4A02B}">
  <dimension ref="A1:N50"/>
  <sheetViews>
    <sheetView topLeftCell="B28" zoomScaleNormal="100" workbookViewId="0">
      <selection activeCell="E11" sqref="E11"/>
    </sheetView>
  </sheetViews>
  <sheetFormatPr defaultColWidth="10.6328125" defaultRowHeight="18"/>
  <cols>
    <col min="1" max="1" width="5.90625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8" style="69" customWidth="1"/>
    <col min="7" max="7" width="7.90625" style="69" customWidth="1"/>
    <col min="8" max="8" width="12.453125" style="69" customWidth="1"/>
    <col min="9" max="14" width="11.453125" style="69" customWidth="1"/>
    <col min="15" max="16384" width="10.6328125" style="69"/>
  </cols>
  <sheetData>
    <row r="1" spans="1:14" ht="24" customHeight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133" t="s">
        <v>463</v>
      </c>
      <c r="H1" s="151" t="s">
        <v>464</v>
      </c>
      <c r="I1" s="502" t="s">
        <v>248</v>
      </c>
      <c r="J1" s="503"/>
      <c r="K1" s="503"/>
      <c r="L1" s="503"/>
      <c r="M1" s="503"/>
      <c r="N1" s="504"/>
    </row>
    <row r="2" spans="1:14" ht="30.9" customHeight="1">
      <c r="A2" s="176">
        <v>45261</v>
      </c>
      <c r="B2" s="178" t="s">
        <v>485</v>
      </c>
      <c r="C2" s="183">
        <v>738781</v>
      </c>
      <c r="D2" s="183">
        <v>273691</v>
      </c>
      <c r="E2" s="183">
        <f>C2-D2</f>
        <v>465090</v>
      </c>
      <c r="F2" s="183">
        <v>0</v>
      </c>
      <c r="G2" s="183">
        <v>34521</v>
      </c>
      <c r="H2" s="184">
        <f>E2+F2</f>
        <v>465090</v>
      </c>
      <c r="I2" s="478" t="s">
        <v>249</v>
      </c>
      <c r="J2" s="479"/>
      <c r="K2" s="479"/>
      <c r="L2" s="479"/>
      <c r="M2" s="479"/>
      <c r="N2" s="480"/>
    </row>
    <row r="3" spans="1:14" ht="30.9" customHeight="1">
      <c r="A3" s="176">
        <v>45262</v>
      </c>
      <c r="B3" s="178" t="s">
        <v>486</v>
      </c>
      <c r="C3" s="183">
        <v>595882</v>
      </c>
      <c r="D3" s="183">
        <v>318607</v>
      </c>
      <c r="E3" s="183">
        <f t="shared" ref="E3:E32" si="0">C3-D3</f>
        <v>277275</v>
      </c>
      <c r="F3" s="183">
        <v>0</v>
      </c>
      <c r="G3" s="183">
        <v>0</v>
      </c>
      <c r="H3" s="184">
        <f>H2+E3+F3</f>
        <v>742365</v>
      </c>
      <c r="I3" s="105" t="s">
        <v>247</v>
      </c>
      <c r="J3" s="71" t="s">
        <v>251</v>
      </c>
      <c r="K3" s="134" t="s">
        <v>252</v>
      </c>
      <c r="L3" s="134" t="s">
        <v>449</v>
      </c>
      <c r="M3" s="481" t="s">
        <v>415</v>
      </c>
      <c r="N3" s="481"/>
    </row>
    <row r="4" spans="1:14" ht="30.9" customHeight="1">
      <c r="A4" s="176">
        <v>45263</v>
      </c>
      <c r="B4" s="178" t="s">
        <v>487</v>
      </c>
      <c r="C4" s="183">
        <v>402381</v>
      </c>
      <c r="D4" s="183">
        <v>467602</v>
      </c>
      <c r="E4" s="183">
        <f t="shared" si="0"/>
        <v>-65221</v>
      </c>
      <c r="F4" s="183">
        <v>-27</v>
      </c>
      <c r="G4" s="183">
        <v>0</v>
      </c>
      <c r="H4" s="184">
        <f t="shared" ref="H4:H32" si="1">H3+E4+F4</f>
        <v>677117</v>
      </c>
      <c r="I4" s="484">
        <f>C33</f>
        <v>15504613</v>
      </c>
      <c r="J4" s="90">
        <f>G33</f>
        <v>318236</v>
      </c>
      <c r="K4" s="135"/>
      <c r="L4" s="135">
        <f>F33</f>
        <v>-2561</v>
      </c>
      <c r="M4" s="486">
        <v>17416</v>
      </c>
      <c r="N4" s="486"/>
    </row>
    <row r="5" spans="1:14" ht="30.9" customHeight="1" thickBot="1">
      <c r="A5" s="176">
        <v>45264</v>
      </c>
      <c r="B5" s="177" t="s">
        <v>488</v>
      </c>
      <c r="C5" s="183">
        <v>256488</v>
      </c>
      <c r="D5" s="183">
        <v>139861</v>
      </c>
      <c r="E5" s="183">
        <f t="shared" si="0"/>
        <v>116627</v>
      </c>
      <c r="F5" s="183">
        <v>0</v>
      </c>
      <c r="G5" s="183">
        <v>12332</v>
      </c>
      <c r="H5" s="184">
        <f t="shared" si="1"/>
        <v>793744</v>
      </c>
      <c r="I5" s="485"/>
      <c r="J5" s="98">
        <f>J4/I4</f>
        <v>2.0525246260580641E-2</v>
      </c>
      <c r="K5" s="136">
        <f>K4/I4</f>
        <v>0</v>
      </c>
      <c r="L5" s="173">
        <f>L4/I4</f>
        <v>-1.6517664774993093E-4</v>
      </c>
      <c r="M5" s="487">
        <f>M4/I4</f>
        <v>1.1232786010202255E-3</v>
      </c>
      <c r="N5" s="487"/>
    </row>
    <row r="6" spans="1:14" ht="30.9" customHeight="1" thickBot="1">
      <c r="A6" s="176">
        <v>45265</v>
      </c>
      <c r="B6" s="177" t="s">
        <v>489</v>
      </c>
      <c r="C6" s="183">
        <v>352259</v>
      </c>
      <c r="D6" s="183">
        <v>457508</v>
      </c>
      <c r="E6" s="183">
        <f t="shared" si="0"/>
        <v>-105249</v>
      </c>
      <c r="F6" s="183">
        <v>-452</v>
      </c>
      <c r="G6" s="183">
        <v>0</v>
      </c>
      <c r="H6" s="184">
        <f t="shared" si="1"/>
        <v>688043</v>
      </c>
      <c r="I6" s="488" t="s">
        <v>250</v>
      </c>
      <c r="J6" s="489"/>
      <c r="K6" s="489"/>
      <c r="L6" s="489"/>
      <c r="M6" s="490"/>
      <c r="N6" s="491"/>
    </row>
    <row r="7" spans="1:14" ht="30.9" customHeight="1" thickTop="1">
      <c r="A7" s="176">
        <v>45266</v>
      </c>
      <c r="B7" s="177" t="s">
        <v>490</v>
      </c>
      <c r="C7" s="183">
        <v>279923</v>
      </c>
      <c r="D7" s="183">
        <v>421325</v>
      </c>
      <c r="E7" s="183">
        <f t="shared" si="0"/>
        <v>-141402</v>
      </c>
      <c r="F7" s="183">
        <v>0</v>
      </c>
      <c r="G7" s="183">
        <v>0</v>
      </c>
      <c r="H7" s="184">
        <f t="shared" si="1"/>
        <v>546641</v>
      </c>
      <c r="I7" s="100" t="s">
        <v>241</v>
      </c>
      <c r="J7" s="72" t="s">
        <v>253</v>
      </c>
      <c r="K7" s="189" t="s">
        <v>255</v>
      </c>
      <c r="L7" s="71" t="s">
        <v>469</v>
      </c>
      <c r="M7" s="492" t="s">
        <v>247</v>
      </c>
      <c r="N7" s="493"/>
    </row>
    <row r="8" spans="1:14" ht="30.9" customHeight="1" thickBot="1">
      <c r="A8" s="176">
        <v>45267</v>
      </c>
      <c r="B8" s="177" t="s">
        <v>491</v>
      </c>
      <c r="C8" s="183">
        <v>300658</v>
      </c>
      <c r="D8" s="183">
        <v>173080</v>
      </c>
      <c r="E8" s="183">
        <f t="shared" si="0"/>
        <v>127578</v>
      </c>
      <c r="F8" s="183">
        <v>0</v>
      </c>
      <c r="G8" s="183">
        <v>22312</v>
      </c>
      <c r="H8" s="184">
        <f t="shared" si="1"/>
        <v>674219</v>
      </c>
      <c r="I8" s="101">
        <f>D33</f>
        <v>13711257</v>
      </c>
      <c r="J8" s="102">
        <f>L16</f>
        <v>794500</v>
      </c>
      <c r="K8" s="190">
        <f>N19</f>
        <v>60744</v>
      </c>
      <c r="L8" s="175">
        <f>J4*0.065</f>
        <v>20685.34</v>
      </c>
      <c r="M8" s="494">
        <f>SUM(I8:L8)</f>
        <v>14587186.34</v>
      </c>
      <c r="N8" s="495"/>
    </row>
    <row r="9" spans="1:14" ht="30.9" customHeight="1" thickBot="1">
      <c r="A9" s="176">
        <v>45268</v>
      </c>
      <c r="B9" s="178" t="s">
        <v>485</v>
      </c>
      <c r="C9" s="183">
        <v>588630</v>
      </c>
      <c r="D9" s="183">
        <v>280309</v>
      </c>
      <c r="E9" s="183">
        <f t="shared" si="0"/>
        <v>308321</v>
      </c>
      <c r="F9" s="183">
        <v>0</v>
      </c>
      <c r="G9" s="183">
        <v>0</v>
      </c>
      <c r="H9" s="184">
        <f t="shared" si="1"/>
        <v>982540</v>
      </c>
      <c r="I9" s="108" t="s">
        <v>266</v>
      </c>
      <c r="J9" s="496">
        <f>I4-M8-M4</f>
        <v>900010.66000000015</v>
      </c>
      <c r="K9" s="497"/>
      <c r="L9" s="497"/>
      <c r="M9" s="498"/>
      <c r="N9" s="499"/>
    </row>
    <row r="10" spans="1:14" ht="30.9" customHeight="1">
      <c r="A10" s="176">
        <v>45269</v>
      </c>
      <c r="B10" s="178" t="s">
        <v>486</v>
      </c>
      <c r="C10" s="183">
        <v>840506</v>
      </c>
      <c r="D10" s="183">
        <v>338435</v>
      </c>
      <c r="E10" s="183">
        <f t="shared" si="0"/>
        <v>502071</v>
      </c>
      <c r="F10" s="183">
        <v>21</v>
      </c>
      <c r="G10" s="183">
        <v>9753</v>
      </c>
      <c r="H10" s="184">
        <f t="shared" si="1"/>
        <v>1484632</v>
      </c>
      <c r="I10" s="482" t="s">
        <v>257</v>
      </c>
      <c r="J10" s="482"/>
      <c r="K10" s="482"/>
      <c r="L10" s="482"/>
      <c r="M10" s="482"/>
      <c r="N10" s="483"/>
    </row>
    <row r="11" spans="1:14" ht="30.9" customHeight="1">
      <c r="A11" s="176">
        <v>45270</v>
      </c>
      <c r="B11" s="178" t="s">
        <v>487</v>
      </c>
      <c r="C11" s="183">
        <v>336089</v>
      </c>
      <c r="D11" s="183">
        <v>661617</v>
      </c>
      <c r="E11" s="183">
        <f t="shared" si="0"/>
        <v>-325528</v>
      </c>
      <c r="F11" s="183">
        <v>-43</v>
      </c>
      <c r="G11" s="183">
        <v>0</v>
      </c>
      <c r="H11" s="184">
        <f>H10+E11+F11</f>
        <v>1159061</v>
      </c>
      <c r="I11" s="472" t="s">
        <v>477</v>
      </c>
      <c r="J11" s="472"/>
      <c r="K11" s="472"/>
      <c r="L11" s="472"/>
      <c r="M11" s="472"/>
      <c r="N11" s="472"/>
    </row>
    <row r="12" spans="1:14" ht="30.9" customHeight="1">
      <c r="A12" s="176">
        <v>45271</v>
      </c>
      <c r="B12" s="177" t="s">
        <v>488</v>
      </c>
      <c r="C12" s="183">
        <v>179290</v>
      </c>
      <c r="D12" s="183">
        <v>204034</v>
      </c>
      <c r="E12" s="183">
        <f t="shared" si="0"/>
        <v>-24744</v>
      </c>
      <c r="F12" s="183">
        <v>-12</v>
      </c>
      <c r="G12" s="183">
        <v>12210</v>
      </c>
      <c r="H12" s="184">
        <f t="shared" si="1"/>
        <v>1134305</v>
      </c>
      <c r="I12" s="171" t="s">
        <v>478</v>
      </c>
      <c r="J12" s="175" t="s">
        <v>479</v>
      </c>
      <c r="K12" s="175" t="s">
        <v>480</v>
      </c>
      <c r="L12" s="175" t="s">
        <v>455</v>
      </c>
      <c r="M12" s="175" t="s">
        <v>468</v>
      </c>
      <c r="N12" s="175" t="s">
        <v>230</v>
      </c>
    </row>
    <row r="13" spans="1:14" ht="30.9" customHeight="1">
      <c r="A13" s="176">
        <v>45272</v>
      </c>
      <c r="B13" s="177" t="s">
        <v>489</v>
      </c>
      <c r="C13" s="183">
        <v>455506</v>
      </c>
      <c r="D13" s="183">
        <v>802449</v>
      </c>
      <c r="E13" s="183">
        <f t="shared" si="0"/>
        <v>-346943</v>
      </c>
      <c r="F13" s="183">
        <v>0</v>
      </c>
      <c r="G13" s="183">
        <v>22431</v>
      </c>
      <c r="H13" s="184">
        <f t="shared" si="1"/>
        <v>787362</v>
      </c>
      <c r="I13" s="172">
        <v>250000</v>
      </c>
      <c r="J13" s="175">
        <v>90000</v>
      </c>
      <c r="K13" s="175">
        <v>100500</v>
      </c>
      <c r="L13" s="175">
        <v>0</v>
      </c>
      <c r="M13" s="172">
        <v>39000</v>
      </c>
      <c r="N13" s="172">
        <v>220000</v>
      </c>
    </row>
    <row r="14" spans="1:14" ht="30.9" customHeight="1">
      <c r="A14" s="176">
        <v>45273</v>
      </c>
      <c r="B14" s="177" t="s">
        <v>490</v>
      </c>
      <c r="C14" s="183">
        <v>245075</v>
      </c>
      <c r="D14" s="183">
        <v>607037</v>
      </c>
      <c r="E14" s="183">
        <f t="shared" si="0"/>
        <v>-361962</v>
      </c>
      <c r="F14" s="183">
        <v>0</v>
      </c>
      <c r="G14" s="183">
        <v>0</v>
      </c>
      <c r="H14" s="184">
        <f t="shared" si="1"/>
        <v>425400</v>
      </c>
      <c r="I14" s="472" t="s">
        <v>481</v>
      </c>
      <c r="J14" s="472"/>
      <c r="K14" s="472"/>
      <c r="L14" s="472"/>
      <c r="M14" s="472"/>
      <c r="N14" s="472"/>
    </row>
    <row r="15" spans="1:14" ht="30.9" customHeight="1">
      <c r="A15" s="176">
        <v>45274</v>
      </c>
      <c r="B15" s="177" t="s">
        <v>491</v>
      </c>
      <c r="C15" s="183">
        <v>283889</v>
      </c>
      <c r="D15" s="183">
        <v>51817</v>
      </c>
      <c r="E15" s="183">
        <f t="shared" si="0"/>
        <v>232072</v>
      </c>
      <c r="F15" s="183">
        <v>-14</v>
      </c>
      <c r="G15" s="183">
        <v>0</v>
      </c>
      <c r="H15" s="184">
        <f t="shared" si="1"/>
        <v>657458</v>
      </c>
      <c r="I15" s="185">
        <v>95000</v>
      </c>
      <c r="J15" s="185"/>
      <c r="K15" s="185"/>
      <c r="L15" s="185"/>
      <c r="M15" s="185"/>
      <c r="N15" s="185"/>
    </row>
    <row r="16" spans="1:14" ht="30.9" customHeight="1">
      <c r="A16" s="176">
        <v>45275</v>
      </c>
      <c r="B16" s="178" t="s">
        <v>485</v>
      </c>
      <c r="C16" s="183">
        <v>680907</v>
      </c>
      <c r="D16" s="183">
        <v>419811</v>
      </c>
      <c r="E16" s="183">
        <f t="shared" si="0"/>
        <v>261096</v>
      </c>
      <c r="F16" s="183">
        <v>23</v>
      </c>
      <c r="G16" s="183">
        <v>65763</v>
      </c>
      <c r="H16" s="184">
        <f t="shared" si="1"/>
        <v>918577</v>
      </c>
      <c r="I16" s="473" t="s">
        <v>247</v>
      </c>
      <c r="J16" s="473"/>
      <c r="K16" s="473"/>
      <c r="L16" s="500">
        <f>SUM(I13:N13)+SUM(I15:N15)</f>
        <v>794500</v>
      </c>
      <c r="M16" s="500"/>
      <c r="N16" s="500"/>
    </row>
    <row r="17" spans="1:14" ht="30.9" customHeight="1">
      <c r="A17" s="176">
        <v>45276</v>
      </c>
      <c r="B17" s="178" t="s">
        <v>486</v>
      </c>
      <c r="C17" s="183">
        <v>539452</v>
      </c>
      <c r="D17" s="183">
        <v>223226</v>
      </c>
      <c r="E17" s="183">
        <f t="shared" si="0"/>
        <v>316226</v>
      </c>
      <c r="F17" s="183">
        <v>-654</v>
      </c>
      <c r="G17" s="183">
        <v>0</v>
      </c>
      <c r="H17" s="184">
        <f t="shared" si="1"/>
        <v>1234149</v>
      </c>
      <c r="I17" s="474" t="s">
        <v>482</v>
      </c>
      <c r="J17" s="474"/>
      <c r="K17" s="474"/>
      <c r="L17" s="474"/>
      <c r="M17" s="474"/>
      <c r="N17" s="474"/>
    </row>
    <row r="18" spans="1:14" ht="30.9" customHeight="1">
      <c r="A18" s="176">
        <v>45277</v>
      </c>
      <c r="B18" s="178" t="s">
        <v>487</v>
      </c>
      <c r="C18" s="183">
        <v>316433</v>
      </c>
      <c r="D18" s="183">
        <v>223410</v>
      </c>
      <c r="E18" s="183">
        <f t="shared" si="0"/>
        <v>93023</v>
      </c>
      <c r="F18" s="183">
        <v>-87</v>
      </c>
      <c r="G18" s="183">
        <v>12650</v>
      </c>
      <c r="H18" s="184">
        <f t="shared" si="1"/>
        <v>1327085</v>
      </c>
      <c r="I18" s="71" t="s">
        <v>494</v>
      </c>
      <c r="J18" s="186" t="s">
        <v>495</v>
      </c>
      <c r="K18" s="71" t="s">
        <v>484</v>
      </c>
      <c r="L18" s="71" t="s">
        <v>492</v>
      </c>
      <c r="M18" s="187" t="s">
        <v>498</v>
      </c>
      <c r="N18" s="71" t="s">
        <v>247</v>
      </c>
    </row>
    <row r="19" spans="1:14" ht="30.9" customHeight="1">
      <c r="A19" s="176">
        <v>45278</v>
      </c>
      <c r="B19" s="177" t="s">
        <v>488</v>
      </c>
      <c r="C19" s="183">
        <v>149668</v>
      </c>
      <c r="D19" s="183">
        <v>319156</v>
      </c>
      <c r="E19" s="183">
        <f t="shared" si="0"/>
        <v>-169488</v>
      </c>
      <c r="F19" s="183">
        <v>0</v>
      </c>
      <c r="G19" s="183">
        <v>0</v>
      </c>
      <c r="H19" s="184">
        <f>H18+E19+F19</f>
        <v>1157597</v>
      </c>
      <c r="I19" s="181">
        <v>21781</v>
      </c>
      <c r="J19" s="181">
        <v>35000</v>
      </c>
      <c r="K19" s="181"/>
      <c r="L19" s="181"/>
      <c r="M19" s="188">
        <f>N23</f>
        <v>3963</v>
      </c>
      <c r="N19" s="181">
        <f>SUM(I19:M19)</f>
        <v>60744</v>
      </c>
    </row>
    <row r="20" spans="1:14" ht="30.9" customHeight="1">
      <c r="A20" s="176">
        <v>45279</v>
      </c>
      <c r="B20" s="177" t="s">
        <v>489</v>
      </c>
      <c r="C20" s="183">
        <v>306776</v>
      </c>
      <c r="D20" s="183">
        <v>244490</v>
      </c>
      <c r="E20" s="183">
        <f t="shared" si="0"/>
        <v>62286</v>
      </c>
      <c r="F20" s="183">
        <v>0</v>
      </c>
      <c r="G20" s="183">
        <v>11432</v>
      </c>
      <c r="H20" s="184">
        <f t="shared" si="1"/>
        <v>1219883</v>
      </c>
    </row>
    <row r="21" spans="1:14" ht="30.9" customHeight="1">
      <c r="A21" s="176">
        <v>45280</v>
      </c>
      <c r="B21" s="177" t="s">
        <v>490</v>
      </c>
      <c r="C21" s="183">
        <v>273501</v>
      </c>
      <c r="D21" s="183">
        <v>654779</v>
      </c>
      <c r="E21" s="183">
        <f t="shared" si="0"/>
        <v>-381278</v>
      </c>
      <c r="F21" s="183">
        <v>-144</v>
      </c>
      <c r="G21" s="183">
        <v>0</v>
      </c>
      <c r="H21" s="184">
        <f t="shared" si="1"/>
        <v>838461</v>
      </c>
      <c r="I21" s="616" t="s">
        <v>497</v>
      </c>
      <c r="J21" s="616"/>
      <c r="K21" s="616"/>
      <c r="L21" s="616"/>
      <c r="M21" s="616"/>
      <c r="N21" s="616"/>
    </row>
    <row r="22" spans="1:14" ht="30.9" customHeight="1">
      <c r="A22" s="176">
        <v>45281</v>
      </c>
      <c r="B22" s="177" t="s">
        <v>491</v>
      </c>
      <c r="C22" s="183">
        <v>335730</v>
      </c>
      <c r="D22" s="183">
        <v>576774</v>
      </c>
      <c r="E22" s="183">
        <f t="shared" si="0"/>
        <v>-241044</v>
      </c>
      <c r="F22" s="183">
        <v>0</v>
      </c>
      <c r="G22" s="183">
        <v>15310</v>
      </c>
      <c r="H22" s="184">
        <f t="shared" si="1"/>
        <v>597417</v>
      </c>
      <c r="I22" s="617"/>
      <c r="J22" s="186" t="s">
        <v>625</v>
      </c>
      <c r="K22" s="71"/>
      <c r="L22" s="71"/>
      <c r="M22" s="71"/>
      <c r="N22" s="71" t="s">
        <v>247</v>
      </c>
    </row>
    <row r="23" spans="1:14" ht="30.9" customHeight="1">
      <c r="A23" s="176">
        <v>45282</v>
      </c>
      <c r="B23" s="178" t="s">
        <v>485</v>
      </c>
      <c r="C23" s="183">
        <v>729693</v>
      </c>
      <c r="D23" s="183">
        <v>30852</v>
      </c>
      <c r="E23" s="183">
        <f t="shared" si="0"/>
        <v>698841</v>
      </c>
      <c r="F23" s="183">
        <v>-122</v>
      </c>
      <c r="G23" s="183">
        <v>0</v>
      </c>
      <c r="H23" s="184">
        <f t="shared" si="1"/>
        <v>1296136</v>
      </c>
      <c r="I23" s="579"/>
      <c r="J23" s="181">
        <v>3963</v>
      </c>
      <c r="K23" s="181"/>
      <c r="L23" s="181"/>
      <c r="M23" s="181"/>
      <c r="N23" s="181">
        <f>SUM(J23:M23)</f>
        <v>3963</v>
      </c>
    </row>
    <row r="24" spans="1:14" ht="30.9" customHeight="1">
      <c r="A24" s="176">
        <v>45283</v>
      </c>
      <c r="B24" s="178" t="s">
        <v>486</v>
      </c>
      <c r="C24" s="183">
        <v>639922</v>
      </c>
      <c r="D24" s="183">
        <v>246060</v>
      </c>
      <c r="E24" s="183">
        <f t="shared" si="0"/>
        <v>393862</v>
      </c>
      <c r="F24" s="183">
        <v>0</v>
      </c>
      <c r="G24" s="183">
        <v>12101</v>
      </c>
      <c r="H24" s="184">
        <f t="shared" si="1"/>
        <v>1689998</v>
      </c>
    </row>
    <row r="25" spans="1:14" ht="30.9" customHeight="1">
      <c r="A25" s="176">
        <v>45284</v>
      </c>
      <c r="B25" s="178" t="s">
        <v>487</v>
      </c>
      <c r="C25" s="183">
        <v>431463</v>
      </c>
      <c r="D25" s="183">
        <v>220777</v>
      </c>
      <c r="E25" s="183">
        <f t="shared" si="0"/>
        <v>210686</v>
      </c>
      <c r="F25" s="183">
        <v>21</v>
      </c>
      <c r="G25" s="183">
        <v>0</v>
      </c>
      <c r="H25" s="184">
        <f t="shared" si="1"/>
        <v>1900705</v>
      </c>
    </row>
    <row r="26" spans="1:14" ht="30.9" customHeight="1">
      <c r="A26" s="176">
        <v>45285</v>
      </c>
      <c r="B26" s="177" t="s">
        <v>488</v>
      </c>
      <c r="C26" s="183">
        <v>438061</v>
      </c>
      <c r="D26" s="183">
        <v>296070</v>
      </c>
      <c r="E26" s="183">
        <f t="shared" si="0"/>
        <v>141991</v>
      </c>
      <c r="F26" s="183">
        <v>-12</v>
      </c>
      <c r="G26" s="183">
        <v>43521</v>
      </c>
      <c r="H26" s="184">
        <f t="shared" si="1"/>
        <v>2042684</v>
      </c>
    </row>
    <row r="27" spans="1:14" ht="30.9" customHeight="1">
      <c r="A27" s="176">
        <v>45286</v>
      </c>
      <c r="B27" s="177" t="s">
        <v>489</v>
      </c>
      <c r="C27" s="183">
        <v>660026</v>
      </c>
      <c r="D27" s="183">
        <v>414022</v>
      </c>
      <c r="E27" s="183">
        <f t="shared" si="0"/>
        <v>246004</v>
      </c>
      <c r="F27" s="183">
        <v>-33</v>
      </c>
      <c r="G27" s="183">
        <v>12329</v>
      </c>
      <c r="H27" s="184">
        <f t="shared" si="1"/>
        <v>2288655</v>
      </c>
    </row>
    <row r="28" spans="1:14" ht="30.9" customHeight="1">
      <c r="A28" s="176">
        <v>45287</v>
      </c>
      <c r="B28" s="177" t="s">
        <v>490</v>
      </c>
      <c r="C28" s="183">
        <v>575883</v>
      </c>
      <c r="D28" s="183">
        <v>794590</v>
      </c>
      <c r="E28" s="183">
        <f t="shared" si="0"/>
        <v>-218707</v>
      </c>
      <c r="F28" s="183">
        <v>12</v>
      </c>
      <c r="G28" s="183">
        <v>0</v>
      </c>
      <c r="H28" s="184">
        <f t="shared" si="1"/>
        <v>2069960</v>
      </c>
    </row>
    <row r="29" spans="1:14" ht="30.9" customHeight="1">
      <c r="A29" s="176">
        <v>45288</v>
      </c>
      <c r="B29" s="177" t="s">
        <v>491</v>
      </c>
      <c r="C29" s="183">
        <v>607217</v>
      </c>
      <c r="D29" s="183">
        <v>317276</v>
      </c>
      <c r="E29" s="183">
        <f t="shared" si="0"/>
        <v>289941</v>
      </c>
      <c r="F29" s="183">
        <v>-231</v>
      </c>
      <c r="G29" s="183">
        <v>0</v>
      </c>
      <c r="H29" s="184">
        <f t="shared" si="1"/>
        <v>2359670</v>
      </c>
    </row>
    <row r="30" spans="1:14" ht="30.9" customHeight="1">
      <c r="A30" s="176">
        <v>45289</v>
      </c>
      <c r="B30" s="178" t="s">
        <v>485</v>
      </c>
      <c r="C30" s="183">
        <v>1262317</v>
      </c>
      <c r="D30" s="183">
        <v>832331</v>
      </c>
      <c r="E30" s="183">
        <f t="shared" si="0"/>
        <v>429986</v>
      </c>
      <c r="F30" s="183">
        <v>0</v>
      </c>
      <c r="G30" s="183">
        <v>12451</v>
      </c>
      <c r="H30" s="184">
        <f t="shared" si="1"/>
        <v>2789656</v>
      </c>
    </row>
    <row r="31" spans="1:14" ht="30.9" customHeight="1">
      <c r="A31" s="176">
        <v>45290</v>
      </c>
      <c r="B31" s="178" t="s">
        <v>486</v>
      </c>
      <c r="C31" s="183">
        <v>1335501</v>
      </c>
      <c r="D31" s="183">
        <v>306462</v>
      </c>
      <c r="E31" s="183">
        <f t="shared" si="0"/>
        <v>1029039</v>
      </c>
      <c r="F31" s="183">
        <v>-453</v>
      </c>
      <c r="G31" s="183">
        <v>0</v>
      </c>
      <c r="H31" s="184">
        <f t="shared" si="1"/>
        <v>3818242</v>
      </c>
    </row>
    <row r="32" spans="1:14" ht="30.9" customHeight="1">
      <c r="A32" s="176">
        <v>45291</v>
      </c>
      <c r="B32" s="178" t="s">
        <v>487</v>
      </c>
      <c r="C32" s="183">
        <v>366706</v>
      </c>
      <c r="D32" s="165">
        <v>2393799</v>
      </c>
      <c r="E32" s="183">
        <f t="shared" si="0"/>
        <v>-2027093</v>
      </c>
      <c r="F32" s="165">
        <v>-354</v>
      </c>
      <c r="G32" s="165">
        <v>19120</v>
      </c>
      <c r="H32" s="152">
        <f t="shared" si="1"/>
        <v>1790795</v>
      </c>
    </row>
    <row r="33" spans="1:8" ht="45" customHeight="1">
      <c r="A33" s="476" t="s">
        <v>247</v>
      </c>
      <c r="B33" s="477"/>
      <c r="C33" s="145">
        <f>SUM(C2:C32)</f>
        <v>15504613</v>
      </c>
      <c r="D33" s="145">
        <f>SUM(D2:D32)</f>
        <v>13711257</v>
      </c>
      <c r="E33" s="145">
        <f>SUM(E2:E32)</f>
        <v>1793356</v>
      </c>
      <c r="F33" s="145">
        <f>SUM(F2:F32)</f>
        <v>-2561</v>
      </c>
      <c r="G33" s="145">
        <f>SUM(G2:G32)</f>
        <v>318236</v>
      </c>
      <c r="H33" s="145">
        <f>H32</f>
        <v>1790795</v>
      </c>
    </row>
    <row r="34" spans="1:8">
      <c r="A34" s="69"/>
    </row>
    <row r="35" spans="1:8">
      <c r="A35" s="69"/>
    </row>
    <row r="36" spans="1:8">
      <c r="A36" s="69"/>
    </row>
    <row r="37" spans="1:8">
      <c r="A37" s="69"/>
    </row>
    <row r="38" spans="1:8">
      <c r="A38" s="69"/>
    </row>
    <row r="39" spans="1:8" ht="21" customHeight="1">
      <c r="A39" s="69"/>
    </row>
    <row r="40" spans="1:8" ht="23.1" customHeight="1">
      <c r="A40" s="69"/>
    </row>
    <row r="41" spans="1:8">
      <c r="A41" s="69"/>
    </row>
    <row r="42" spans="1:8" ht="29.1" customHeight="1">
      <c r="A42" s="69"/>
    </row>
    <row r="43" spans="1:8" ht="15" customHeight="1">
      <c r="A43" s="69"/>
    </row>
    <row r="44" spans="1:8">
      <c r="A44" s="69"/>
    </row>
    <row r="45" spans="1:8">
      <c r="A45" s="69"/>
    </row>
    <row r="46" spans="1:8">
      <c r="A46" s="69"/>
    </row>
    <row r="47" spans="1:8">
      <c r="A47" s="69"/>
    </row>
    <row r="48" spans="1:8">
      <c r="A48" s="69"/>
    </row>
    <row r="49" spans="1:1">
      <c r="A49" s="69"/>
    </row>
    <row r="50" spans="1:1" ht="18.899999999999999" customHeight="1">
      <c r="A50" s="69"/>
    </row>
  </sheetData>
  <mergeCells count="20">
    <mergeCell ref="I11:N11"/>
    <mergeCell ref="A1:B1"/>
    <mergeCell ref="I1:N1"/>
    <mergeCell ref="I2:N2"/>
    <mergeCell ref="M3:N3"/>
    <mergeCell ref="I4:I5"/>
    <mergeCell ref="M4:N4"/>
    <mergeCell ref="M5:N5"/>
    <mergeCell ref="I6:N6"/>
    <mergeCell ref="M7:N7"/>
    <mergeCell ref="M8:N8"/>
    <mergeCell ref="J9:N9"/>
    <mergeCell ref="I10:N10"/>
    <mergeCell ref="A33:B33"/>
    <mergeCell ref="I14:N14"/>
    <mergeCell ref="I16:K16"/>
    <mergeCell ref="L16:N16"/>
    <mergeCell ref="I17:N17"/>
    <mergeCell ref="I21:N21"/>
    <mergeCell ref="I22:I23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093D4-C270-4BDA-91F0-A462373FAA16}">
  <dimension ref="A1:N50"/>
  <sheetViews>
    <sheetView topLeftCell="A10" zoomScaleNormal="100" workbookViewId="0">
      <selection activeCell="I10" sqref="I10:N10"/>
    </sheetView>
  </sheetViews>
  <sheetFormatPr defaultColWidth="10.6328125" defaultRowHeight="18"/>
  <cols>
    <col min="1" max="1" width="5.90625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8" style="69" customWidth="1"/>
    <col min="7" max="7" width="7.90625" style="69" customWidth="1"/>
    <col min="8" max="8" width="12.453125" style="69" customWidth="1"/>
    <col min="9" max="14" width="11.453125" style="69" customWidth="1"/>
    <col min="15" max="16384" width="10.6328125" style="69"/>
  </cols>
  <sheetData>
    <row r="1" spans="1:14" ht="24" customHeight="1" thickTop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133" t="s">
        <v>463</v>
      </c>
      <c r="H1" s="151" t="s">
        <v>464</v>
      </c>
      <c r="I1" s="622" t="s">
        <v>679</v>
      </c>
      <c r="J1" s="622"/>
      <c r="K1" s="622"/>
      <c r="L1" s="622"/>
      <c r="M1" s="622"/>
      <c r="N1" s="622"/>
    </row>
    <row r="2" spans="1:14" ht="30.9" customHeight="1" thickTop="1">
      <c r="A2" s="176">
        <v>45292</v>
      </c>
      <c r="B2" s="177" t="s">
        <v>488</v>
      </c>
      <c r="C2" s="183">
        <v>363702</v>
      </c>
      <c r="D2" s="183">
        <v>374578</v>
      </c>
      <c r="E2" s="183">
        <f>C2-D2</f>
        <v>-10876</v>
      </c>
      <c r="F2" s="183">
        <v>-451</v>
      </c>
      <c r="G2" s="183">
        <v>12574</v>
      </c>
      <c r="H2" s="184">
        <f>E2+F2</f>
        <v>-11327</v>
      </c>
      <c r="I2" s="478" t="s">
        <v>249</v>
      </c>
      <c r="J2" s="479"/>
      <c r="K2" s="479"/>
      <c r="L2" s="479"/>
      <c r="M2" s="479"/>
      <c r="N2" s="480"/>
    </row>
    <row r="3" spans="1:14" ht="30.9" customHeight="1">
      <c r="A3" s="176">
        <v>45262</v>
      </c>
      <c r="B3" s="177" t="s">
        <v>489</v>
      </c>
      <c r="C3" s="183">
        <v>333568</v>
      </c>
      <c r="D3" s="183">
        <v>75050</v>
      </c>
      <c r="E3" s="183">
        <f t="shared" ref="E3:E32" si="0">C3-D3</f>
        <v>258518</v>
      </c>
      <c r="F3" s="183">
        <v>0</v>
      </c>
      <c r="G3" s="183">
        <v>22741</v>
      </c>
      <c r="H3" s="184">
        <f>H2+E3+F3</f>
        <v>247191</v>
      </c>
      <c r="I3" s="105" t="s">
        <v>247</v>
      </c>
      <c r="J3" s="71" t="s">
        <v>251</v>
      </c>
      <c r="K3" s="134" t="s">
        <v>252</v>
      </c>
      <c r="L3" s="134" t="s">
        <v>449</v>
      </c>
      <c r="M3" s="481" t="s">
        <v>415</v>
      </c>
      <c r="N3" s="481"/>
    </row>
    <row r="4" spans="1:14" ht="30.9" customHeight="1">
      <c r="A4" s="176">
        <v>45263</v>
      </c>
      <c r="B4" s="177" t="s">
        <v>490</v>
      </c>
      <c r="C4" s="183">
        <v>307096</v>
      </c>
      <c r="D4" s="183">
        <v>229810</v>
      </c>
      <c r="E4" s="183">
        <f t="shared" si="0"/>
        <v>77286</v>
      </c>
      <c r="F4" s="183">
        <v>0</v>
      </c>
      <c r="G4" s="183">
        <v>0</v>
      </c>
      <c r="H4" s="184">
        <f t="shared" ref="H4:H32" si="1">H3+E4+F4</f>
        <v>324477</v>
      </c>
      <c r="I4" s="484">
        <f>C33</f>
        <v>12958096</v>
      </c>
      <c r="J4" s="90">
        <f>G33</f>
        <v>487304</v>
      </c>
      <c r="K4" s="135"/>
      <c r="L4" s="135">
        <f>F33</f>
        <v>-4118</v>
      </c>
      <c r="M4" s="486">
        <v>3603</v>
      </c>
      <c r="N4" s="486"/>
    </row>
    <row r="5" spans="1:14" ht="30.9" customHeight="1" thickBot="1">
      <c r="A5" s="176">
        <v>45264</v>
      </c>
      <c r="B5" s="177" t="s">
        <v>491</v>
      </c>
      <c r="C5" s="183">
        <v>377140</v>
      </c>
      <c r="D5" s="183">
        <v>275532</v>
      </c>
      <c r="E5" s="183">
        <f t="shared" si="0"/>
        <v>101608</v>
      </c>
      <c r="F5" s="183">
        <v>0</v>
      </c>
      <c r="G5" s="183">
        <v>0</v>
      </c>
      <c r="H5" s="184">
        <f t="shared" si="1"/>
        <v>426085</v>
      </c>
      <c r="I5" s="485"/>
      <c r="J5" s="98">
        <f>J4/I4</f>
        <v>3.7606142136931225E-2</v>
      </c>
      <c r="K5" s="136">
        <f>K4/I4</f>
        <v>0</v>
      </c>
      <c r="L5" s="173">
        <f>L4/I4</f>
        <v>-3.1779360177606341E-4</v>
      </c>
      <c r="M5" s="487">
        <f>M4/I4</f>
        <v>2.7805010859620116E-4</v>
      </c>
      <c r="N5" s="487"/>
    </row>
    <row r="6" spans="1:14" ht="30.9" customHeight="1" thickBot="1">
      <c r="A6" s="176">
        <v>45265</v>
      </c>
      <c r="B6" s="178" t="s">
        <v>485</v>
      </c>
      <c r="C6" s="183">
        <v>469040</v>
      </c>
      <c r="D6" s="183">
        <v>1170189</v>
      </c>
      <c r="E6" s="183">
        <f t="shared" si="0"/>
        <v>-701149</v>
      </c>
      <c r="F6" s="183">
        <v>-575</v>
      </c>
      <c r="G6" s="183">
        <v>25840</v>
      </c>
      <c r="H6" s="184">
        <f t="shared" si="1"/>
        <v>-275639</v>
      </c>
      <c r="I6" s="488" t="s">
        <v>250</v>
      </c>
      <c r="J6" s="489"/>
      <c r="K6" s="489"/>
      <c r="L6" s="489"/>
      <c r="M6" s="490"/>
      <c r="N6" s="491"/>
    </row>
    <row r="7" spans="1:14" ht="30.9" customHeight="1" thickTop="1">
      <c r="A7" s="176">
        <v>45266</v>
      </c>
      <c r="B7" s="178" t="s">
        <v>486</v>
      </c>
      <c r="C7" s="183">
        <v>323936</v>
      </c>
      <c r="D7" s="183">
        <v>337938</v>
      </c>
      <c r="E7" s="183">
        <f t="shared" si="0"/>
        <v>-14002</v>
      </c>
      <c r="F7" s="183">
        <v>0</v>
      </c>
      <c r="G7" s="183">
        <v>0</v>
      </c>
      <c r="H7" s="184">
        <f t="shared" si="1"/>
        <v>-289641</v>
      </c>
      <c r="I7" s="100" t="s">
        <v>241</v>
      </c>
      <c r="J7" s="72" t="s">
        <v>253</v>
      </c>
      <c r="K7" s="189" t="s">
        <v>255</v>
      </c>
      <c r="L7" s="71" t="s">
        <v>469</v>
      </c>
      <c r="M7" s="492" t="s">
        <v>247</v>
      </c>
      <c r="N7" s="493"/>
    </row>
    <row r="8" spans="1:14" ht="30.9" customHeight="1" thickBot="1">
      <c r="A8" s="176">
        <v>45267</v>
      </c>
      <c r="B8" s="178" t="s">
        <v>487</v>
      </c>
      <c r="C8" s="183">
        <v>270447</v>
      </c>
      <c r="D8" s="183">
        <v>297063</v>
      </c>
      <c r="E8" s="183">
        <f t="shared" si="0"/>
        <v>-26616</v>
      </c>
      <c r="F8" s="183">
        <v>-11</v>
      </c>
      <c r="G8" s="183">
        <v>0</v>
      </c>
      <c r="H8" s="184">
        <f t="shared" si="1"/>
        <v>-316268</v>
      </c>
      <c r="I8" s="101">
        <f>D33</f>
        <v>12575770</v>
      </c>
      <c r="J8" s="102">
        <f>L16</f>
        <v>701500</v>
      </c>
      <c r="K8" s="190">
        <f>N19</f>
        <v>59547</v>
      </c>
      <c r="L8" s="175">
        <f>J4*0.065</f>
        <v>31674.760000000002</v>
      </c>
      <c r="M8" s="494">
        <f>SUM(I8:L8)</f>
        <v>13368491.76</v>
      </c>
      <c r="N8" s="495"/>
    </row>
    <row r="9" spans="1:14" ht="30.9" customHeight="1" thickTop="1" thickBot="1">
      <c r="A9" s="176">
        <v>45268</v>
      </c>
      <c r="B9" s="177" t="s">
        <v>488</v>
      </c>
      <c r="C9" s="183">
        <v>272640</v>
      </c>
      <c r="D9" s="183">
        <v>190468</v>
      </c>
      <c r="E9" s="183">
        <f t="shared" si="0"/>
        <v>82172</v>
      </c>
      <c r="F9" s="183">
        <v>0</v>
      </c>
      <c r="G9" s="183">
        <v>44875</v>
      </c>
      <c r="H9" s="184">
        <f t="shared" si="1"/>
        <v>-234096</v>
      </c>
      <c r="I9" s="108" t="s">
        <v>266</v>
      </c>
      <c r="J9" s="623">
        <f>I4-M8</f>
        <v>-410395.75999999978</v>
      </c>
      <c r="K9" s="623"/>
      <c r="L9" s="623"/>
      <c r="M9" s="623"/>
      <c r="N9" s="623"/>
    </row>
    <row r="10" spans="1:14" ht="30.9" customHeight="1">
      <c r="A10" s="176">
        <v>45269</v>
      </c>
      <c r="B10" s="177" t="s">
        <v>489</v>
      </c>
      <c r="C10" s="183">
        <v>337829</v>
      </c>
      <c r="D10" s="183">
        <v>102855</v>
      </c>
      <c r="E10" s="183">
        <f t="shared" si="0"/>
        <v>234974</v>
      </c>
      <c r="F10" s="183">
        <v>-147</v>
      </c>
      <c r="G10" s="183">
        <v>0</v>
      </c>
      <c r="H10" s="184">
        <f t="shared" si="1"/>
        <v>731</v>
      </c>
      <c r="I10" s="482" t="s">
        <v>257</v>
      </c>
      <c r="J10" s="482"/>
      <c r="K10" s="482"/>
      <c r="L10" s="482"/>
      <c r="M10" s="482"/>
      <c r="N10" s="483"/>
    </row>
    <row r="11" spans="1:14" ht="30.9" customHeight="1">
      <c r="A11" s="176">
        <v>45270</v>
      </c>
      <c r="B11" s="177" t="s">
        <v>490</v>
      </c>
      <c r="C11" s="183">
        <v>433020</v>
      </c>
      <c r="D11" s="183">
        <v>152559</v>
      </c>
      <c r="E11" s="183">
        <f t="shared" si="0"/>
        <v>280461</v>
      </c>
      <c r="F11" s="183">
        <v>-55</v>
      </c>
      <c r="G11" s="183">
        <v>25484</v>
      </c>
      <c r="H11" s="184">
        <f>H10+E11+F11</f>
        <v>281137</v>
      </c>
      <c r="I11" s="472" t="s">
        <v>477</v>
      </c>
      <c r="J11" s="472"/>
      <c r="K11" s="472"/>
      <c r="L11" s="472"/>
      <c r="M11" s="472"/>
      <c r="N11" s="472"/>
    </row>
    <row r="12" spans="1:14" ht="30.9" customHeight="1">
      <c r="A12" s="176">
        <v>45271</v>
      </c>
      <c r="B12" s="177" t="s">
        <v>491</v>
      </c>
      <c r="C12" s="183">
        <v>351361</v>
      </c>
      <c r="D12" s="183">
        <v>265250</v>
      </c>
      <c r="E12" s="183">
        <f t="shared" si="0"/>
        <v>86111</v>
      </c>
      <c r="F12" s="183">
        <v>0</v>
      </c>
      <c r="G12" s="183">
        <v>57540</v>
      </c>
      <c r="H12" s="184">
        <f t="shared" si="1"/>
        <v>367248</v>
      </c>
      <c r="I12" s="171" t="s">
        <v>478</v>
      </c>
      <c r="J12" s="175" t="s">
        <v>479</v>
      </c>
      <c r="K12" s="175" t="s">
        <v>480</v>
      </c>
      <c r="L12" s="175" t="s">
        <v>455</v>
      </c>
      <c r="M12" s="175" t="s">
        <v>468</v>
      </c>
      <c r="N12" s="175" t="s">
        <v>230</v>
      </c>
    </row>
    <row r="13" spans="1:14" ht="30.9" customHeight="1">
      <c r="A13" s="176">
        <v>45272</v>
      </c>
      <c r="B13" s="178" t="s">
        <v>485</v>
      </c>
      <c r="C13" s="183">
        <v>574555</v>
      </c>
      <c r="D13" s="183">
        <v>454751</v>
      </c>
      <c r="E13" s="183">
        <f t="shared" si="0"/>
        <v>119804</v>
      </c>
      <c r="F13" s="183">
        <v>12</v>
      </c>
      <c r="G13" s="183">
        <v>0</v>
      </c>
      <c r="H13" s="184">
        <f t="shared" si="1"/>
        <v>487064</v>
      </c>
      <c r="I13" s="172">
        <v>250000</v>
      </c>
      <c r="J13" s="175">
        <v>63150</v>
      </c>
      <c r="K13" s="175">
        <v>87350</v>
      </c>
      <c r="L13" s="175">
        <v>0</v>
      </c>
      <c r="M13" s="172">
        <v>37500</v>
      </c>
      <c r="N13" s="172">
        <v>198500</v>
      </c>
    </row>
    <row r="14" spans="1:14" ht="30.9" customHeight="1">
      <c r="A14" s="176">
        <v>45273</v>
      </c>
      <c r="B14" s="178" t="s">
        <v>486</v>
      </c>
      <c r="C14" s="183">
        <v>735814</v>
      </c>
      <c r="D14" s="183">
        <v>415010</v>
      </c>
      <c r="E14" s="183">
        <f t="shared" si="0"/>
        <v>320804</v>
      </c>
      <c r="F14" s="183">
        <v>-779</v>
      </c>
      <c r="G14" s="183">
        <v>44320</v>
      </c>
      <c r="H14" s="184">
        <f t="shared" si="1"/>
        <v>807089</v>
      </c>
      <c r="I14" s="472" t="s">
        <v>481</v>
      </c>
      <c r="J14" s="472"/>
      <c r="K14" s="472"/>
      <c r="L14" s="472"/>
      <c r="M14" s="472"/>
      <c r="N14" s="472"/>
    </row>
    <row r="15" spans="1:14" ht="30.9" customHeight="1">
      <c r="A15" s="176">
        <v>45274</v>
      </c>
      <c r="B15" s="178" t="s">
        <v>487</v>
      </c>
      <c r="C15" s="183">
        <v>386351</v>
      </c>
      <c r="D15" s="183">
        <v>144870</v>
      </c>
      <c r="E15" s="183">
        <f t="shared" si="0"/>
        <v>241481</v>
      </c>
      <c r="F15" s="183">
        <v>0</v>
      </c>
      <c r="G15" s="183">
        <v>14720</v>
      </c>
      <c r="H15" s="184">
        <f t="shared" si="1"/>
        <v>1048570</v>
      </c>
      <c r="I15" s="185">
        <v>65000</v>
      </c>
      <c r="J15" s="185"/>
      <c r="K15" s="185"/>
      <c r="L15" s="185"/>
      <c r="M15" s="185"/>
      <c r="N15" s="185"/>
    </row>
    <row r="16" spans="1:14" ht="30.9" customHeight="1">
      <c r="A16" s="176">
        <v>45275</v>
      </c>
      <c r="B16" s="177" t="s">
        <v>488</v>
      </c>
      <c r="C16" s="183">
        <v>365446</v>
      </c>
      <c r="D16" s="183">
        <v>295221</v>
      </c>
      <c r="E16" s="183">
        <f t="shared" si="0"/>
        <v>70225</v>
      </c>
      <c r="F16" s="183">
        <v>-22</v>
      </c>
      <c r="G16" s="183">
        <v>0</v>
      </c>
      <c r="H16" s="184">
        <f t="shared" si="1"/>
        <v>1118773</v>
      </c>
      <c r="I16" s="473" t="s">
        <v>247</v>
      </c>
      <c r="J16" s="473"/>
      <c r="K16" s="473"/>
      <c r="L16" s="500">
        <f>SUM(I13:N13)+SUM(I15:N15)</f>
        <v>701500</v>
      </c>
      <c r="M16" s="500"/>
      <c r="N16" s="500"/>
    </row>
    <row r="17" spans="1:14" ht="30.9" customHeight="1">
      <c r="A17" s="176">
        <v>45276</v>
      </c>
      <c r="B17" s="177" t="s">
        <v>489</v>
      </c>
      <c r="C17" s="183">
        <v>317796</v>
      </c>
      <c r="D17" s="183">
        <v>144870</v>
      </c>
      <c r="E17" s="183">
        <f t="shared" si="0"/>
        <v>172926</v>
      </c>
      <c r="F17" s="183">
        <v>0</v>
      </c>
      <c r="G17" s="183">
        <v>44740</v>
      </c>
      <c r="H17" s="184">
        <f t="shared" si="1"/>
        <v>1291699</v>
      </c>
      <c r="I17" s="474" t="s">
        <v>482</v>
      </c>
      <c r="J17" s="474"/>
      <c r="K17" s="474"/>
      <c r="L17" s="474"/>
      <c r="M17" s="474"/>
      <c r="N17" s="474"/>
    </row>
    <row r="18" spans="1:14" ht="30.9" customHeight="1">
      <c r="A18" s="176">
        <v>45277</v>
      </c>
      <c r="B18" s="177" t="s">
        <v>490</v>
      </c>
      <c r="C18" s="183">
        <v>309485</v>
      </c>
      <c r="D18" s="183">
        <v>445664</v>
      </c>
      <c r="E18" s="183">
        <f t="shared" si="0"/>
        <v>-136179</v>
      </c>
      <c r="F18" s="183">
        <v>0</v>
      </c>
      <c r="G18" s="183">
        <v>45970</v>
      </c>
      <c r="H18" s="184">
        <f t="shared" si="1"/>
        <v>1155520</v>
      </c>
      <c r="I18" s="71" t="s">
        <v>494</v>
      </c>
      <c r="J18" s="186" t="s">
        <v>495</v>
      </c>
      <c r="K18" s="71" t="s">
        <v>484</v>
      </c>
      <c r="L18" s="71" t="s">
        <v>492</v>
      </c>
      <c r="M18" s="187" t="s">
        <v>498</v>
      </c>
      <c r="N18" s="71" t="s">
        <v>247</v>
      </c>
    </row>
    <row r="19" spans="1:14" ht="30.9" customHeight="1">
      <c r="A19" s="176">
        <v>45278</v>
      </c>
      <c r="B19" s="177" t="s">
        <v>491</v>
      </c>
      <c r="C19" s="183">
        <v>277807</v>
      </c>
      <c r="D19" s="183">
        <v>323230</v>
      </c>
      <c r="E19" s="183">
        <f t="shared" si="0"/>
        <v>-45423</v>
      </c>
      <c r="F19" s="183">
        <v>-774</v>
      </c>
      <c r="G19" s="183">
        <v>0</v>
      </c>
      <c r="H19" s="184">
        <f>H18+E19+F19</f>
        <v>1109323</v>
      </c>
      <c r="I19" s="181">
        <v>24547</v>
      </c>
      <c r="J19" s="181">
        <v>35000</v>
      </c>
      <c r="K19" s="181"/>
      <c r="L19" s="181"/>
      <c r="M19" s="188">
        <f>N23</f>
        <v>0</v>
      </c>
      <c r="N19" s="181">
        <f>SUM(I19:M19)</f>
        <v>59547</v>
      </c>
    </row>
    <row r="20" spans="1:14" ht="30.9" customHeight="1">
      <c r="A20" s="176">
        <v>45279</v>
      </c>
      <c r="B20" s="178" t="s">
        <v>485</v>
      </c>
      <c r="C20" s="183">
        <v>666591</v>
      </c>
      <c r="D20" s="183">
        <v>706373</v>
      </c>
      <c r="E20" s="183">
        <f t="shared" si="0"/>
        <v>-39782</v>
      </c>
      <c r="F20" s="183">
        <v>0</v>
      </c>
      <c r="G20" s="183">
        <v>0</v>
      </c>
      <c r="H20" s="184">
        <f t="shared" si="1"/>
        <v>1069541</v>
      </c>
    </row>
    <row r="21" spans="1:14" ht="30.9" customHeight="1">
      <c r="A21" s="176">
        <v>45280</v>
      </c>
      <c r="B21" s="178" t="s">
        <v>486</v>
      </c>
      <c r="C21" s="183">
        <v>498808</v>
      </c>
      <c r="D21" s="183">
        <v>188792</v>
      </c>
      <c r="E21" s="183">
        <f t="shared" si="0"/>
        <v>310016</v>
      </c>
      <c r="F21" s="183">
        <v>-124</v>
      </c>
      <c r="G21" s="183">
        <v>32140</v>
      </c>
      <c r="H21" s="184">
        <f t="shared" si="1"/>
        <v>1379433</v>
      </c>
      <c r="I21" s="616" t="s">
        <v>497</v>
      </c>
      <c r="J21" s="616"/>
      <c r="K21" s="616"/>
      <c r="L21" s="616"/>
      <c r="M21" s="616"/>
      <c r="N21" s="616"/>
    </row>
    <row r="22" spans="1:14" ht="30.9" customHeight="1">
      <c r="A22" s="176">
        <v>45281</v>
      </c>
      <c r="B22" s="178" t="s">
        <v>487</v>
      </c>
      <c r="C22" s="183">
        <v>346555</v>
      </c>
      <c r="D22" s="183">
        <v>109780</v>
      </c>
      <c r="E22" s="183">
        <f t="shared" si="0"/>
        <v>236775</v>
      </c>
      <c r="F22" s="183">
        <v>0</v>
      </c>
      <c r="G22" s="183">
        <v>8574</v>
      </c>
      <c r="H22" s="184">
        <f t="shared" si="1"/>
        <v>1616208</v>
      </c>
      <c r="I22" s="617"/>
      <c r="J22" s="186" t="s">
        <v>625</v>
      </c>
      <c r="K22" s="71"/>
      <c r="L22" s="71"/>
      <c r="M22" s="71"/>
      <c r="N22" s="71" t="s">
        <v>247</v>
      </c>
    </row>
    <row r="23" spans="1:14" ht="30.9" customHeight="1">
      <c r="A23" s="176">
        <v>45282</v>
      </c>
      <c r="B23" s="177" t="s">
        <v>488</v>
      </c>
      <c r="C23" s="183">
        <v>183272</v>
      </c>
      <c r="D23" s="183">
        <v>95964</v>
      </c>
      <c r="E23" s="183">
        <f t="shared" si="0"/>
        <v>87308</v>
      </c>
      <c r="F23" s="183">
        <v>0</v>
      </c>
      <c r="G23" s="183">
        <v>0</v>
      </c>
      <c r="H23" s="184">
        <f t="shared" si="1"/>
        <v>1703516</v>
      </c>
      <c r="I23" s="579"/>
      <c r="J23" s="181">
        <v>0</v>
      </c>
      <c r="K23" s="181"/>
      <c r="L23" s="181"/>
      <c r="M23" s="181"/>
      <c r="N23" s="181">
        <f>SUM(J23:M23)</f>
        <v>0</v>
      </c>
    </row>
    <row r="24" spans="1:14" ht="30.9" customHeight="1">
      <c r="A24" s="176">
        <v>45283</v>
      </c>
      <c r="B24" s="177" t="s">
        <v>489</v>
      </c>
      <c r="C24" s="183">
        <v>328345</v>
      </c>
      <c r="D24" s="183">
        <v>34899</v>
      </c>
      <c r="E24" s="183">
        <f t="shared" si="0"/>
        <v>293446</v>
      </c>
      <c r="F24" s="183">
        <v>-145</v>
      </c>
      <c r="G24" s="183">
        <v>31241</v>
      </c>
      <c r="H24" s="184">
        <f t="shared" si="1"/>
        <v>1996817</v>
      </c>
    </row>
    <row r="25" spans="1:14" ht="30.9" customHeight="1">
      <c r="A25" s="176">
        <v>45284</v>
      </c>
      <c r="B25" s="177" t="s">
        <v>490</v>
      </c>
      <c r="C25" s="183">
        <v>206578</v>
      </c>
      <c r="D25" s="183">
        <v>219870</v>
      </c>
      <c r="E25" s="183">
        <f t="shared" si="0"/>
        <v>-13292</v>
      </c>
      <c r="F25" s="183">
        <v>0</v>
      </c>
      <c r="G25" s="183">
        <v>0</v>
      </c>
      <c r="H25" s="184">
        <f t="shared" si="1"/>
        <v>1983525</v>
      </c>
    </row>
    <row r="26" spans="1:14" ht="30.9" customHeight="1">
      <c r="A26" s="176">
        <v>45285</v>
      </c>
      <c r="B26" s="177" t="s">
        <v>491</v>
      </c>
      <c r="C26" s="183">
        <v>447608</v>
      </c>
      <c r="D26" s="183">
        <v>460828</v>
      </c>
      <c r="E26" s="183">
        <f t="shared" si="0"/>
        <v>-13220</v>
      </c>
      <c r="F26" s="183">
        <v>-110</v>
      </c>
      <c r="G26" s="183">
        <v>12744</v>
      </c>
      <c r="H26" s="184">
        <f t="shared" si="1"/>
        <v>1970195</v>
      </c>
    </row>
    <row r="27" spans="1:14" ht="30.9" customHeight="1">
      <c r="A27" s="176">
        <v>45286</v>
      </c>
      <c r="B27" s="178" t="s">
        <v>485</v>
      </c>
      <c r="C27" s="183">
        <v>922448</v>
      </c>
      <c r="D27" s="183">
        <v>819319</v>
      </c>
      <c r="E27" s="183">
        <f t="shared" si="0"/>
        <v>103129</v>
      </c>
      <c r="F27" s="183">
        <v>0</v>
      </c>
      <c r="G27" s="183">
        <v>14740</v>
      </c>
      <c r="H27" s="184">
        <f t="shared" si="1"/>
        <v>2073324</v>
      </c>
    </row>
    <row r="28" spans="1:14" ht="30.9" customHeight="1">
      <c r="A28" s="176">
        <v>45287</v>
      </c>
      <c r="B28" s="178" t="s">
        <v>486</v>
      </c>
      <c r="C28" s="183">
        <v>1144027</v>
      </c>
      <c r="D28" s="183">
        <v>388336</v>
      </c>
      <c r="E28" s="183">
        <f t="shared" si="0"/>
        <v>755691</v>
      </c>
      <c r="F28" s="183">
        <v>-474</v>
      </c>
      <c r="G28" s="183">
        <v>0</v>
      </c>
      <c r="H28" s="184">
        <f t="shared" si="1"/>
        <v>2828541</v>
      </c>
    </row>
    <row r="29" spans="1:14" ht="30.9" customHeight="1">
      <c r="A29" s="176">
        <v>45288</v>
      </c>
      <c r="B29" s="178" t="s">
        <v>487</v>
      </c>
      <c r="C29" s="183">
        <v>472800</v>
      </c>
      <c r="D29" s="183">
        <v>647448</v>
      </c>
      <c r="E29" s="183">
        <f t="shared" si="0"/>
        <v>-174648</v>
      </c>
      <c r="F29" s="183">
        <v>0</v>
      </c>
      <c r="G29" s="183">
        <v>25260</v>
      </c>
      <c r="H29" s="184">
        <f t="shared" si="1"/>
        <v>2653893</v>
      </c>
    </row>
    <row r="30" spans="1:14" ht="30.9" customHeight="1">
      <c r="A30" s="176">
        <v>45289</v>
      </c>
      <c r="B30" s="177" t="s">
        <v>488</v>
      </c>
      <c r="C30" s="183">
        <v>274762</v>
      </c>
      <c r="D30" s="183">
        <v>919770</v>
      </c>
      <c r="E30" s="183">
        <f t="shared" si="0"/>
        <v>-645008</v>
      </c>
      <c r="F30" s="183">
        <v>0</v>
      </c>
      <c r="G30" s="183">
        <v>12547</v>
      </c>
      <c r="H30" s="184">
        <f t="shared" si="1"/>
        <v>2008885</v>
      </c>
    </row>
    <row r="31" spans="1:14" ht="30.9" customHeight="1">
      <c r="A31" s="176">
        <v>45290</v>
      </c>
      <c r="B31" s="177" t="s">
        <v>489</v>
      </c>
      <c r="C31" s="183">
        <v>281858</v>
      </c>
      <c r="D31" s="183">
        <v>355051</v>
      </c>
      <c r="E31" s="183">
        <f t="shared" si="0"/>
        <v>-73193</v>
      </c>
      <c r="F31" s="183">
        <v>-14</v>
      </c>
      <c r="G31" s="183">
        <v>11254</v>
      </c>
      <c r="H31" s="184">
        <f t="shared" si="1"/>
        <v>1935678</v>
      </c>
    </row>
    <row r="32" spans="1:14" ht="30.9" customHeight="1">
      <c r="A32" s="176">
        <v>45291</v>
      </c>
      <c r="B32" s="177" t="s">
        <v>490</v>
      </c>
      <c r="C32" s="183">
        <v>377411</v>
      </c>
      <c r="D32" s="165">
        <v>1934432</v>
      </c>
      <c r="E32" s="183">
        <f t="shared" si="0"/>
        <v>-1557021</v>
      </c>
      <c r="F32" s="183">
        <v>-449</v>
      </c>
      <c r="G32" s="183">
        <v>0</v>
      </c>
      <c r="H32" s="152">
        <f t="shared" si="1"/>
        <v>378208</v>
      </c>
    </row>
    <row r="33" spans="1:8" ht="45" customHeight="1">
      <c r="A33" s="476" t="s">
        <v>247</v>
      </c>
      <c r="B33" s="477"/>
      <c r="C33" s="145">
        <f>SUM(C2:C32)</f>
        <v>12958096</v>
      </c>
      <c r="D33" s="145">
        <f>SUM(D2:D32)</f>
        <v>12575770</v>
      </c>
      <c r="E33" s="145">
        <f>SUM(E2:E32)</f>
        <v>382326</v>
      </c>
      <c r="F33" s="145">
        <f>SUM(F2:F32)</f>
        <v>-4118</v>
      </c>
      <c r="G33" s="145">
        <f>SUM(G2:G32)</f>
        <v>487304</v>
      </c>
      <c r="H33" s="145">
        <f>H32</f>
        <v>378208</v>
      </c>
    </row>
    <row r="34" spans="1:8">
      <c r="A34" s="69"/>
    </row>
    <row r="35" spans="1:8">
      <c r="A35" s="69"/>
    </row>
    <row r="36" spans="1:8">
      <c r="A36" s="69"/>
    </row>
    <row r="37" spans="1:8">
      <c r="A37" s="69"/>
    </row>
    <row r="38" spans="1:8">
      <c r="A38" s="69"/>
    </row>
    <row r="39" spans="1:8" ht="21" customHeight="1">
      <c r="A39" s="69"/>
    </row>
    <row r="40" spans="1:8" ht="23.1" customHeight="1">
      <c r="A40" s="69"/>
    </row>
    <row r="41" spans="1:8">
      <c r="A41" s="69"/>
    </row>
    <row r="42" spans="1:8" ht="29.1" customHeight="1">
      <c r="A42" s="69"/>
    </row>
    <row r="43" spans="1:8" ht="15" customHeight="1">
      <c r="A43" s="69"/>
    </row>
    <row r="44" spans="1:8">
      <c r="A44" s="69"/>
    </row>
    <row r="45" spans="1:8">
      <c r="A45" s="69"/>
    </row>
    <row r="46" spans="1:8">
      <c r="A46" s="69"/>
    </row>
    <row r="47" spans="1:8">
      <c r="A47" s="69"/>
    </row>
    <row r="48" spans="1:8">
      <c r="A48" s="69"/>
    </row>
    <row r="49" spans="1:1">
      <c r="A49" s="69"/>
    </row>
    <row r="50" spans="1:1" ht="18.899999999999999" customHeight="1">
      <c r="A50" s="69"/>
    </row>
  </sheetData>
  <mergeCells count="20">
    <mergeCell ref="A33:B33"/>
    <mergeCell ref="I14:N14"/>
    <mergeCell ref="I16:K16"/>
    <mergeCell ref="L16:N16"/>
    <mergeCell ref="I17:N17"/>
    <mergeCell ref="I21:N21"/>
    <mergeCell ref="I22:I23"/>
    <mergeCell ref="I11:N11"/>
    <mergeCell ref="A1:B1"/>
    <mergeCell ref="I1:N1"/>
    <mergeCell ref="I2:N2"/>
    <mergeCell ref="M3:N3"/>
    <mergeCell ref="I4:I5"/>
    <mergeCell ref="M4:N4"/>
    <mergeCell ref="M5:N5"/>
    <mergeCell ref="I6:N6"/>
    <mergeCell ref="M7:N7"/>
    <mergeCell ref="M8:N8"/>
    <mergeCell ref="J9:N9"/>
    <mergeCell ref="I10:N10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3135B-D85A-4DEB-8BA8-BDDC5EF99C26}">
  <dimension ref="A1:N50"/>
  <sheetViews>
    <sheetView topLeftCell="A19" zoomScaleNormal="100" workbookViewId="0">
      <selection activeCell="I10" sqref="I10:N10"/>
    </sheetView>
  </sheetViews>
  <sheetFormatPr defaultColWidth="10.6328125" defaultRowHeight="18"/>
  <cols>
    <col min="1" max="1" width="5.90625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8" style="69" customWidth="1"/>
    <col min="7" max="7" width="7.90625" style="69" customWidth="1"/>
    <col min="8" max="8" width="12.453125" style="69" customWidth="1"/>
    <col min="9" max="14" width="11.453125" style="69" customWidth="1"/>
    <col min="15" max="16384" width="10.6328125" style="69"/>
  </cols>
  <sheetData>
    <row r="1" spans="1:14" ht="24" customHeight="1" thickTop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133" t="s">
        <v>463</v>
      </c>
      <c r="H1" s="151" t="s">
        <v>464</v>
      </c>
      <c r="I1" s="622" t="s">
        <v>678</v>
      </c>
      <c r="J1" s="622"/>
      <c r="K1" s="622"/>
      <c r="L1" s="622"/>
      <c r="M1" s="622"/>
      <c r="N1" s="622"/>
    </row>
    <row r="2" spans="1:14" ht="30.9" customHeight="1" thickTop="1">
      <c r="A2" s="176">
        <v>45323</v>
      </c>
      <c r="B2" s="177" t="s">
        <v>491</v>
      </c>
      <c r="C2" s="183">
        <v>384182</v>
      </c>
      <c r="D2" s="183">
        <v>707386</v>
      </c>
      <c r="E2" s="183">
        <f>C2-D2</f>
        <v>-323204</v>
      </c>
      <c r="F2" s="183">
        <v>-275</v>
      </c>
      <c r="G2" s="183">
        <v>33127</v>
      </c>
      <c r="H2" s="184">
        <f>E2+F2</f>
        <v>-323479</v>
      </c>
      <c r="I2" s="478" t="s">
        <v>249</v>
      </c>
      <c r="J2" s="479"/>
      <c r="K2" s="479"/>
      <c r="L2" s="479"/>
      <c r="M2" s="479"/>
      <c r="N2" s="480"/>
    </row>
    <row r="3" spans="1:14" ht="30.9" customHeight="1">
      <c r="A3" s="176">
        <v>45324</v>
      </c>
      <c r="B3" s="178" t="s">
        <v>485</v>
      </c>
      <c r="C3" s="183">
        <v>815748</v>
      </c>
      <c r="D3" s="183">
        <v>250951</v>
      </c>
      <c r="E3" s="183">
        <f t="shared" ref="E3:E32" si="0">C3-D3</f>
        <v>564797</v>
      </c>
      <c r="F3" s="183">
        <v>22</v>
      </c>
      <c r="G3" s="183">
        <v>11544</v>
      </c>
      <c r="H3" s="184">
        <f>H2+E3+F3</f>
        <v>241340</v>
      </c>
      <c r="I3" s="105" t="s">
        <v>247</v>
      </c>
      <c r="J3" s="71" t="s">
        <v>251</v>
      </c>
      <c r="K3" s="134" t="s">
        <v>252</v>
      </c>
      <c r="L3" s="134" t="s">
        <v>449</v>
      </c>
      <c r="M3" s="481" t="s">
        <v>415</v>
      </c>
      <c r="N3" s="481"/>
    </row>
    <row r="4" spans="1:14" ht="30.9" customHeight="1">
      <c r="A4" s="176">
        <v>45325</v>
      </c>
      <c r="B4" s="178" t="s">
        <v>486</v>
      </c>
      <c r="C4" s="183">
        <v>739439</v>
      </c>
      <c r="D4" s="183">
        <v>509467</v>
      </c>
      <c r="E4" s="183">
        <f t="shared" si="0"/>
        <v>229972</v>
      </c>
      <c r="F4" s="183">
        <v>-258</v>
      </c>
      <c r="G4" s="183">
        <v>0</v>
      </c>
      <c r="H4" s="184">
        <f t="shared" ref="H4:H32" si="1">H3+E4+F4</f>
        <v>471054</v>
      </c>
      <c r="I4" s="484">
        <f>C33</f>
        <v>13681469</v>
      </c>
      <c r="J4" s="90">
        <f>G33</f>
        <v>486613</v>
      </c>
      <c r="K4" s="135"/>
      <c r="L4" s="135">
        <f>F33</f>
        <v>-2778</v>
      </c>
      <c r="M4" s="486">
        <v>4673</v>
      </c>
      <c r="N4" s="486"/>
    </row>
    <row r="5" spans="1:14" ht="30.9" customHeight="1" thickBot="1">
      <c r="A5" s="176">
        <v>45326</v>
      </c>
      <c r="B5" s="178" t="s">
        <v>487</v>
      </c>
      <c r="C5" s="183">
        <v>441666</v>
      </c>
      <c r="D5" s="183">
        <v>225054</v>
      </c>
      <c r="E5" s="183">
        <f t="shared" si="0"/>
        <v>216612</v>
      </c>
      <c r="F5" s="183">
        <v>-432</v>
      </c>
      <c r="G5" s="183">
        <v>47461</v>
      </c>
      <c r="H5" s="184">
        <f t="shared" si="1"/>
        <v>687234</v>
      </c>
      <c r="I5" s="485"/>
      <c r="J5" s="98">
        <f>J4/I4</f>
        <v>3.5567306405474439E-2</v>
      </c>
      <c r="K5" s="136">
        <f>K4/I4</f>
        <v>0</v>
      </c>
      <c r="L5" s="173">
        <f>L4/I4</f>
        <v>-2.0304837148700918E-4</v>
      </c>
      <c r="M5" s="487">
        <f>M4/I4</f>
        <v>3.4155688983397909E-4</v>
      </c>
      <c r="N5" s="487"/>
    </row>
    <row r="6" spans="1:14" ht="30.9" customHeight="1" thickBot="1">
      <c r="A6" s="176">
        <v>45327</v>
      </c>
      <c r="B6" s="177" t="s">
        <v>488</v>
      </c>
      <c r="C6" s="183">
        <v>398035</v>
      </c>
      <c r="D6" s="183">
        <v>485253</v>
      </c>
      <c r="E6" s="183">
        <f t="shared" si="0"/>
        <v>-87218</v>
      </c>
      <c r="F6" s="183">
        <v>0</v>
      </c>
      <c r="G6" s="183">
        <v>14740</v>
      </c>
      <c r="H6" s="184">
        <f t="shared" si="1"/>
        <v>600016</v>
      </c>
      <c r="I6" s="488" t="s">
        <v>250</v>
      </c>
      <c r="J6" s="489"/>
      <c r="K6" s="489"/>
      <c r="L6" s="489"/>
      <c r="M6" s="490"/>
      <c r="N6" s="491"/>
    </row>
    <row r="7" spans="1:14" ht="30.9" customHeight="1" thickTop="1">
      <c r="A7" s="176">
        <v>45328</v>
      </c>
      <c r="B7" s="177" t="s">
        <v>489</v>
      </c>
      <c r="C7" s="183">
        <v>582372</v>
      </c>
      <c r="D7" s="183">
        <v>150913</v>
      </c>
      <c r="E7" s="183">
        <f t="shared" si="0"/>
        <v>431459</v>
      </c>
      <c r="F7" s="183">
        <v>0</v>
      </c>
      <c r="G7" s="183">
        <v>0</v>
      </c>
      <c r="H7" s="184">
        <f t="shared" si="1"/>
        <v>1031475</v>
      </c>
      <c r="I7" s="100" t="s">
        <v>241</v>
      </c>
      <c r="J7" s="72" t="s">
        <v>253</v>
      </c>
      <c r="K7" s="189" t="s">
        <v>624</v>
      </c>
      <c r="L7" s="71" t="s">
        <v>469</v>
      </c>
      <c r="M7" s="492" t="s">
        <v>247</v>
      </c>
      <c r="N7" s="493"/>
    </row>
    <row r="8" spans="1:14" ht="30.9" customHeight="1" thickBot="1">
      <c r="A8" s="176">
        <v>45329</v>
      </c>
      <c r="B8" s="177" t="s">
        <v>490</v>
      </c>
      <c r="C8" s="183">
        <v>420408</v>
      </c>
      <c r="D8" s="183">
        <v>413547</v>
      </c>
      <c r="E8" s="183">
        <f t="shared" si="0"/>
        <v>6861</v>
      </c>
      <c r="F8" s="183">
        <v>-445</v>
      </c>
      <c r="G8" s="183">
        <v>22349</v>
      </c>
      <c r="H8" s="184">
        <f t="shared" si="1"/>
        <v>1037891</v>
      </c>
      <c r="I8" s="101">
        <f>D33</f>
        <v>11146778</v>
      </c>
      <c r="J8" s="102">
        <f>L16</f>
        <v>764180</v>
      </c>
      <c r="K8" s="190">
        <f>N19</f>
        <v>90454</v>
      </c>
      <c r="L8" s="175">
        <f>J4*0.065</f>
        <v>31629.845000000001</v>
      </c>
      <c r="M8" s="494">
        <f>SUM(I8:L8)</f>
        <v>12033041.845000001</v>
      </c>
      <c r="N8" s="495"/>
    </row>
    <row r="9" spans="1:14" ht="30.9" customHeight="1" thickTop="1" thickBot="1">
      <c r="A9" s="176">
        <v>45330</v>
      </c>
      <c r="B9" s="177" t="s">
        <v>491</v>
      </c>
      <c r="C9" s="183">
        <v>746423</v>
      </c>
      <c r="D9" s="183">
        <v>547581</v>
      </c>
      <c r="E9" s="183">
        <f t="shared" si="0"/>
        <v>198842</v>
      </c>
      <c r="F9" s="183">
        <v>14</v>
      </c>
      <c r="G9" s="183">
        <v>42540</v>
      </c>
      <c r="H9" s="184">
        <f t="shared" si="1"/>
        <v>1236747</v>
      </c>
      <c r="I9" s="108" t="s">
        <v>266</v>
      </c>
      <c r="J9" s="623">
        <f>I4-M8</f>
        <v>1648427.1549999993</v>
      </c>
      <c r="K9" s="623"/>
      <c r="L9" s="623"/>
      <c r="M9" s="623"/>
      <c r="N9" s="623"/>
    </row>
    <row r="10" spans="1:14" ht="30.9" customHeight="1">
      <c r="A10" s="176">
        <v>45331</v>
      </c>
      <c r="B10" s="178" t="s">
        <v>485</v>
      </c>
      <c r="C10" s="183">
        <v>924658</v>
      </c>
      <c r="D10" s="183">
        <v>663438</v>
      </c>
      <c r="E10" s="183">
        <f t="shared" si="0"/>
        <v>261220</v>
      </c>
      <c r="F10" s="183">
        <v>-14</v>
      </c>
      <c r="G10" s="183">
        <v>86541</v>
      </c>
      <c r="H10" s="184">
        <f t="shared" si="1"/>
        <v>1497953</v>
      </c>
      <c r="I10" s="482" t="s">
        <v>257</v>
      </c>
      <c r="J10" s="482"/>
      <c r="K10" s="482"/>
      <c r="L10" s="482"/>
      <c r="M10" s="482"/>
      <c r="N10" s="483"/>
    </row>
    <row r="11" spans="1:14" ht="30.9" customHeight="1">
      <c r="A11" s="176">
        <v>45332</v>
      </c>
      <c r="B11" s="178" t="s">
        <v>486</v>
      </c>
      <c r="C11" s="183">
        <v>497089</v>
      </c>
      <c r="D11" s="183">
        <v>329126</v>
      </c>
      <c r="E11" s="183">
        <f t="shared" si="0"/>
        <v>167963</v>
      </c>
      <c r="F11" s="183">
        <v>-25</v>
      </c>
      <c r="G11" s="183">
        <v>0</v>
      </c>
      <c r="H11" s="184">
        <f>H10+E11+F11</f>
        <v>1665891</v>
      </c>
      <c r="I11" s="472" t="s">
        <v>477</v>
      </c>
      <c r="J11" s="472"/>
      <c r="K11" s="472"/>
      <c r="L11" s="472"/>
      <c r="M11" s="472"/>
      <c r="N11" s="472"/>
    </row>
    <row r="12" spans="1:14" ht="30.9" customHeight="1">
      <c r="A12" s="176">
        <v>45333</v>
      </c>
      <c r="B12" s="178" t="s">
        <v>487</v>
      </c>
      <c r="C12" s="183">
        <v>345188</v>
      </c>
      <c r="D12" s="183">
        <v>338442</v>
      </c>
      <c r="E12" s="183">
        <f t="shared" si="0"/>
        <v>6746</v>
      </c>
      <c r="F12" s="183">
        <v>-12</v>
      </c>
      <c r="G12" s="183">
        <v>0</v>
      </c>
      <c r="H12" s="184">
        <f t="shared" si="1"/>
        <v>1672625</v>
      </c>
      <c r="I12" s="171" t="s">
        <v>478</v>
      </c>
      <c r="J12" s="175" t="s">
        <v>479</v>
      </c>
      <c r="K12" s="175" t="s">
        <v>480</v>
      </c>
      <c r="L12" s="175" t="s">
        <v>455</v>
      </c>
      <c r="M12" s="175" t="s">
        <v>468</v>
      </c>
      <c r="N12" s="175" t="s">
        <v>230</v>
      </c>
    </row>
    <row r="13" spans="1:14" ht="30.9" customHeight="1">
      <c r="A13" s="176">
        <v>45334</v>
      </c>
      <c r="B13" s="177" t="s">
        <v>488</v>
      </c>
      <c r="C13" s="183">
        <v>148212</v>
      </c>
      <c r="D13" s="183">
        <v>381430</v>
      </c>
      <c r="E13" s="183">
        <f t="shared" si="0"/>
        <v>-233218</v>
      </c>
      <c r="F13" s="183">
        <v>4</v>
      </c>
      <c r="G13" s="183">
        <v>0</v>
      </c>
      <c r="H13" s="184">
        <f t="shared" si="1"/>
        <v>1439411</v>
      </c>
      <c r="I13" s="172">
        <v>250000</v>
      </c>
      <c r="J13" s="175">
        <v>78230</v>
      </c>
      <c r="K13" s="175">
        <v>99800</v>
      </c>
      <c r="L13" s="175">
        <v>0</v>
      </c>
      <c r="M13" s="172">
        <v>35650</v>
      </c>
      <c r="N13" s="172">
        <v>220500</v>
      </c>
    </row>
    <row r="14" spans="1:14" ht="30.9" customHeight="1">
      <c r="A14" s="176">
        <v>45335</v>
      </c>
      <c r="B14" s="177" t="s">
        <v>489</v>
      </c>
      <c r="C14" s="183">
        <v>326298</v>
      </c>
      <c r="D14" s="183">
        <v>419279</v>
      </c>
      <c r="E14" s="183">
        <f t="shared" si="0"/>
        <v>-92981</v>
      </c>
      <c r="F14" s="183">
        <v>-312</v>
      </c>
      <c r="G14" s="183">
        <v>14541</v>
      </c>
      <c r="H14" s="184">
        <f t="shared" si="1"/>
        <v>1346118</v>
      </c>
      <c r="I14" s="472" t="s">
        <v>481</v>
      </c>
      <c r="J14" s="472"/>
      <c r="K14" s="472"/>
      <c r="L14" s="472"/>
      <c r="M14" s="472"/>
      <c r="N14" s="472"/>
    </row>
    <row r="15" spans="1:14" ht="30.9" customHeight="1">
      <c r="A15" s="176">
        <v>45336</v>
      </c>
      <c r="B15" s="177" t="s">
        <v>490</v>
      </c>
      <c r="C15" s="183">
        <v>258807</v>
      </c>
      <c r="D15" s="183">
        <v>224515</v>
      </c>
      <c r="E15" s="183">
        <f t="shared" si="0"/>
        <v>34292</v>
      </c>
      <c r="F15" s="183">
        <v>81</v>
      </c>
      <c r="G15" s="183">
        <v>0</v>
      </c>
      <c r="H15" s="184">
        <f t="shared" si="1"/>
        <v>1380491</v>
      </c>
      <c r="I15" s="185">
        <v>80000</v>
      </c>
      <c r="J15" s="185"/>
      <c r="K15" s="185"/>
      <c r="L15" s="185"/>
      <c r="M15" s="185"/>
      <c r="N15" s="185"/>
    </row>
    <row r="16" spans="1:14" ht="30.9" customHeight="1">
      <c r="A16" s="176">
        <v>45337</v>
      </c>
      <c r="B16" s="177" t="s">
        <v>491</v>
      </c>
      <c r="C16" s="183">
        <v>182718</v>
      </c>
      <c r="D16" s="183">
        <v>423424</v>
      </c>
      <c r="E16" s="183">
        <f t="shared" si="0"/>
        <v>-240706</v>
      </c>
      <c r="F16" s="183">
        <v>0</v>
      </c>
      <c r="G16" s="183">
        <v>0</v>
      </c>
      <c r="H16" s="184">
        <f t="shared" si="1"/>
        <v>1139785</v>
      </c>
      <c r="I16" s="473" t="s">
        <v>247</v>
      </c>
      <c r="J16" s="473"/>
      <c r="K16" s="473"/>
      <c r="L16" s="500">
        <f>SUM(I13:N13)+SUM(I15:N15)</f>
        <v>764180</v>
      </c>
      <c r="M16" s="500"/>
      <c r="N16" s="500"/>
    </row>
    <row r="17" spans="1:14" ht="30.9" customHeight="1">
      <c r="A17" s="176">
        <v>45338</v>
      </c>
      <c r="B17" s="178" t="s">
        <v>485</v>
      </c>
      <c r="C17" s="183">
        <v>533745</v>
      </c>
      <c r="D17" s="183">
        <v>285279</v>
      </c>
      <c r="E17" s="183">
        <f t="shared" si="0"/>
        <v>248466</v>
      </c>
      <c r="F17" s="183">
        <v>-185</v>
      </c>
      <c r="G17" s="183">
        <v>12476</v>
      </c>
      <c r="H17" s="184">
        <f t="shared" si="1"/>
        <v>1388066</v>
      </c>
      <c r="I17" s="474" t="s">
        <v>482</v>
      </c>
      <c r="J17" s="474"/>
      <c r="K17" s="474"/>
      <c r="L17" s="474"/>
      <c r="M17" s="474"/>
      <c r="N17" s="474"/>
    </row>
    <row r="18" spans="1:14" ht="30.9" customHeight="1">
      <c r="A18" s="176">
        <v>45339</v>
      </c>
      <c r="B18" s="178" t="s">
        <v>486</v>
      </c>
      <c r="C18" s="183">
        <v>676599</v>
      </c>
      <c r="D18" s="183">
        <v>628847</v>
      </c>
      <c r="E18" s="183">
        <f t="shared" si="0"/>
        <v>47752</v>
      </c>
      <c r="F18" s="183">
        <v>-154</v>
      </c>
      <c r="G18" s="183">
        <v>47214</v>
      </c>
      <c r="H18" s="184">
        <f t="shared" si="1"/>
        <v>1435664</v>
      </c>
      <c r="I18" s="71" t="s">
        <v>494</v>
      </c>
      <c r="J18" s="186" t="s">
        <v>495</v>
      </c>
      <c r="K18" s="71" t="s">
        <v>484</v>
      </c>
      <c r="L18" s="71" t="s">
        <v>492</v>
      </c>
      <c r="M18" s="187" t="s">
        <v>498</v>
      </c>
      <c r="N18" s="71" t="s">
        <v>247</v>
      </c>
    </row>
    <row r="19" spans="1:14" ht="30.9" customHeight="1">
      <c r="A19" s="176">
        <v>45340</v>
      </c>
      <c r="B19" s="178" t="s">
        <v>487</v>
      </c>
      <c r="C19" s="183">
        <v>383164</v>
      </c>
      <c r="D19" s="183">
        <v>221500</v>
      </c>
      <c r="E19" s="183">
        <f t="shared" si="0"/>
        <v>161664</v>
      </c>
      <c r="F19" s="183">
        <v>-87</v>
      </c>
      <c r="G19" s="183">
        <v>0</v>
      </c>
      <c r="H19" s="184">
        <f>H18+E19+F19</f>
        <v>1597241</v>
      </c>
      <c r="I19" s="181">
        <v>26544</v>
      </c>
      <c r="J19" s="181">
        <v>35000</v>
      </c>
      <c r="K19" s="181"/>
      <c r="L19" s="181"/>
      <c r="M19" s="188">
        <f>N23</f>
        <v>28910</v>
      </c>
      <c r="N19" s="181">
        <f>SUM(I19:M19)</f>
        <v>90454</v>
      </c>
    </row>
    <row r="20" spans="1:14" ht="30.9" customHeight="1">
      <c r="A20" s="176">
        <v>45341</v>
      </c>
      <c r="B20" s="177" t="s">
        <v>488</v>
      </c>
      <c r="C20" s="183">
        <v>306326</v>
      </c>
      <c r="D20" s="183">
        <v>21953</v>
      </c>
      <c r="E20" s="183">
        <f t="shared" si="0"/>
        <v>284373</v>
      </c>
      <c r="F20" s="183">
        <v>0</v>
      </c>
      <c r="G20" s="183">
        <v>14421</v>
      </c>
      <c r="H20" s="184">
        <f t="shared" si="1"/>
        <v>1881614</v>
      </c>
    </row>
    <row r="21" spans="1:14" ht="30.9" customHeight="1">
      <c r="A21" s="176">
        <v>45342</v>
      </c>
      <c r="B21" s="177" t="s">
        <v>489</v>
      </c>
      <c r="C21" s="183">
        <v>325288</v>
      </c>
      <c r="D21" s="183">
        <v>566204</v>
      </c>
      <c r="E21" s="183">
        <f t="shared" si="0"/>
        <v>-240916</v>
      </c>
      <c r="F21" s="183">
        <v>-124</v>
      </c>
      <c r="G21" s="183">
        <v>0</v>
      </c>
      <c r="H21" s="184">
        <f t="shared" si="1"/>
        <v>1640574</v>
      </c>
      <c r="I21" s="616" t="s">
        <v>497</v>
      </c>
      <c r="J21" s="616"/>
      <c r="K21" s="616"/>
      <c r="L21" s="616"/>
      <c r="M21" s="616"/>
      <c r="N21" s="616"/>
    </row>
    <row r="22" spans="1:14" ht="30.9" customHeight="1">
      <c r="A22" s="176">
        <v>45343</v>
      </c>
      <c r="B22" s="177" t="s">
        <v>490</v>
      </c>
      <c r="C22" s="183">
        <v>233297</v>
      </c>
      <c r="D22" s="183">
        <v>238128</v>
      </c>
      <c r="E22" s="183">
        <f t="shared" si="0"/>
        <v>-4831</v>
      </c>
      <c r="F22" s="183">
        <v>0</v>
      </c>
      <c r="G22" s="183">
        <v>11211</v>
      </c>
      <c r="H22" s="184">
        <f t="shared" si="1"/>
        <v>1635743</v>
      </c>
      <c r="I22" s="617"/>
      <c r="J22" s="186" t="s">
        <v>625</v>
      </c>
      <c r="K22" s="71" t="s">
        <v>636</v>
      </c>
      <c r="L22" s="71" t="s">
        <v>637</v>
      </c>
      <c r="M22" s="71"/>
      <c r="N22" s="71" t="s">
        <v>247</v>
      </c>
    </row>
    <row r="23" spans="1:14" ht="30.9" customHeight="1">
      <c r="A23" s="176">
        <v>45344</v>
      </c>
      <c r="B23" s="177" t="s">
        <v>491</v>
      </c>
      <c r="C23" s="183">
        <v>530053</v>
      </c>
      <c r="D23" s="183">
        <v>389326</v>
      </c>
      <c r="E23" s="183">
        <f t="shared" si="0"/>
        <v>140727</v>
      </c>
      <c r="F23" s="183">
        <v>0</v>
      </c>
      <c r="G23" s="183">
        <v>46584</v>
      </c>
      <c r="H23" s="184">
        <f t="shared" si="1"/>
        <v>1776470</v>
      </c>
      <c r="I23" s="579"/>
      <c r="J23" s="181">
        <v>0</v>
      </c>
      <c r="K23" s="181">
        <v>21410</v>
      </c>
      <c r="L23" s="181">
        <v>7500</v>
      </c>
      <c r="M23" s="181"/>
      <c r="N23" s="181">
        <f>SUM(J23:M23)</f>
        <v>28910</v>
      </c>
    </row>
    <row r="24" spans="1:14" ht="30.9" customHeight="1">
      <c r="A24" s="176">
        <v>45345</v>
      </c>
      <c r="B24" s="178" t="s">
        <v>485</v>
      </c>
      <c r="C24" s="183">
        <v>977163</v>
      </c>
      <c r="D24" s="183">
        <v>225725</v>
      </c>
      <c r="E24" s="183">
        <f t="shared" si="0"/>
        <v>751438</v>
      </c>
      <c r="F24" s="183">
        <v>-51</v>
      </c>
      <c r="G24" s="183">
        <v>32541</v>
      </c>
      <c r="H24" s="184">
        <f t="shared" si="1"/>
        <v>2527857</v>
      </c>
    </row>
    <row r="25" spans="1:14" ht="30.9" customHeight="1">
      <c r="A25" s="176">
        <v>45346</v>
      </c>
      <c r="B25" s="178" t="s">
        <v>486</v>
      </c>
      <c r="C25" s="183">
        <v>872196</v>
      </c>
      <c r="D25" s="183">
        <v>299976</v>
      </c>
      <c r="E25" s="183">
        <f t="shared" si="0"/>
        <v>572220</v>
      </c>
      <c r="F25" s="183">
        <v>0</v>
      </c>
      <c r="G25" s="183">
        <v>0</v>
      </c>
      <c r="H25" s="184">
        <f t="shared" si="1"/>
        <v>3100077</v>
      </c>
    </row>
    <row r="26" spans="1:14" ht="30.9" customHeight="1">
      <c r="A26" s="176">
        <v>45347</v>
      </c>
      <c r="B26" s="178" t="s">
        <v>487</v>
      </c>
      <c r="C26" s="183">
        <v>477363</v>
      </c>
      <c r="D26" s="183">
        <v>316189</v>
      </c>
      <c r="E26" s="183">
        <f t="shared" si="0"/>
        <v>161174</v>
      </c>
      <c r="F26" s="183">
        <v>-247</v>
      </c>
      <c r="G26" s="183">
        <v>12474</v>
      </c>
      <c r="H26" s="184">
        <f t="shared" si="1"/>
        <v>3261004</v>
      </c>
    </row>
    <row r="27" spans="1:14" ht="30.9" customHeight="1">
      <c r="A27" s="176">
        <v>45348</v>
      </c>
      <c r="B27" s="177" t="s">
        <v>488</v>
      </c>
      <c r="C27" s="183">
        <v>291563</v>
      </c>
      <c r="D27" s="183">
        <v>157122</v>
      </c>
      <c r="E27" s="183">
        <f t="shared" si="0"/>
        <v>134441</v>
      </c>
      <c r="F27" s="183">
        <v>0</v>
      </c>
      <c r="G27" s="183">
        <v>12437</v>
      </c>
      <c r="H27" s="184">
        <f t="shared" si="1"/>
        <v>3395445</v>
      </c>
    </row>
    <row r="28" spans="1:14" ht="30.9" customHeight="1">
      <c r="A28" s="176">
        <v>45349</v>
      </c>
      <c r="B28" s="177" t="s">
        <v>489</v>
      </c>
      <c r="C28" s="183">
        <v>224986</v>
      </c>
      <c r="D28" s="183">
        <v>835652</v>
      </c>
      <c r="E28" s="183">
        <f t="shared" si="0"/>
        <v>-610666</v>
      </c>
      <c r="F28" s="183">
        <v>-114</v>
      </c>
      <c r="G28" s="183">
        <v>0</v>
      </c>
      <c r="H28" s="184">
        <f t="shared" si="1"/>
        <v>2784665</v>
      </c>
    </row>
    <row r="29" spans="1:14" ht="30.9" customHeight="1">
      <c r="A29" s="176">
        <v>45350</v>
      </c>
      <c r="B29" s="177" t="s">
        <v>490</v>
      </c>
      <c r="C29" s="183">
        <v>289676</v>
      </c>
      <c r="D29" s="183">
        <v>456160</v>
      </c>
      <c r="E29" s="183">
        <f t="shared" si="0"/>
        <v>-166484</v>
      </c>
      <c r="F29" s="183">
        <v>147</v>
      </c>
      <c r="G29" s="183">
        <v>0</v>
      </c>
      <c r="H29" s="184">
        <f t="shared" si="1"/>
        <v>2618328</v>
      </c>
    </row>
    <row r="30" spans="1:14" ht="30.9" customHeight="1">
      <c r="A30" s="176">
        <v>45351</v>
      </c>
      <c r="B30" s="177" t="s">
        <v>491</v>
      </c>
      <c r="C30" s="183">
        <v>348807</v>
      </c>
      <c r="D30" s="183">
        <v>434911</v>
      </c>
      <c r="E30" s="183">
        <f t="shared" si="0"/>
        <v>-86104</v>
      </c>
      <c r="F30" s="183">
        <v>-311</v>
      </c>
      <c r="G30" s="183">
        <v>24412</v>
      </c>
      <c r="H30" s="184">
        <f t="shared" si="1"/>
        <v>2531913</v>
      </c>
    </row>
    <row r="31" spans="1:14" ht="30.9" customHeight="1">
      <c r="A31" s="176"/>
      <c r="B31" s="177"/>
      <c r="C31" s="183"/>
      <c r="D31" s="183"/>
      <c r="E31" s="183">
        <f t="shared" si="0"/>
        <v>0</v>
      </c>
      <c r="F31" s="183"/>
      <c r="G31" s="183"/>
      <c r="H31" s="184">
        <f t="shared" si="1"/>
        <v>2531913</v>
      </c>
    </row>
    <row r="32" spans="1:14" ht="30.9" customHeight="1">
      <c r="A32" s="176"/>
      <c r="B32" s="177"/>
      <c r="C32" s="183"/>
      <c r="D32" s="165"/>
      <c r="E32" s="183">
        <f t="shared" si="0"/>
        <v>0</v>
      </c>
      <c r="F32" s="183"/>
      <c r="G32" s="183"/>
      <c r="H32" s="219">
        <f t="shared" si="1"/>
        <v>2531913</v>
      </c>
    </row>
    <row r="33" spans="1:8" ht="45" customHeight="1">
      <c r="A33" s="476" t="s">
        <v>247</v>
      </c>
      <c r="B33" s="477"/>
      <c r="C33" s="145">
        <f>SUM(C2:C32)</f>
        <v>13681469</v>
      </c>
      <c r="D33" s="145">
        <f>SUM(D2:D32)</f>
        <v>11146778</v>
      </c>
      <c r="E33" s="145">
        <f>SUM(E2:E32)</f>
        <v>2534691</v>
      </c>
      <c r="F33" s="145">
        <f>SUM(F2:F32)</f>
        <v>-2778</v>
      </c>
      <c r="G33" s="145">
        <f>SUM(G2:G32)</f>
        <v>486613</v>
      </c>
      <c r="H33" s="145">
        <f>H32</f>
        <v>2531913</v>
      </c>
    </row>
    <row r="34" spans="1:8">
      <c r="A34" s="69"/>
    </row>
    <row r="35" spans="1:8">
      <c r="A35" s="69"/>
    </row>
    <row r="36" spans="1:8">
      <c r="A36" s="69"/>
    </row>
    <row r="37" spans="1:8">
      <c r="A37" s="69"/>
    </row>
    <row r="38" spans="1:8">
      <c r="A38" s="69"/>
    </row>
    <row r="39" spans="1:8" ht="21" customHeight="1">
      <c r="A39" s="69"/>
    </row>
    <row r="40" spans="1:8" ht="23.1" customHeight="1">
      <c r="A40" s="69"/>
    </row>
    <row r="41" spans="1:8">
      <c r="A41" s="69"/>
    </row>
    <row r="42" spans="1:8" ht="29.1" customHeight="1">
      <c r="A42" s="69"/>
    </row>
    <row r="43" spans="1:8" ht="15" customHeight="1">
      <c r="A43" s="69"/>
    </row>
    <row r="44" spans="1:8">
      <c r="A44" s="69"/>
    </row>
    <row r="45" spans="1:8">
      <c r="A45" s="69"/>
    </row>
    <row r="46" spans="1:8">
      <c r="A46" s="69"/>
    </row>
    <row r="47" spans="1:8">
      <c r="A47" s="69"/>
    </row>
    <row r="48" spans="1:8">
      <c r="A48" s="69"/>
    </row>
    <row r="49" spans="1:1">
      <c r="A49" s="69"/>
    </row>
    <row r="50" spans="1:1" ht="18.899999999999999" customHeight="1">
      <c r="A50" s="69"/>
    </row>
  </sheetData>
  <mergeCells count="20">
    <mergeCell ref="I11:N11"/>
    <mergeCell ref="A1:B1"/>
    <mergeCell ref="I1:N1"/>
    <mergeCell ref="I2:N2"/>
    <mergeCell ref="M3:N3"/>
    <mergeCell ref="I4:I5"/>
    <mergeCell ref="M4:N4"/>
    <mergeCell ref="M5:N5"/>
    <mergeCell ref="I6:N6"/>
    <mergeCell ref="M7:N7"/>
    <mergeCell ref="M8:N8"/>
    <mergeCell ref="J9:N9"/>
    <mergeCell ref="I10:N10"/>
    <mergeCell ref="A33:B33"/>
    <mergeCell ref="I14:N14"/>
    <mergeCell ref="I16:K16"/>
    <mergeCell ref="L16:N16"/>
    <mergeCell ref="I17:N17"/>
    <mergeCell ref="I21:N21"/>
    <mergeCell ref="I22:I23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49D13-38C7-46BC-9D16-F85532BDDB69}">
  <dimension ref="A1:AA51"/>
  <sheetViews>
    <sheetView topLeftCell="A19" zoomScaleNormal="100" workbookViewId="0">
      <selection activeCell="I10" sqref="I10:N10"/>
    </sheetView>
  </sheetViews>
  <sheetFormatPr defaultColWidth="10.6328125" defaultRowHeight="18"/>
  <cols>
    <col min="1" max="1" width="5.90625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8" style="69" customWidth="1"/>
    <col min="7" max="7" width="7.90625" style="69" customWidth="1"/>
    <col min="8" max="8" width="12.453125" style="69" customWidth="1"/>
    <col min="9" max="14" width="11.453125" style="69" customWidth="1"/>
    <col min="15" max="16" width="7" style="69" customWidth="1"/>
    <col min="17" max="27" width="4.81640625" style="69" customWidth="1"/>
    <col min="28" max="16384" width="10.6328125" style="69"/>
  </cols>
  <sheetData>
    <row r="1" spans="1:27" ht="24" customHeight="1" thickTop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133" t="s">
        <v>463</v>
      </c>
      <c r="H1" s="220" t="s">
        <v>464</v>
      </c>
      <c r="I1" s="622" t="s">
        <v>677</v>
      </c>
      <c r="J1" s="622"/>
      <c r="K1" s="622"/>
      <c r="L1" s="622"/>
      <c r="M1" s="622"/>
      <c r="N1" s="622"/>
      <c r="O1" s="631" t="s">
        <v>642</v>
      </c>
      <c r="P1" s="632"/>
      <c r="Q1" s="632"/>
      <c r="R1" s="632"/>
      <c r="S1" s="632"/>
      <c r="T1" s="632"/>
      <c r="U1" s="632"/>
      <c r="V1" s="632"/>
      <c r="W1" s="632"/>
      <c r="X1" s="632"/>
      <c r="Y1" s="632"/>
      <c r="Z1" s="632"/>
      <c r="AA1" s="633"/>
    </row>
    <row r="2" spans="1:27" ht="30.9" customHeight="1" thickTop="1" thickBot="1">
      <c r="A2" s="176">
        <v>45352</v>
      </c>
      <c r="B2" s="178" t="s">
        <v>485</v>
      </c>
      <c r="C2" s="183">
        <v>692564</v>
      </c>
      <c r="D2" s="183">
        <v>136069</v>
      </c>
      <c r="E2" s="183">
        <f>C2-D2</f>
        <v>556495</v>
      </c>
      <c r="F2" s="183">
        <v>-124</v>
      </c>
      <c r="G2" s="183">
        <v>15741</v>
      </c>
      <c r="H2" s="221">
        <f>E2+F2</f>
        <v>556371</v>
      </c>
      <c r="I2" s="630" t="s">
        <v>249</v>
      </c>
      <c r="J2" s="630"/>
      <c r="K2" s="630"/>
      <c r="L2" s="630"/>
      <c r="M2" s="630"/>
      <c r="N2" s="630"/>
      <c r="O2" s="627" t="s">
        <v>638</v>
      </c>
      <c r="P2" s="628"/>
      <c r="Q2" s="628"/>
      <c r="R2" s="628"/>
      <c r="S2" s="628"/>
      <c r="T2" s="628"/>
      <c r="U2" s="628"/>
      <c r="V2" s="628"/>
      <c r="W2" s="628"/>
      <c r="X2" s="628"/>
      <c r="Y2" s="628"/>
      <c r="Z2" s="628"/>
      <c r="AA2" s="629"/>
    </row>
    <row r="3" spans="1:27" ht="30.9" customHeight="1" thickTop="1" thickBot="1">
      <c r="A3" s="176">
        <v>45353</v>
      </c>
      <c r="B3" s="178" t="s">
        <v>486</v>
      </c>
      <c r="C3" s="183">
        <v>556769</v>
      </c>
      <c r="D3" s="183">
        <v>687140</v>
      </c>
      <c r="E3" s="183">
        <f t="shared" ref="E3:E32" si="0">C3-D3</f>
        <v>-130371</v>
      </c>
      <c r="F3" s="183">
        <v>-1414</v>
      </c>
      <c r="G3" s="183">
        <v>14256</v>
      </c>
      <c r="H3" s="221">
        <f>H2+E3+F3</f>
        <v>424586</v>
      </c>
      <c r="I3" s="223" t="s">
        <v>247</v>
      </c>
      <c r="J3" s="222" t="s">
        <v>251</v>
      </c>
      <c r="K3" s="222" t="s">
        <v>252</v>
      </c>
      <c r="L3" s="222" t="s">
        <v>449</v>
      </c>
      <c r="M3" s="630" t="s">
        <v>415</v>
      </c>
      <c r="N3" s="630"/>
      <c r="O3" s="246">
        <v>44958</v>
      </c>
      <c r="P3" s="247">
        <v>44986</v>
      </c>
      <c r="Q3" s="247">
        <v>45017</v>
      </c>
      <c r="R3" s="247">
        <v>45047</v>
      </c>
      <c r="S3" s="247">
        <v>45078</v>
      </c>
      <c r="T3" s="247">
        <v>45108</v>
      </c>
      <c r="U3" s="247">
        <v>45139</v>
      </c>
      <c r="V3" s="247">
        <v>45170</v>
      </c>
      <c r="W3" s="247">
        <v>45200</v>
      </c>
      <c r="X3" s="247">
        <v>45231</v>
      </c>
      <c r="Y3" s="247">
        <v>45261</v>
      </c>
      <c r="Z3" s="247">
        <v>45292</v>
      </c>
      <c r="AA3" s="248" t="s">
        <v>73</v>
      </c>
    </row>
    <row r="4" spans="1:27" ht="30.9" customHeight="1" thickTop="1" thickBot="1">
      <c r="A4" s="176">
        <v>45354</v>
      </c>
      <c r="B4" s="178" t="s">
        <v>487</v>
      </c>
      <c r="C4" s="183">
        <v>421592</v>
      </c>
      <c r="D4" s="183">
        <v>328525</v>
      </c>
      <c r="E4" s="183">
        <f t="shared" si="0"/>
        <v>93067</v>
      </c>
      <c r="F4" s="183">
        <v>0</v>
      </c>
      <c r="G4" s="183">
        <v>0</v>
      </c>
      <c r="H4" s="221">
        <f t="shared" ref="H4:H33" si="1">H3+E4+F4</f>
        <v>517653</v>
      </c>
      <c r="I4" s="635">
        <f>C34</f>
        <v>13633002</v>
      </c>
      <c r="J4" s="224">
        <f>G34</f>
        <v>444786</v>
      </c>
      <c r="K4" s="224"/>
      <c r="L4" s="224">
        <f>F34</f>
        <v>-6689</v>
      </c>
      <c r="M4" s="636">
        <v>4188</v>
      </c>
      <c r="N4" s="636"/>
      <c r="O4" s="249">
        <v>10000</v>
      </c>
      <c r="P4" s="250">
        <v>10000</v>
      </c>
      <c r="Q4" s="250">
        <v>10000</v>
      </c>
      <c r="R4" s="250">
        <v>10000</v>
      </c>
      <c r="S4" s="250">
        <v>10000</v>
      </c>
      <c r="T4" s="250">
        <v>10000</v>
      </c>
      <c r="U4" s="250">
        <v>10000</v>
      </c>
      <c r="V4" s="250">
        <v>10000</v>
      </c>
      <c r="W4" s="250">
        <v>10000</v>
      </c>
      <c r="X4" s="250">
        <v>10000</v>
      </c>
      <c r="Y4" s="250">
        <v>10000</v>
      </c>
      <c r="Z4" s="250">
        <v>10000</v>
      </c>
      <c r="AA4" s="251">
        <f>SUM(O4:Z4)</f>
        <v>120000</v>
      </c>
    </row>
    <row r="5" spans="1:27" ht="30.9" customHeight="1" thickTop="1" thickBot="1">
      <c r="A5" s="176">
        <v>45355</v>
      </c>
      <c r="B5" s="177" t="s">
        <v>488</v>
      </c>
      <c r="C5" s="183">
        <v>213146</v>
      </c>
      <c r="D5" s="183">
        <v>311270</v>
      </c>
      <c r="E5" s="183">
        <f t="shared" si="0"/>
        <v>-98124</v>
      </c>
      <c r="F5" s="183">
        <v>-784</v>
      </c>
      <c r="G5" s="183">
        <v>14741</v>
      </c>
      <c r="H5" s="221">
        <f t="shared" si="1"/>
        <v>418745</v>
      </c>
      <c r="I5" s="635"/>
      <c r="J5" s="225">
        <f>J4/I4</f>
        <v>3.2625682883344401E-2</v>
      </c>
      <c r="K5" s="225">
        <f>K4/I4</f>
        <v>0</v>
      </c>
      <c r="L5" s="226">
        <f>L4/I4</f>
        <v>-4.9064762111822476E-4</v>
      </c>
      <c r="M5" s="637">
        <f>M4/I4</f>
        <v>3.0719572989133283E-4</v>
      </c>
      <c r="N5" s="637"/>
      <c r="O5" s="624" t="s">
        <v>639</v>
      </c>
      <c r="P5" s="625"/>
      <c r="Q5" s="625"/>
      <c r="R5" s="625"/>
      <c r="S5" s="625"/>
      <c r="T5" s="625"/>
      <c r="U5" s="625"/>
      <c r="V5" s="625"/>
      <c r="W5" s="625"/>
      <c r="X5" s="625"/>
      <c r="Y5" s="625"/>
      <c r="Z5" s="625"/>
      <c r="AA5" s="626"/>
    </row>
    <row r="6" spans="1:27" ht="30.9" customHeight="1" thickTop="1" thickBot="1">
      <c r="A6" s="176">
        <v>45356</v>
      </c>
      <c r="B6" s="177" t="s">
        <v>489</v>
      </c>
      <c r="C6" s="183">
        <v>433990</v>
      </c>
      <c r="D6" s="183">
        <v>415746</v>
      </c>
      <c r="E6" s="183">
        <f t="shared" si="0"/>
        <v>18244</v>
      </c>
      <c r="F6" s="183">
        <v>12</v>
      </c>
      <c r="G6" s="183">
        <v>0</v>
      </c>
      <c r="H6" s="221">
        <f t="shared" si="1"/>
        <v>437001</v>
      </c>
      <c r="I6" s="630" t="s">
        <v>250</v>
      </c>
      <c r="J6" s="630"/>
      <c r="K6" s="630"/>
      <c r="L6" s="630"/>
      <c r="M6" s="630"/>
      <c r="N6" s="630"/>
      <c r="O6" s="630" t="s">
        <v>231</v>
      </c>
      <c r="P6" s="630"/>
      <c r="Q6" s="490"/>
      <c r="R6" s="490"/>
      <c r="AA6" s="240"/>
    </row>
    <row r="7" spans="1:27" ht="30.9" customHeight="1" thickTop="1" thickBot="1">
      <c r="A7" s="176">
        <v>45357</v>
      </c>
      <c r="B7" s="177" t="s">
        <v>490</v>
      </c>
      <c r="C7" s="183">
        <v>294779</v>
      </c>
      <c r="D7" s="183">
        <v>333543</v>
      </c>
      <c r="E7" s="183">
        <f t="shared" si="0"/>
        <v>-38764</v>
      </c>
      <c r="F7" s="183">
        <v>-444</v>
      </c>
      <c r="G7" s="183">
        <v>57414</v>
      </c>
      <c r="H7" s="221">
        <f t="shared" si="1"/>
        <v>397793</v>
      </c>
      <c r="I7" s="222" t="s">
        <v>241</v>
      </c>
      <c r="J7" s="222" t="s">
        <v>253</v>
      </c>
      <c r="K7" s="227" t="s">
        <v>624</v>
      </c>
      <c r="L7" s="222"/>
      <c r="M7" s="638" t="s">
        <v>247</v>
      </c>
      <c r="N7" s="638"/>
      <c r="O7" s="242" t="s">
        <v>640</v>
      </c>
      <c r="P7" s="243">
        <v>250000</v>
      </c>
      <c r="AA7" s="240"/>
    </row>
    <row r="8" spans="1:27" ht="30.9" customHeight="1" thickTop="1" thickBot="1">
      <c r="A8" s="176">
        <v>45358</v>
      </c>
      <c r="B8" s="177" t="s">
        <v>491</v>
      </c>
      <c r="C8" s="183">
        <v>295065</v>
      </c>
      <c r="D8" s="183">
        <v>439038</v>
      </c>
      <c r="E8" s="183">
        <f t="shared" si="0"/>
        <v>-143973</v>
      </c>
      <c r="F8" s="183">
        <v>184</v>
      </c>
      <c r="G8" s="183">
        <v>22470</v>
      </c>
      <c r="H8" s="221">
        <f t="shared" si="1"/>
        <v>254004</v>
      </c>
      <c r="I8" s="228">
        <f>D34</f>
        <v>11375633</v>
      </c>
      <c r="J8" s="229">
        <f>L16</f>
        <v>820500</v>
      </c>
      <c r="K8" s="230">
        <f>N19</f>
        <v>168621</v>
      </c>
      <c r="L8" s="229"/>
      <c r="M8" s="639">
        <f>SUM(I8:L8)</f>
        <v>12364754</v>
      </c>
      <c r="N8" s="639"/>
      <c r="O8" s="242" t="s">
        <v>641</v>
      </c>
      <c r="P8" s="243">
        <v>45000</v>
      </c>
      <c r="AA8" s="240"/>
    </row>
    <row r="9" spans="1:27" ht="30.9" customHeight="1" thickTop="1" thickBot="1">
      <c r="A9" s="176">
        <v>45359</v>
      </c>
      <c r="B9" s="178" t="s">
        <v>485</v>
      </c>
      <c r="C9" s="183">
        <v>615598</v>
      </c>
      <c r="D9" s="183">
        <v>438792</v>
      </c>
      <c r="E9" s="183">
        <f t="shared" si="0"/>
        <v>176806</v>
      </c>
      <c r="F9" s="183">
        <v>-421</v>
      </c>
      <c r="G9" s="183">
        <v>0</v>
      </c>
      <c r="H9" s="221">
        <f t="shared" si="1"/>
        <v>430389</v>
      </c>
      <c r="I9" s="231" t="s">
        <v>266</v>
      </c>
      <c r="J9" s="623">
        <f>I4-M8</f>
        <v>1268248</v>
      </c>
      <c r="K9" s="623"/>
      <c r="L9" s="623"/>
      <c r="M9" s="623"/>
      <c r="N9" s="623"/>
      <c r="O9" s="241" t="s">
        <v>495</v>
      </c>
      <c r="P9" s="243">
        <v>35000</v>
      </c>
      <c r="AA9" s="240"/>
    </row>
    <row r="10" spans="1:27" ht="30.9" customHeight="1" thickTop="1" thickBot="1">
      <c r="A10" s="176">
        <v>45360</v>
      </c>
      <c r="B10" s="178" t="s">
        <v>486</v>
      </c>
      <c r="C10" s="183">
        <v>836831</v>
      </c>
      <c r="D10" s="183">
        <v>280843</v>
      </c>
      <c r="E10" s="183">
        <f t="shared" si="0"/>
        <v>555988</v>
      </c>
      <c r="F10" s="183">
        <v>-871</v>
      </c>
      <c r="G10" s="183">
        <v>58456</v>
      </c>
      <c r="H10" s="221">
        <f t="shared" si="1"/>
        <v>985506</v>
      </c>
      <c r="I10" s="640" t="s">
        <v>257</v>
      </c>
      <c r="J10" s="640"/>
      <c r="K10" s="640"/>
      <c r="L10" s="640"/>
      <c r="M10" s="640"/>
      <c r="N10" s="640"/>
      <c r="O10" s="244" t="s">
        <v>73</v>
      </c>
      <c r="P10" s="245">
        <f>SUM(P7:P9)</f>
        <v>330000</v>
      </c>
      <c r="Q10" s="252"/>
      <c r="R10" s="252"/>
      <c r="S10" s="252"/>
      <c r="T10" s="252"/>
      <c r="U10" s="252"/>
      <c r="V10" s="252"/>
      <c r="W10" s="252"/>
      <c r="X10" s="252"/>
      <c r="Y10" s="252"/>
      <c r="Z10" s="252"/>
      <c r="AA10" s="253"/>
    </row>
    <row r="11" spans="1:27" ht="30.9" customHeight="1" thickTop="1" thickBot="1">
      <c r="A11" s="176">
        <v>45361</v>
      </c>
      <c r="B11" s="178" t="s">
        <v>487</v>
      </c>
      <c r="C11" s="183">
        <v>321861</v>
      </c>
      <c r="D11" s="183">
        <v>197748</v>
      </c>
      <c r="E11" s="183">
        <f t="shared" si="0"/>
        <v>124113</v>
      </c>
      <c r="F11" s="183">
        <v>0</v>
      </c>
      <c r="G11" s="183">
        <v>0</v>
      </c>
      <c r="H11" s="221">
        <f>H10+E11+F11</f>
        <v>1109619</v>
      </c>
      <c r="I11" s="634" t="s">
        <v>477</v>
      </c>
      <c r="J11" s="634"/>
      <c r="K11" s="634"/>
      <c r="L11" s="634"/>
      <c r="M11" s="634"/>
      <c r="N11" s="634"/>
    </row>
    <row r="12" spans="1:27" ht="30.9" customHeight="1" thickTop="1" thickBot="1">
      <c r="A12" s="176">
        <v>45362</v>
      </c>
      <c r="B12" s="177" t="s">
        <v>488</v>
      </c>
      <c r="C12" s="183">
        <v>220345</v>
      </c>
      <c r="D12" s="183">
        <v>493244</v>
      </c>
      <c r="E12" s="183">
        <f t="shared" si="0"/>
        <v>-272899</v>
      </c>
      <c r="F12" s="183">
        <v>0</v>
      </c>
      <c r="G12" s="183">
        <v>12411</v>
      </c>
      <c r="H12" s="221">
        <f t="shared" si="1"/>
        <v>836720</v>
      </c>
      <c r="I12" s="232" t="s">
        <v>478</v>
      </c>
      <c r="J12" s="229" t="s">
        <v>479</v>
      </c>
      <c r="K12" s="229" t="s">
        <v>480</v>
      </c>
      <c r="L12" s="229" t="s">
        <v>455</v>
      </c>
      <c r="M12" s="229" t="s">
        <v>468</v>
      </c>
      <c r="N12" s="229" t="s">
        <v>230</v>
      </c>
    </row>
    <row r="13" spans="1:27" ht="30.9" customHeight="1" thickTop="1" thickBot="1">
      <c r="A13" s="176">
        <v>45363</v>
      </c>
      <c r="B13" s="177" t="s">
        <v>489</v>
      </c>
      <c r="C13" s="183">
        <v>393796</v>
      </c>
      <c r="D13" s="183">
        <v>61992</v>
      </c>
      <c r="E13" s="183">
        <f t="shared" si="0"/>
        <v>331804</v>
      </c>
      <c r="F13" s="183">
        <v>0</v>
      </c>
      <c r="G13" s="183">
        <v>0</v>
      </c>
      <c r="H13" s="221">
        <f t="shared" si="1"/>
        <v>1168524</v>
      </c>
      <c r="I13" s="233">
        <v>333000</v>
      </c>
      <c r="J13" s="229">
        <v>93000</v>
      </c>
      <c r="K13" s="229">
        <v>138000</v>
      </c>
      <c r="L13" s="229">
        <v>0</v>
      </c>
      <c r="M13" s="233">
        <v>35500</v>
      </c>
      <c r="N13" s="233">
        <v>221000</v>
      </c>
    </row>
    <row r="14" spans="1:27" ht="30.9" customHeight="1" thickTop="1" thickBot="1">
      <c r="A14" s="176">
        <v>45364</v>
      </c>
      <c r="B14" s="177" t="s">
        <v>490</v>
      </c>
      <c r="C14" s="183">
        <v>352701</v>
      </c>
      <c r="D14" s="183">
        <v>52700</v>
      </c>
      <c r="E14" s="183">
        <f t="shared" si="0"/>
        <v>300001</v>
      </c>
      <c r="F14" s="183">
        <v>5</v>
      </c>
      <c r="G14" s="183">
        <v>0</v>
      </c>
      <c r="H14" s="221">
        <f t="shared" si="1"/>
        <v>1468530</v>
      </c>
      <c r="I14" s="634" t="s">
        <v>481</v>
      </c>
      <c r="J14" s="634"/>
      <c r="K14" s="634"/>
      <c r="L14" s="634"/>
      <c r="M14" s="634"/>
      <c r="N14" s="634"/>
    </row>
    <row r="15" spans="1:27" ht="30.9" customHeight="1" thickTop="1" thickBot="1">
      <c r="A15" s="176">
        <v>45365</v>
      </c>
      <c r="B15" s="177" t="s">
        <v>491</v>
      </c>
      <c r="C15" s="183">
        <v>324686</v>
      </c>
      <c r="D15" s="183">
        <v>1345060</v>
      </c>
      <c r="E15" s="183">
        <f t="shared" si="0"/>
        <v>-1020374</v>
      </c>
      <c r="F15" s="183">
        <v>0</v>
      </c>
      <c r="G15" s="183">
        <v>14764</v>
      </c>
      <c r="H15" s="221">
        <f t="shared" si="1"/>
        <v>448156</v>
      </c>
      <c r="I15" s="234">
        <v>0</v>
      </c>
      <c r="J15" s="234"/>
      <c r="K15" s="234"/>
      <c r="L15" s="234"/>
      <c r="M15" s="234"/>
      <c r="N15" s="234"/>
    </row>
    <row r="16" spans="1:27" ht="30.9" customHeight="1" thickTop="1" thickBot="1">
      <c r="A16" s="176">
        <v>45366</v>
      </c>
      <c r="B16" s="178" t="s">
        <v>485</v>
      </c>
      <c r="C16" s="183">
        <v>728484</v>
      </c>
      <c r="D16" s="183">
        <v>22388</v>
      </c>
      <c r="E16" s="183">
        <f t="shared" si="0"/>
        <v>706096</v>
      </c>
      <c r="F16" s="183">
        <v>-55</v>
      </c>
      <c r="G16" s="183">
        <v>0</v>
      </c>
      <c r="H16" s="221">
        <f t="shared" si="1"/>
        <v>1154197</v>
      </c>
      <c r="I16" s="641" t="s">
        <v>247</v>
      </c>
      <c r="J16" s="641"/>
      <c r="K16" s="641"/>
      <c r="L16" s="642">
        <f>SUM(I13:N13)+SUM(I15:N15)</f>
        <v>820500</v>
      </c>
      <c r="M16" s="642"/>
      <c r="N16" s="642"/>
    </row>
    <row r="17" spans="1:14" ht="30.9" customHeight="1" thickTop="1" thickBot="1">
      <c r="A17" s="176">
        <v>45367</v>
      </c>
      <c r="B17" s="178" t="s">
        <v>486</v>
      </c>
      <c r="C17" s="183">
        <v>594156</v>
      </c>
      <c r="D17" s="183">
        <v>317298</v>
      </c>
      <c r="E17" s="183">
        <f t="shared" si="0"/>
        <v>276858</v>
      </c>
      <c r="F17" s="183">
        <v>0</v>
      </c>
      <c r="G17" s="183">
        <v>47854</v>
      </c>
      <c r="H17" s="221">
        <f t="shared" si="1"/>
        <v>1431055</v>
      </c>
      <c r="I17" s="643" t="s">
        <v>482</v>
      </c>
      <c r="J17" s="643"/>
      <c r="K17" s="643"/>
      <c r="L17" s="643"/>
      <c r="M17" s="643"/>
      <c r="N17" s="643"/>
    </row>
    <row r="18" spans="1:14" ht="30.9" customHeight="1" thickTop="1" thickBot="1">
      <c r="A18" s="176">
        <v>45368</v>
      </c>
      <c r="B18" s="178" t="s">
        <v>487</v>
      </c>
      <c r="C18" s="183">
        <v>232005</v>
      </c>
      <c r="D18" s="183">
        <v>234361</v>
      </c>
      <c r="E18" s="183">
        <f t="shared" si="0"/>
        <v>-2356</v>
      </c>
      <c r="F18" s="183">
        <v>-578</v>
      </c>
      <c r="G18" s="183">
        <v>0</v>
      </c>
      <c r="H18" s="221">
        <f t="shared" si="1"/>
        <v>1428121</v>
      </c>
      <c r="I18" s="222"/>
      <c r="J18" s="235"/>
      <c r="K18" s="222"/>
      <c r="L18" s="222"/>
      <c r="M18" s="236" t="s">
        <v>498</v>
      </c>
      <c r="N18" s="222" t="s">
        <v>247</v>
      </c>
    </row>
    <row r="19" spans="1:14" ht="30.9" customHeight="1" thickTop="1" thickBot="1">
      <c r="A19" s="176">
        <v>45369</v>
      </c>
      <c r="B19" s="177" t="s">
        <v>488</v>
      </c>
      <c r="C19" s="183">
        <v>307885</v>
      </c>
      <c r="D19" s="183">
        <v>223106</v>
      </c>
      <c r="E19" s="183">
        <f t="shared" si="0"/>
        <v>84779</v>
      </c>
      <c r="F19" s="183">
        <v>-564</v>
      </c>
      <c r="G19" s="183">
        <v>4641</v>
      </c>
      <c r="H19" s="221">
        <f>H18+E19+F19</f>
        <v>1512336</v>
      </c>
      <c r="I19" s="237"/>
      <c r="J19" s="237"/>
      <c r="K19" s="237"/>
      <c r="L19" s="237"/>
      <c r="M19" s="238">
        <f>N23</f>
        <v>168621</v>
      </c>
      <c r="N19" s="237">
        <f>SUM(I19:M19)</f>
        <v>168621</v>
      </c>
    </row>
    <row r="20" spans="1:14" ht="30.9" customHeight="1" thickTop="1" thickBot="1">
      <c r="A20" s="176">
        <v>45370</v>
      </c>
      <c r="B20" s="177" t="s">
        <v>489</v>
      </c>
      <c r="C20" s="183">
        <v>0</v>
      </c>
      <c r="D20" s="183">
        <v>60733</v>
      </c>
      <c r="E20" s="183">
        <f t="shared" si="0"/>
        <v>-60733</v>
      </c>
      <c r="F20" s="183">
        <v>0</v>
      </c>
      <c r="G20" s="183">
        <v>0</v>
      </c>
      <c r="H20" s="221">
        <f t="shared" si="1"/>
        <v>1451603</v>
      </c>
      <c r="I20" s="232"/>
      <c r="J20" s="232"/>
      <c r="K20" s="232"/>
      <c r="L20" s="232"/>
      <c r="M20" s="232"/>
      <c r="N20" s="232"/>
    </row>
    <row r="21" spans="1:14" ht="30.9" customHeight="1" thickTop="1" thickBot="1">
      <c r="A21" s="176">
        <v>45371</v>
      </c>
      <c r="B21" s="177" t="s">
        <v>490</v>
      </c>
      <c r="C21" s="183">
        <v>489871</v>
      </c>
      <c r="D21" s="183">
        <v>484176</v>
      </c>
      <c r="E21" s="183">
        <f t="shared" si="0"/>
        <v>5695</v>
      </c>
      <c r="F21" s="183">
        <v>0</v>
      </c>
      <c r="G21" s="183">
        <v>48994</v>
      </c>
      <c r="H21" s="221">
        <f t="shared" si="1"/>
        <v>1457298</v>
      </c>
      <c r="I21" s="644" t="s">
        <v>497</v>
      </c>
      <c r="J21" s="644"/>
      <c r="K21" s="644"/>
      <c r="L21" s="644"/>
      <c r="M21" s="644"/>
      <c r="N21" s="644"/>
    </row>
    <row r="22" spans="1:14" ht="30.9" customHeight="1" thickTop="1" thickBot="1">
      <c r="A22" s="176">
        <v>45372</v>
      </c>
      <c r="B22" s="177" t="s">
        <v>491</v>
      </c>
      <c r="C22" s="183">
        <v>364669</v>
      </c>
      <c r="D22" s="183">
        <v>397620</v>
      </c>
      <c r="E22" s="183">
        <f t="shared" si="0"/>
        <v>-32951</v>
      </c>
      <c r="F22" s="183">
        <v>-474</v>
      </c>
      <c r="G22" s="183">
        <v>0</v>
      </c>
      <c r="H22" s="221">
        <f t="shared" si="1"/>
        <v>1423873</v>
      </c>
      <c r="I22" s="235" t="s">
        <v>625</v>
      </c>
      <c r="J22" s="222" t="s">
        <v>636</v>
      </c>
      <c r="K22" s="222" t="s">
        <v>142</v>
      </c>
      <c r="L22" s="222" t="s">
        <v>638</v>
      </c>
      <c r="M22" s="222" t="s">
        <v>494</v>
      </c>
      <c r="N22" s="222" t="s">
        <v>247</v>
      </c>
    </row>
    <row r="23" spans="1:14" ht="30.9" customHeight="1" thickTop="1" thickBot="1">
      <c r="A23" s="176">
        <v>45373</v>
      </c>
      <c r="B23" s="178" t="s">
        <v>485</v>
      </c>
      <c r="C23" s="183">
        <v>663176</v>
      </c>
      <c r="D23" s="183">
        <v>92555</v>
      </c>
      <c r="E23" s="183">
        <f t="shared" si="0"/>
        <v>570621</v>
      </c>
      <c r="F23" s="183">
        <v>0</v>
      </c>
      <c r="G23" s="183">
        <v>12104</v>
      </c>
      <c r="H23" s="221">
        <f t="shared" si="1"/>
        <v>1994494</v>
      </c>
      <c r="I23" s="237">
        <v>0</v>
      </c>
      <c r="J23" s="237">
        <v>0</v>
      </c>
      <c r="K23" s="237">
        <v>5750</v>
      </c>
      <c r="L23" s="237">
        <v>120000</v>
      </c>
      <c r="M23" s="237">
        <v>42871</v>
      </c>
      <c r="N23" s="237">
        <f>SUM(J23:M23)</f>
        <v>168621</v>
      </c>
    </row>
    <row r="24" spans="1:14" ht="30.9" customHeight="1" thickTop="1">
      <c r="A24" s="176">
        <v>45374</v>
      </c>
      <c r="B24" s="178" t="s">
        <v>486</v>
      </c>
      <c r="C24" s="183">
        <v>366937</v>
      </c>
      <c r="D24" s="183">
        <v>524919</v>
      </c>
      <c r="E24" s="183">
        <f t="shared" si="0"/>
        <v>-157982</v>
      </c>
      <c r="F24" s="183">
        <v>-98</v>
      </c>
      <c r="G24" s="183">
        <v>14765</v>
      </c>
      <c r="H24" s="184">
        <f t="shared" si="1"/>
        <v>1836414</v>
      </c>
    </row>
    <row r="25" spans="1:14" ht="30.9" customHeight="1">
      <c r="A25" s="176">
        <v>45375</v>
      </c>
      <c r="B25" s="178" t="s">
        <v>487</v>
      </c>
      <c r="C25" s="183">
        <v>227750</v>
      </c>
      <c r="D25" s="183">
        <v>357220</v>
      </c>
      <c r="E25" s="183">
        <f t="shared" si="0"/>
        <v>-129470</v>
      </c>
      <c r="F25" s="183">
        <v>0</v>
      </c>
      <c r="G25" s="183">
        <v>0</v>
      </c>
      <c r="H25" s="184">
        <f t="shared" si="1"/>
        <v>1706944</v>
      </c>
    </row>
    <row r="26" spans="1:14" ht="30.9" customHeight="1">
      <c r="A26" s="176">
        <v>45376</v>
      </c>
      <c r="B26" s="177" t="s">
        <v>488</v>
      </c>
      <c r="C26" s="183">
        <v>384333</v>
      </c>
      <c r="D26" s="183">
        <v>753991</v>
      </c>
      <c r="E26" s="183">
        <f t="shared" si="0"/>
        <v>-369658</v>
      </c>
      <c r="F26" s="183">
        <v>0</v>
      </c>
      <c r="G26" s="183">
        <v>47410</v>
      </c>
      <c r="H26" s="184">
        <f t="shared" si="1"/>
        <v>1337286</v>
      </c>
    </row>
    <row r="27" spans="1:14" ht="30.9" customHeight="1">
      <c r="A27" s="176">
        <v>45377</v>
      </c>
      <c r="B27" s="177" t="s">
        <v>489</v>
      </c>
      <c r="C27" s="183">
        <v>494327</v>
      </c>
      <c r="D27" s="183">
        <v>225724</v>
      </c>
      <c r="E27" s="183">
        <f t="shared" si="0"/>
        <v>268603</v>
      </c>
      <c r="F27" s="183">
        <v>-471</v>
      </c>
      <c r="G27" s="183">
        <v>11478</v>
      </c>
      <c r="H27" s="184">
        <f t="shared" si="1"/>
        <v>1605418</v>
      </c>
    </row>
    <row r="28" spans="1:14" ht="30.9" customHeight="1">
      <c r="A28" s="176">
        <v>45378</v>
      </c>
      <c r="B28" s="177" t="s">
        <v>490</v>
      </c>
      <c r="C28" s="183">
        <v>461253</v>
      </c>
      <c r="D28" s="183">
        <v>395686</v>
      </c>
      <c r="E28" s="183">
        <f t="shared" si="0"/>
        <v>65567</v>
      </c>
      <c r="F28" s="183">
        <v>0</v>
      </c>
      <c r="G28" s="183">
        <v>0</v>
      </c>
      <c r="H28" s="184">
        <f t="shared" si="1"/>
        <v>1670985</v>
      </c>
    </row>
    <row r="29" spans="1:14" ht="30.9" customHeight="1">
      <c r="A29" s="176">
        <v>45379</v>
      </c>
      <c r="B29" s="177" t="s">
        <v>491</v>
      </c>
      <c r="C29" s="183">
        <v>395610</v>
      </c>
      <c r="D29" s="183">
        <v>294392</v>
      </c>
      <c r="E29" s="183">
        <f t="shared" si="0"/>
        <v>101218</v>
      </c>
      <c r="F29" s="183">
        <v>-75</v>
      </c>
      <c r="G29" s="183">
        <v>0</v>
      </c>
      <c r="H29" s="184">
        <f t="shared" si="1"/>
        <v>1772128</v>
      </c>
    </row>
    <row r="30" spans="1:14" ht="30.9" customHeight="1">
      <c r="A30" s="176">
        <v>45380</v>
      </c>
      <c r="B30" s="178" t="s">
        <v>485</v>
      </c>
      <c r="C30" s="183">
        <v>769714</v>
      </c>
      <c r="D30" s="183">
        <v>654943</v>
      </c>
      <c r="E30" s="183">
        <f t="shared" si="0"/>
        <v>114771</v>
      </c>
      <c r="F30" s="183">
        <v>0</v>
      </c>
      <c r="G30" s="183">
        <v>21546</v>
      </c>
      <c r="H30" s="184">
        <f t="shared" si="1"/>
        <v>1886899</v>
      </c>
    </row>
    <row r="31" spans="1:14" ht="30.9" customHeight="1">
      <c r="A31" s="176">
        <v>45381</v>
      </c>
      <c r="B31" s="178" t="s">
        <v>486</v>
      </c>
      <c r="C31" s="183">
        <v>728067</v>
      </c>
      <c r="D31" s="183">
        <v>378801</v>
      </c>
      <c r="E31" s="183">
        <f t="shared" si="0"/>
        <v>349266</v>
      </c>
      <c r="F31" s="183">
        <v>-44</v>
      </c>
      <c r="G31" s="183">
        <v>25741</v>
      </c>
      <c r="H31" s="184">
        <f t="shared" si="1"/>
        <v>2236121</v>
      </c>
    </row>
    <row r="32" spans="1:14" ht="30.9" customHeight="1">
      <c r="A32" s="645">
        <v>45382</v>
      </c>
      <c r="B32" s="178" t="s">
        <v>487</v>
      </c>
      <c r="C32" s="183">
        <v>451042</v>
      </c>
      <c r="D32" s="183">
        <v>436010</v>
      </c>
      <c r="E32" s="183">
        <f t="shared" si="0"/>
        <v>15032</v>
      </c>
      <c r="F32" s="183">
        <v>-473</v>
      </c>
      <c r="G32" s="183"/>
      <c r="H32" s="219">
        <f t="shared" si="1"/>
        <v>2250680</v>
      </c>
    </row>
    <row r="33" spans="1:8" ht="30.9" customHeight="1">
      <c r="A33" s="646"/>
      <c r="B33" s="239"/>
      <c r="C33" s="183"/>
      <c r="D33" s="183"/>
      <c r="E33" s="183"/>
      <c r="F33" s="183"/>
      <c r="G33" s="183"/>
      <c r="H33" s="219">
        <f t="shared" si="1"/>
        <v>2250680</v>
      </c>
    </row>
    <row r="34" spans="1:8" ht="45" customHeight="1">
      <c r="A34" s="476" t="s">
        <v>247</v>
      </c>
      <c r="B34" s="477"/>
      <c r="C34" s="145">
        <f>SUM(C2:C32)</f>
        <v>13633002</v>
      </c>
      <c r="D34" s="145">
        <f>SUM(D2:D33)</f>
        <v>11375633</v>
      </c>
      <c r="E34" s="145">
        <f>SUM(E2:E32)</f>
        <v>2257369</v>
      </c>
      <c r="F34" s="145">
        <f>SUM(F2:F32)</f>
        <v>-6689</v>
      </c>
      <c r="G34" s="145">
        <f>SUM(G2:G32)</f>
        <v>444786</v>
      </c>
      <c r="H34" s="145">
        <f>H32</f>
        <v>2250680</v>
      </c>
    </row>
    <row r="35" spans="1:8">
      <c r="A35" s="69"/>
    </row>
    <row r="36" spans="1:8">
      <c r="A36" s="69"/>
    </row>
    <row r="37" spans="1:8">
      <c r="A37" s="69"/>
    </row>
    <row r="38" spans="1:8">
      <c r="A38" s="69"/>
    </row>
    <row r="39" spans="1:8">
      <c r="A39" s="69"/>
    </row>
    <row r="40" spans="1:8" ht="21" customHeight="1">
      <c r="A40" s="69"/>
    </row>
    <row r="41" spans="1:8" ht="23.1" customHeight="1">
      <c r="A41" s="69"/>
    </row>
    <row r="42" spans="1:8">
      <c r="A42" s="69"/>
    </row>
    <row r="43" spans="1:8" ht="29.1" customHeight="1">
      <c r="A43" s="69"/>
    </row>
    <row r="44" spans="1:8" ht="15" customHeight="1">
      <c r="A44" s="69"/>
    </row>
    <row r="45" spans="1:8">
      <c r="A45" s="69"/>
    </row>
    <row r="46" spans="1:8">
      <c r="A46" s="69"/>
    </row>
    <row r="47" spans="1:8">
      <c r="A47" s="69"/>
    </row>
    <row r="48" spans="1:8">
      <c r="A48" s="69"/>
    </row>
    <row r="49" spans="1:1">
      <c r="A49" s="69"/>
    </row>
    <row r="50" spans="1:1">
      <c r="A50" s="69"/>
    </row>
    <row r="51" spans="1:1" ht="18.899999999999999" customHeight="1">
      <c r="A51" s="69"/>
    </row>
  </sheetData>
  <mergeCells count="25">
    <mergeCell ref="A34:B34"/>
    <mergeCell ref="I14:N14"/>
    <mergeCell ref="I16:K16"/>
    <mergeCell ref="L16:N16"/>
    <mergeCell ref="I17:N17"/>
    <mergeCell ref="I21:N21"/>
    <mergeCell ref="A32:A33"/>
    <mergeCell ref="I11:N11"/>
    <mergeCell ref="A1:B1"/>
    <mergeCell ref="I1:N1"/>
    <mergeCell ref="I2:N2"/>
    <mergeCell ref="M3:N3"/>
    <mergeCell ref="I4:I5"/>
    <mergeCell ref="M4:N4"/>
    <mergeCell ref="M5:N5"/>
    <mergeCell ref="I6:N6"/>
    <mergeCell ref="M7:N7"/>
    <mergeCell ref="M8:N8"/>
    <mergeCell ref="J9:N9"/>
    <mergeCell ref="I10:N10"/>
    <mergeCell ref="O5:AA5"/>
    <mergeCell ref="O2:AA2"/>
    <mergeCell ref="O6:P6"/>
    <mergeCell ref="Q6:R6"/>
    <mergeCell ref="O1:AA1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64AA-51A5-4C61-97A6-0BFFEE6AAA58}">
  <dimension ref="A1:AA50"/>
  <sheetViews>
    <sheetView zoomScaleNormal="100" workbookViewId="0">
      <selection activeCell="L16" sqref="L16:N16"/>
    </sheetView>
  </sheetViews>
  <sheetFormatPr defaultColWidth="10.6328125" defaultRowHeight="18"/>
  <cols>
    <col min="1" max="1" width="5.90625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8" style="69" customWidth="1"/>
    <col min="7" max="7" width="7.90625" style="69" customWidth="1"/>
    <col min="8" max="8" width="12.453125" style="69" customWidth="1"/>
    <col min="9" max="14" width="11.453125" style="69" customWidth="1"/>
    <col min="15" max="16" width="7" style="69" customWidth="1"/>
    <col min="17" max="27" width="4.81640625" style="69" customWidth="1"/>
    <col min="28" max="16384" width="10.6328125" style="69"/>
  </cols>
  <sheetData>
    <row r="1" spans="1:27" ht="24" customHeight="1" thickTop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133" t="s">
        <v>463</v>
      </c>
      <c r="H1" s="220" t="s">
        <v>464</v>
      </c>
      <c r="I1" s="622" t="s">
        <v>676</v>
      </c>
      <c r="J1" s="622"/>
      <c r="K1" s="622"/>
      <c r="L1" s="622"/>
      <c r="M1" s="622"/>
      <c r="N1" s="622"/>
      <c r="O1" s="631" t="s">
        <v>642</v>
      </c>
      <c r="P1" s="632"/>
      <c r="Q1" s="632"/>
      <c r="R1" s="632"/>
      <c r="S1" s="632"/>
      <c r="T1" s="632"/>
      <c r="U1" s="632"/>
      <c r="V1" s="632"/>
      <c r="W1" s="632"/>
      <c r="X1" s="632"/>
      <c r="Y1" s="632"/>
      <c r="Z1" s="632"/>
      <c r="AA1" s="633"/>
    </row>
    <row r="2" spans="1:27" ht="30.9" customHeight="1" thickTop="1" thickBot="1">
      <c r="A2" s="176">
        <v>45383</v>
      </c>
      <c r="B2" s="177" t="s">
        <v>488</v>
      </c>
      <c r="C2" s="183">
        <v>244323</v>
      </c>
      <c r="D2" s="183">
        <v>1173885</v>
      </c>
      <c r="E2" s="183">
        <f>C2-D2</f>
        <v>-929562</v>
      </c>
      <c r="F2" s="183">
        <v>-22</v>
      </c>
      <c r="G2" s="183"/>
      <c r="H2" s="221">
        <f>E2+F2</f>
        <v>-929584</v>
      </c>
      <c r="I2" s="630" t="s">
        <v>249</v>
      </c>
      <c r="J2" s="630"/>
      <c r="K2" s="630"/>
      <c r="L2" s="630"/>
      <c r="M2" s="630"/>
      <c r="N2" s="630"/>
      <c r="O2" s="627" t="s">
        <v>638</v>
      </c>
      <c r="P2" s="628"/>
      <c r="Q2" s="628"/>
      <c r="R2" s="628"/>
      <c r="S2" s="628"/>
      <c r="T2" s="628"/>
      <c r="U2" s="628"/>
      <c r="V2" s="628"/>
      <c r="W2" s="628"/>
      <c r="X2" s="628"/>
      <c r="Y2" s="628"/>
      <c r="Z2" s="628"/>
      <c r="AA2" s="629"/>
    </row>
    <row r="3" spans="1:27" ht="30.9" customHeight="1" thickTop="1" thickBot="1">
      <c r="A3" s="176">
        <v>45384</v>
      </c>
      <c r="B3" s="177" t="s">
        <v>489</v>
      </c>
      <c r="C3" s="183">
        <v>351575</v>
      </c>
      <c r="D3" s="183">
        <v>392225</v>
      </c>
      <c r="E3" s="183">
        <f t="shared" ref="E3:E32" si="0">C3-D3</f>
        <v>-40650</v>
      </c>
      <c r="F3" s="183">
        <v>0</v>
      </c>
      <c r="G3" s="183"/>
      <c r="H3" s="221">
        <f>H2+E3+F3</f>
        <v>-970234</v>
      </c>
      <c r="I3" s="223" t="s">
        <v>247</v>
      </c>
      <c r="J3" s="222" t="s">
        <v>251</v>
      </c>
      <c r="K3" s="222" t="s">
        <v>252</v>
      </c>
      <c r="L3" s="222" t="s">
        <v>449</v>
      </c>
      <c r="M3" s="630" t="s">
        <v>415</v>
      </c>
      <c r="N3" s="630"/>
      <c r="O3" s="246"/>
      <c r="P3" s="247"/>
      <c r="Q3" s="247"/>
      <c r="R3" s="247"/>
      <c r="S3" s="247"/>
      <c r="T3" s="247"/>
      <c r="U3" s="247"/>
      <c r="V3" s="247"/>
      <c r="W3" s="247"/>
      <c r="X3" s="247"/>
      <c r="Y3" s="247"/>
      <c r="Z3" s="247"/>
      <c r="AA3" s="248" t="s">
        <v>73</v>
      </c>
    </row>
    <row r="4" spans="1:27" ht="30.9" customHeight="1" thickTop="1" thickBot="1">
      <c r="A4" s="176">
        <v>45385</v>
      </c>
      <c r="B4" s="177" t="s">
        <v>490</v>
      </c>
      <c r="C4" s="183">
        <v>219752</v>
      </c>
      <c r="D4" s="183">
        <v>671308</v>
      </c>
      <c r="E4" s="183">
        <f t="shared" si="0"/>
        <v>-451556</v>
      </c>
      <c r="F4" s="183">
        <v>-584</v>
      </c>
      <c r="G4" s="183"/>
      <c r="H4" s="221">
        <f t="shared" ref="H4:H32" si="1">H3+E4+F4</f>
        <v>-1422374</v>
      </c>
      <c r="I4" s="635">
        <f>C33</f>
        <v>14451749</v>
      </c>
      <c r="J4" s="224">
        <f>G33</f>
        <v>0</v>
      </c>
      <c r="K4" s="224"/>
      <c r="L4" s="224">
        <f>F33</f>
        <v>-5444</v>
      </c>
      <c r="M4" s="636">
        <v>5319</v>
      </c>
      <c r="N4" s="636"/>
      <c r="O4" s="249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1">
        <f>SUM(O4:Z4)</f>
        <v>0</v>
      </c>
    </row>
    <row r="5" spans="1:27" ht="30.9" customHeight="1" thickTop="1" thickBot="1">
      <c r="A5" s="176">
        <v>45386</v>
      </c>
      <c r="B5" s="177" t="s">
        <v>491</v>
      </c>
      <c r="C5" s="183">
        <v>247792</v>
      </c>
      <c r="D5" s="183">
        <v>125969</v>
      </c>
      <c r="E5" s="183">
        <f t="shared" si="0"/>
        <v>121823</v>
      </c>
      <c r="F5" s="183">
        <v>0</v>
      </c>
      <c r="G5" s="183"/>
      <c r="H5" s="221">
        <f t="shared" si="1"/>
        <v>-1300551</v>
      </c>
      <c r="I5" s="635"/>
      <c r="J5" s="225">
        <f>J4/I4</f>
        <v>0</v>
      </c>
      <c r="K5" s="225">
        <f>K4/I4</f>
        <v>0</v>
      </c>
      <c r="L5" s="226">
        <f>L4/I4</f>
        <v>-3.7670180958719943E-4</v>
      </c>
      <c r="M5" s="637">
        <f>M4/I4</f>
        <v>3.6805233747140223E-4</v>
      </c>
      <c r="N5" s="637"/>
      <c r="O5" s="624" t="s">
        <v>639</v>
      </c>
      <c r="P5" s="625"/>
      <c r="Q5" s="625"/>
      <c r="R5" s="625"/>
      <c r="S5" s="625"/>
      <c r="T5" s="625"/>
      <c r="U5" s="625"/>
      <c r="V5" s="625"/>
      <c r="W5" s="625"/>
      <c r="X5" s="625"/>
      <c r="Y5" s="625"/>
      <c r="Z5" s="625"/>
      <c r="AA5" s="626"/>
    </row>
    <row r="6" spans="1:27" ht="30.9" customHeight="1" thickTop="1" thickBot="1">
      <c r="A6" s="176">
        <v>45387</v>
      </c>
      <c r="B6" s="178" t="s">
        <v>485</v>
      </c>
      <c r="C6" s="183">
        <v>760386</v>
      </c>
      <c r="D6" s="183">
        <v>497252</v>
      </c>
      <c r="E6" s="183">
        <f t="shared" si="0"/>
        <v>263134</v>
      </c>
      <c r="F6" s="183">
        <v>0</v>
      </c>
      <c r="G6" s="183"/>
      <c r="H6" s="221">
        <f t="shared" si="1"/>
        <v>-1037417</v>
      </c>
      <c r="I6" s="630" t="s">
        <v>250</v>
      </c>
      <c r="J6" s="630"/>
      <c r="K6" s="630"/>
      <c r="L6" s="630"/>
      <c r="M6" s="630"/>
      <c r="N6" s="630"/>
      <c r="O6" s="630" t="s">
        <v>231</v>
      </c>
      <c r="P6" s="630"/>
      <c r="Q6" s="490"/>
      <c r="R6" s="490"/>
      <c r="AA6" s="240"/>
    </row>
    <row r="7" spans="1:27" ht="30.9" customHeight="1" thickTop="1" thickBot="1">
      <c r="A7" s="176">
        <v>45388</v>
      </c>
      <c r="B7" s="178" t="s">
        <v>486</v>
      </c>
      <c r="C7" s="183">
        <v>682697</v>
      </c>
      <c r="D7" s="183">
        <v>141292</v>
      </c>
      <c r="E7" s="183">
        <f t="shared" si="0"/>
        <v>541405</v>
      </c>
      <c r="F7" s="183">
        <v>18</v>
      </c>
      <c r="G7" s="183"/>
      <c r="H7" s="221">
        <f t="shared" si="1"/>
        <v>-495994</v>
      </c>
      <c r="I7" s="222" t="s">
        <v>241</v>
      </c>
      <c r="J7" s="222" t="s">
        <v>253</v>
      </c>
      <c r="K7" s="227" t="s">
        <v>624</v>
      </c>
      <c r="L7" s="222"/>
      <c r="M7" s="638" t="s">
        <v>247</v>
      </c>
      <c r="N7" s="638"/>
      <c r="O7" s="242" t="s">
        <v>640</v>
      </c>
      <c r="P7" s="243">
        <v>250000</v>
      </c>
      <c r="AA7" s="240"/>
    </row>
    <row r="8" spans="1:27" ht="30.9" customHeight="1" thickTop="1" thickBot="1">
      <c r="A8" s="176">
        <v>45389</v>
      </c>
      <c r="B8" s="178" t="s">
        <v>487</v>
      </c>
      <c r="C8" s="183">
        <v>423920</v>
      </c>
      <c r="D8" s="183">
        <v>52370</v>
      </c>
      <c r="E8" s="183">
        <f t="shared" si="0"/>
        <v>371550</v>
      </c>
      <c r="F8" s="183">
        <v>-284</v>
      </c>
      <c r="G8" s="183"/>
      <c r="H8" s="221">
        <f t="shared" si="1"/>
        <v>-124728</v>
      </c>
      <c r="I8" s="228">
        <f>D33</f>
        <v>12350411</v>
      </c>
      <c r="J8" s="229">
        <f>L16</f>
        <v>810000</v>
      </c>
      <c r="K8" s="230">
        <f>N19</f>
        <v>90604</v>
      </c>
      <c r="L8" s="229"/>
      <c r="M8" s="639">
        <f>SUM(I8:L8)</f>
        <v>13251015</v>
      </c>
      <c r="N8" s="639"/>
      <c r="O8" s="242" t="s">
        <v>641</v>
      </c>
      <c r="P8" s="243">
        <v>80000</v>
      </c>
      <c r="AA8" s="240"/>
    </row>
    <row r="9" spans="1:27" ht="30.9" customHeight="1" thickTop="1" thickBot="1">
      <c r="A9" s="176">
        <v>45390</v>
      </c>
      <c r="B9" s="177" t="s">
        <v>488</v>
      </c>
      <c r="C9" s="183">
        <v>253687</v>
      </c>
      <c r="D9" s="183">
        <v>575671</v>
      </c>
      <c r="E9" s="183">
        <f t="shared" si="0"/>
        <v>-321984</v>
      </c>
      <c r="F9" s="183">
        <v>-11</v>
      </c>
      <c r="G9" s="183"/>
      <c r="H9" s="221">
        <f t="shared" si="1"/>
        <v>-446723</v>
      </c>
      <c r="I9" s="231" t="s">
        <v>266</v>
      </c>
      <c r="J9" s="623">
        <f>I4-M8</f>
        <v>1200734</v>
      </c>
      <c r="K9" s="623"/>
      <c r="L9" s="623"/>
      <c r="M9" s="623"/>
      <c r="N9" s="623"/>
      <c r="O9" s="241" t="s">
        <v>495</v>
      </c>
      <c r="P9" s="243">
        <v>35000</v>
      </c>
      <c r="AA9" s="240"/>
    </row>
    <row r="10" spans="1:27" ht="30.9" customHeight="1" thickTop="1" thickBot="1">
      <c r="A10" s="176">
        <v>45391</v>
      </c>
      <c r="B10" s="177" t="s">
        <v>489</v>
      </c>
      <c r="C10" s="183">
        <v>349830</v>
      </c>
      <c r="D10" s="183">
        <v>99340</v>
      </c>
      <c r="E10" s="183">
        <f t="shared" si="0"/>
        <v>250490</v>
      </c>
      <c r="F10" s="183">
        <v>0</v>
      </c>
      <c r="G10" s="183"/>
      <c r="H10" s="221">
        <f t="shared" si="1"/>
        <v>-196233</v>
      </c>
      <c r="I10" s="640" t="s">
        <v>257</v>
      </c>
      <c r="J10" s="640"/>
      <c r="K10" s="640"/>
      <c r="L10" s="640"/>
      <c r="M10" s="640"/>
      <c r="N10" s="640"/>
      <c r="O10" s="244" t="s">
        <v>73</v>
      </c>
      <c r="P10" s="245">
        <f>SUM(P7:P9)</f>
        <v>365000</v>
      </c>
      <c r="Q10" s="252"/>
      <c r="R10" s="252"/>
      <c r="S10" s="252"/>
      <c r="T10" s="252"/>
      <c r="U10" s="252"/>
      <c r="V10" s="252"/>
      <c r="W10" s="252"/>
      <c r="X10" s="252"/>
      <c r="Y10" s="252"/>
      <c r="Z10" s="252"/>
      <c r="AA10" s="253"/>
    </row>
    <row r="11" spans="1:27" ht="30.9" customHeight="1" thickTop="1" thickBot="1">
      <c r="A11" s="176">
        <v>45392</v>
      </c>
      <c r="B11" s="177" t="s">
        <v>490</v>
      </c>
      <c r="C11" s="183">
        <v>446683</v>
      </c>
      <c r="D11" s="183">
        <v>549457</v>
      </c>
      <c r="E11" s="183">
        <f t="shared" si="0"/>
        <v>-102774</v>
      </c>
      <c r="F11" s="183">
        <v>-871</v>
      </c>
      <c r="G11" s="183"/>
      <c r="H11" s="221">
        <f>H10+E11+F11</f>
        <v>-299878</v>
      </c>
      <c r="I11" s="634" t="s">
        <v>477</v>
      </c>
      <c r="J11" s="634"/>
      <c r="K11" s="634"/>
      <c r="L11" s="634"/>
      <c r="M11" s="634"/>
      <c r="N11" s="634"/>
    </row>
    <row r="12" spans="1:27" ht="30.9" customHeight="1" thickTop="1" thickBot="1">
      <c r="A12" s="176">
        <v>45393</v>
      </c>
      <c r="B12" s="177" t="s">
        <v>491</v>
      </c>
      <c r="C12" s="183">
        <v>544461</v>
      </c>
      <c r="D12" s="183">
        <v>520157</v>
      </c>
      <c r="E12" s="183">
        <f t="shared" si="0"/>
        <v>24304</v>
      </c>
      <c r="F12" s="183">
        <v>-1112</v>
      </c>
      <c r="G12" s="183"/>
      <c r="H12" s="221">
        <f t="shared" si="1"/>
        <v>-276686</v>
      </c>
      <c r="I12" s="232" t="s">
        <v>478</v>
      </c>
      <c r="J12" s="229" t="s">
        <v>479</v>
      </c>
      <c r="K12" s="229" t="s">
        <v>480</v>
      </c>
      <c r="L12" s="229" t="s">
        <v>455</v>
      </c>
      <c r="M12" s="229" t="s">
        <v>468</v>
      </c>
      <c r="N12" s="229" t="s">
        <v>230</v>
      </c>
    </row>
    <row r="13" spans="1:27" ht="30.9" customHeight="1" thickTop="1" thickBot="1">
      <c r="A13" s="176">
        <v>45394</v>
      </c>
      <c r="B13" s="178" t="s">
        <v>485</v>
      </c>
      <c r="C13" s="183">
        <v>714325</v>
      </c>
      <c r="D13" s="183">
        <v>497379</v>
      </c>
      <c r="E13" s="183">
        <f t="shared" si="0"/>
        <v>216946</v>
      </c>
      <c r="F13" s="183">
        <v>0</v>
      </c>
      <c r="G13" s="183"/>
      <c r="H13" s="221">
        <f t="shared" si="1"/>
        <v>-59740</v>
      </c>
      <c r="I13" s="233">
        <f>P10</f>
        <v>365000</v>
      </c>
      <c r="J13" s="229">
        <v>76250</v>
      </c>
      <c r="K13" s="229">
        <v>105500</v>
      </c>
      <c r="L13" s="229">
        <v>0</v>
      </c>
      <c r="M13" s="233">
        <v>39750</v>
      </c>
      <c r="N13" s="233">
        <v>223500</v>
      </c>
    </row>
    <row r="14" spans="1:27" ht="30.9" customHeight="1" thickTop="1" thickBot="1">
      <c r="A14" s="176">
        <v>45395</v>
      </c>
      <c r="B14" s="178" t="s">
        <v>486</v>
      </c>
      <c r="C14" s="183">
        <v>710872</v>
      </c>
      <c r="D14" s="183">
        <v>127459</v>
      </c>
      <c r="E14" s="183">
        <f t="shared" si="0"/>
        <v>583413</v>
      </c>
      <c r="F14" s="183">
        <v>9</v>
      </c>
      <c r="G14" s="183"/>
      <c r="H14" s="221">
        <f t="shared" si="1"/>
        <v>523682</v>
      </c>
      <c r="I14" s="634" t="s">
        <v>481</v>
      </c>
      <c r="J14" s="634"/>
      <c r="K14" s="634"/>
      <c r="L14" s="634"/>
      <c r="M14" s="634"/>
      <c r="N14" s="634"/>
    </row>
    <row r="15" spans="1:27" ht="30.9" customHeight="1" thickTop="1" thickBot="1">
      <c r="A15" s="176">
        <v>45396</v>
      </c>
      <c r="B15" s="178" t="s">
        <v>487</v>
      </c>
      <c r="C15" s="183">
        <v>360245</v>
      </c>
      <c r="D15" s="183">
        <v>226328</v>
      </c>
      <c r="E15" s="183">
        <f t="shared" si="0"/>
        <v>133917</v>
      </c>
      <c r="F15" s="183">
        <v>-547</v>
      </c>
      <c r="G15" s="183"/>
      <c r="H15" s="221">
        <f t="shared" si="1"/>
        <v>657052</v>
      </c>
      <c r="I15" s="234">
        <v>0</v>
      </c>
      <c r="J15" s="234"/>
      <c r="K15" s="234"/>
      <c r="L15" s="234"/>
      <c r="M15" s="234"/>
      <c r="N15" s="234"/>
    </row>
    <row r="16" spans="1:27" ht="30.9" customHeight="1" thickTop="1" thickBot="1">
      <c r="A16" s="176">
        <v>45397</v>
      </c>
      <c r="B16" s="177" t="s">
        <v>488</v>
      </c>
      <c r="C16" s="183">
        <v>300163</v>
      </c>
      <c r="D16" s="183">
        <v>167358</v>
      </c>
      <c r="E16" s="183">
        <f t="shared" si="0"/>
        <v>132805</v>
      </c>
      <c r="F16" s="183">
        <v>22</v>
      </c>
      <c r="G16" s="183"/>
      <c r="H16" s="221">
        <f t="shared" si="1"/>
        <v>789879</v>
      </c>
      <c r="I16" s="641" t="s">
        <v>247</v>
      </c>
      <c r="J16" s="641"/>
      <c r="K16" s="641"/>
      <c r="L16" s="642">
        <f>SUM(I13:N13)+SUM(I15:N15)</f>
        <v>810000</v>
      </c>
      <c r="M16" s="642"/>
      <c r="N16" s="642"/>
    </row>
    <row r="17" spans="1:14" ht="30.9" customHeight="1" thickTop="1" thickBot="1">
      <c r="A17" s="176">
        <v>45398</v>
      </c>
      <c r="B17" s="177" t="s">
        <v>489</v>
      </c>
      <c r="C17" s="183">
        <v>383586</v>
      </c>
      <c r="D17" s="183">
        <v>78492</v>
      </c>
      <c r="E17" s="183">
        <f t="shared" si="0"/>
        <v>305094</v>
      </c>
      <c r="F17" s="183">
        <v>0</v>
      </c>
      <c r="G17" s="183"/>
      <c r="H17" s="221">
        <f t="shared" si="1"/>
        <v>1094973</v>
      </c>
      <c r="I17" s="643" t="s">
        <v>482</v>
      </c>
      <c r="J17" s="643"/>
      <c r="K17" s="643"/>
      <c r="L17" s="643"/>
      <c r="M17" s="643"/>
      <c r="N17" s="643"/>
    </row>
    <row r="18" spans="1:14" ht="30.9" customHeight="1" thickTop="1" thickBot="1">
      <c r="A18" s="176">
        <v>45399</v>
      </c>
      <c r="B18" s="177" t="s">
        <v>490</v>
      </c>
      <c r="C18" s="183">
        <v>326849</v>
      </c>
      <c r="D18" s="183">
        <v>187618</v>
      </c>
      <c r="E18" s="183">
        <f t="shared" si="0"/>
        <v>139231</v>
      </c>
      <c r="F18" s="183">
        <v>-57</v>
      </c>
      <c r="G18" s="183"/>
      <c r="H18" s="221">
        <f t="shared" si="1"/>
        <v>1234147</v>
      </c>
      <c r="I18" s="222"/>
      <c r="J18" s="235"/>
      <c r="K18" s="222"/>
      <c r="L18" s="222"/>
      <c r="M18" s="236" t="s">
        <v>498</v>
      </c>
      <c r="N18" s="222" t="s">
        <v>247</v>
      </c>
    </row>
    <row r="19" spans="1:14" ht="30.9" customHeight="1" thickTop="1" thickBot="1">
      <c r="A19" s="176">
        <v>45400</v>
      </c>
      <c r="B19" s="177" t="s">
        <v>491</v>
      </c>
      <c r="C19" s="183">
        <v>286872</v>
      </c>
      <c r="D19" s="183">
        <v>656689</v>
      </c>
      <c r="E19" s="183">
        <f t="shared" si="0"/>
        <v>-369817</v>
      </c>
      <c r="F19" s="183">
        <v>-114</v>
      </c>
      <c r="G19" s="183"/>
      <c r="H19" s="221">
        <f>H18+E19+F19</f>
        <v>864216</v>
      </c>
      <c r="I19" s="237"/>
      <c r="J19" s="237"/>
      <c r="K19" s="237"/>
      <c r="L19" s="237"/>
      <c r="M19" s="238">
        <f>N23</f>
        <v>90604</v>
      </c>
      <c r="N19" s="237">
        <f>SUM(I19:M19)</f>
        <v>90604</v>
      </c>
    </row>
    <row r="20" spans="1:14" ht="30.9" customHeight="1" thickTop="1" thickBot="1">
      <c r="A20" s="176">
        <v>45401</v>
      </c>
      <c r="B20" s="178" t="s">
        <v>485</v>
      </c>
      <c r="C20" s="183">
        <v>597385</v>
      </c>
      <c r="D20" s="183">
        <v>125130</v>
      </c>
      <c r="E20" s="183">
        <f t="shared" si="0"/>
        <v>472255</v>
      </c>
      <c r="F20" s="183">
        <v>2</v>
      </c>
      <c r="G20" s="183"/>
      <c r="H20" s="221">
        <f t="shared" si="1"/>
        <v>1336473</v>
      </c>
      <c r="I20" s="232"/>
      <c r="J20" s="232"/>
      <c r="K20" s="232"/>
      <c r="L20" s="232"/>
      <c r="M20" s="232"/>
      <c r="N20" s="232"/>
    </row>
    <row r="21" spans="1:14" ht="30.9" customHeight="1" thickTop="1" thickBot="1">
      <c r="A21" s="176">
        <v>45402</v>
      </c>
      <c r="B21" s="178" t="s">
        <v>486</v>
      </c>
      <c r="C21" s="183">
        <v>691749</v>
      </c>
      <c r="D21" s="183">
        <v>311889</v>
      </c>
      <c r="E21" s="183">
        <f t="shared" si="0"/>
        <v>379860</v>
      </c>
      <c r="F21" s="183">
        <v>-74</v>
      </c>
      <c r="G21" s="183"/>
      <c r="H21" s="221">
        <f t="shared" si="1"/>
        <v>1716259</v>
      </c>
      <c r="I21" s="644" t="s">
        <v>497</v>
      </c>
      <c r="J21" s="644"/>
      <c r="K21" s="644"/>
      <c r="L21" s="644"/>
      <c r="M21" s="644"/>
      <c r="N21" s="644"/>
    </row>
    <row r="22" spans="1:14" ht="30.9" customHeight="1" thickTop="1" thickBot="1">
      <c r="A22" s="176">
        <v>45403</v>
      </c>
      <c r="B22" s="178" t="s">
        <v>487</v>
      </c>
      <c r="C22" s="183">
        <v>268077</v>
      </c>
      <c r="D22" s="183">
        <v>448434</v>
      </c>
      <c r="E22" s="183">
        <f t="shared" si="0"/>
        <v>-180357</v>
      </c>
      <c r="F22" s="183">
        <v>-411</v>
      </c>
      <c r="G22" s="183"/>
      <c r="H22" s="221">
        <f t="shared" si="1"/>
        <v>1535491</v>
      </c>
      <c r="I22" s="235" t="s">
        <v>625</v>
      </c>
      <c r="J22" s="222" t="s">
        <v>636</v>
      </c>
      <c r="K22" s="222" t="s">
        <v>142</v>
      </c>
      <c r="L22" s="222" t="s">
        <v>638</v>
      </c>
      <c r="M22" s="222" t="s">
        <v>494</v>
      </c>
      <c r="N22" s="222" t="s">
        <v>247</v>
      </c>
    </row>
    <row r="23" spans="1:14" ht="30.9" customHeight="1" thickTop="1" thickBot="1">
      <c r="A23" s="176">
        <v>45404</v>
      </c>
      <c r="B23" s="177" t="s">
        <v>488</v>
      </c>
      <c r="C23" s="183">
        <v>269105</v>
      </c>
      <c r="D23" s="183">
        <v>41141</v>
      </c>
      <c r="E23" s="183">
        <f t="shared" si="0"/>
        <v>227964</v>
      </c>
      <c r="F23" s="183">
        <v>0</v>
      </c>
      <c r="G23" s="183"/>
      <c r="H23" s="221">
        <f t="shared" si="1"/>
        <v>1763455</v>
      </c>
      <c r="I23" s="237">
        <v>0</v>
      </c>
      <c r="J23" s="237">
        <v>0</v>
      </c>
      <c r="K23" s="237">
        <v>5750</v>
      </c>
      <c r="L23" s="237">
        <v>10000</v>
      </c>
      <c r="M23" s="237">
        <v>74854</v>
      </c>
      <c r="N23" s="237">
        <f>SUM(J23:M23)</f>
        <v>90604</v>
      </c>
    </row>
    <row r="24" spans="1:14" ht="30.9" customHeight="1" thickTop="1">
      <c r="A24" s="176">
        <v>45405</v>
      </c>
      <c r="B24" s="177" t="s">
        <v>489</v>
      </c>
      <c r="C24" s="183">
        <v>378278</v>
      </c>
      <c r="D24" s="183">
        <v>246841</v>
      </c>
      <c r="E24" s="183">
        <f t="shared" si="0"/>
        <v>131437</v>
      </c>
      <c r="F24" s="183">
        <v>-411</v>
      </c>
      <c r="G24" s="183"/>
      <c r="H24" s="184">
        <f t="shared" si="1"/>
        <v>1894481</v>
      </c>
    </row>
    <row r="25" spans="1:14" ht="30.9" customHeight="1">
      <c r="A25" s="176">
        <v>45406</v>
      </c>
      <c r="B25" s="177" t="s">
        <v>490</v>
      </c>
      <c r="C25" s="183">
        <v>466892</v>
      </c>
      <c r="D25" s="183">
        <v>626889</v>
      </c>
      <c r="E25" s="183">
        <f t="shared" si="0"/>
        <v>-159997</v>
      </c>
      <c r="F25" s="183">
        <v>0</v>
      </c>
      <c r="G25" s="183"/>
      <c r="H25" s="184">
        <f t="shared" si="1"/>
        <v>1734484</v>
      </c>
    </row>
    <row r="26" spans="1:14" ht="30.9" customHeight="1">
      <c r="A26" s="176">
        <v>45407</v>
      </c>
      <c r="B26" s="177" t="s">
        <v>491</v>
      </c>
      <c r="C26" s="183">
        <v>415616</v>
      </c>
      <c r="D26" s="183">
        <v>328664</v>
      </c>
      <c r="E26" s="183">
        <f t="shared" si="0"/>
        <v>86952</v>
      </c>
      <c r="F26" s="183">
        <v>0</v>
      </c>
      <c r="G26" s="183"/>
      <c r="H26" s="184">
        <f t="shared" si="1"/>
        <v>1821436</v>
      </c>
    </row>
    <row r="27" spans="1:14" ht="30.9" customHeight="1">
      <c r="A27" s="176">
        <v>45408</v>
      </c>
      <c r="B27" s="178" t="s">
        <v>485</v>
      </c>
      <c r="C27" s="183">
        <v>1016328</v>
      </c>
      <c r="D27" s="183">
        <v>729430</v>
      </c>
      <c r="E27" s="183">
        <f t="shared" si="0"/>
        <v>286898</v>
      </c>
      <c r="F27" s="183">
        <v>-124</v>
      </c>
      <c r="G27" s="183"/>
      <c r="H27" s="184">
        <f t="shared" si="1"/>
        <v>2108210</v>
      </c>
    </row>
    <row r="28" spans="1:14" ht="30.9" customHeight="1">
      <c r="A28" s="176">
        <v>45409</v>
      </c>
      <c r="B28" s="178" t="s">
        <v>486</v>
      </c>
      <c r="C28" s="183">
        <v>1136278</v>
      </c>
      <c r="D28" s="183">
        <v>375971</v>
      </c>
      <c r="E28" s="183">
        <f t="shared" si="0"/>
        <v>760307</v>
      </c>
      <c r="F28" s="183">
        <v>-754</v>
      </c>
      <c r="G28" s="183"/>
      <c r="H28" s="184">
        <f t="shared" si="1"/>
        <v>2867763</v>
      </c>
    </row>
    <row r="29" spans="1:14" ht="30.9" customHeight="1">
      <c r="A29" s="176">
        <v>45410</v>
      </c>
      <c r="B29" s="178" t="s">
        <v>487</v>
      </c>
      <c r="C29" s="183">
        <v>679193</v>
      </c>
      <c r="D29" s="183">
        <v>868705</v>
      </c>
      <c r="E29" s="183">
        <f t="shared" si="0"/>
        <v>-189512</v>
      </c>
      <c r="F29" s="183">
        <v>-75</v>
      </c>
      <c r="G29" s="183"/>
      <c r="H29" s="184">
        <f t="shared" si="1"/>
        <v>2678176</v>
      </c>
    </row>
    <row r="30" spans="1:14" ht="30.9" customHeight="1">
      <c r="A30" s="176">
        <v>45411</v>
      </c>
      <c r="B30" s="177" t="s">
        <v>488</v>
      </c>
      <c r="C30" s="183">
        <v>451549</v>
      </c>
      <c r="D30" s="183">
        <v>156067</v>
      </c>
      <c r="E30" s="183">
        <f t="shared" si="0"/>
        <v>295482</v>
      </c>
      <c r="F30" s="183">
        <v>0</v>
      </c>
      <c r="G30" s="183"/>
      <c r="H30" s="184">
        <f t="shared" si="1"/>
        <v>2973658</v>
      </c>
    </row>
    <row r="31" spans="1:14" ht="30.9" customHeight="1">
      <c r="A31" s="176">
        <v>45412</v>
      </c>
      <c r="B31" s="177" t="s">
        <v>489</v>
      </c>
      <c r="C31" s="183">
        <v>473281</v>
      </c>
      <c r="D31" s="183">
        <v>1351001</v>
      </c>
      <c r="E31" s="183">
        <f>C31-D31</f>
        <v>-877720</v>
      </c>
      <c r="F31" s="183">
        <v>-44</v>
      </c>
      <c r="G31" s="183"/>
      <c r="H31" s="184">
        <f>H30+E31+F31</f>
        <v>2095894</v>
      </c>
    </row>
    <row r="32" spans="1:14" ht="30.9" customHeight="1">
      <c r="A32" s="176"/>
      <c r="B32" s="178"/>
      <c r="C32" s="183"/>
      <c r="D32" s="183"/>
      <c r="E32" s="183">
        <f t="shared" si="0"/>
        <v>0</v>
      </c>
      <c r="F32" s="183"/>
      <c r="G32" s="183"/>
      <c r="H32" s="184">
        <f t="shared" si="1"/>
        <v>2095894</v>
      </c>
    </row>
    <row r="33" spans="1:8" ht="45" customHeight="1">
      <c r="A33" s="476" t="s">
        <v>247</v>
      </c>
      <c r="B33" s="477"/>
      <c r="C33" s="145">
        <f>SUM(C2:C32)</f>
        <v>14451749</v>
      </c>
      <c r="D33" s="145">
        <f>SUM(D2:D32)</f>
        <v>12350411</v>
      </c>
      <c r="E33" s="145">
        <f>SUM(E2:E32)</f>
        <v>2101338</v>
      </c>
      <c r="F33" s="145">
        <f>SUM(F2:F32)</f>
        <v>-5444</v>
      </c>
      <c r="G33" s="145">
        <f>SUM(G2:G32)</f>
        <v>0</v>
      </c>
      <c r="H33" s="145">
        <f>H32</f>
        <v>2095894</v>
      </c>
    </row>
    <row r="34" spans="1:8">
      <c r="A34" s="69"/>
    </row>
    <row r="35" spans="1:8">
      <c r="A35" s="69"/>
    </row>
    <row r="36" spans="1:8">
      <c r="A36" s="69"/>
    </row>
    <row r="37" spans="1:8">
      <c r="A37" s="69"/>
    </row>
    <row r="38" spans="1:8">
      <c r="A38" s="69"/>
    </row>
    <row r="39" spans="1:8" ht="21" customHeight="1">
      <c r="A39" s="69"/>
    </row>
    <row r="40" spans="1:8" ht="23.1" customHeight="1">
      <c r="A40" s="69"/>
    </row>
    <row r="41" spans="1:8">
      <c r="A41" s="69"/>
    </row>
    <row r="42" spans="1:8" ht="29.1" customHeight="1">
      <c r="A42" s="69"/>
    </row>
    <row r="43" spans="1:8" ht="15" customHeight="1">
      <c r="A43" s="69"/>
    </row>
    <row r="44" spans="1:8">
      <c r="A44" s="69"/>
    </row>
    <row r="45" spans="1:8">
      <c r="A45" s="69"/>
    </row>
    <row r="46" spans="1:8">
      <c r="A46" s="69"/>
    </row>
    <row r="47" spans="1:8">
      <c r="A47" s="69"/>
    </row>
    <row r="48" spans="1:8">
      <c r="A48" s="69"/>
    </row>
    <row r="49" spans="1:1">
      <c r="A49" s="69"/>
    </row>
    <row r="50" spans="1:1" ht="18.899999999999999" customHeight="1">
      <c r="A50" s="69"/>
    </row>
  </sheetData>
  <mergeCells count="24">
    <mergeCell ref="M3:N3"/>
    <mergeCell ref="A1:B1"/>
    <mergeCell ref="I1:N1"/>
    <mergeCell ref="O1:AA1"/>
    <mergeCell ref="I2:N2"/>
    <mergeCell ref="O2:AA2"/>
    <mergeCell ref="I14:N14"/>
    <mergeCell ref="I4:I5"/>
    <mergeCell ref="M4:N4"/>
    <mergeCell ref="M5:N5"/>
    <mergeCell ref="O5:AA5"/>
    <mergeCell ref="I6:N6"/>
    <mergeCell ref="O6:P6"/>
    <mergeCell ref="Q6:R6"/>
    <mergeCell ref="M7:N7"/>
    <mergeCell ref="M8:N8"/>
    <mergeCell ref="J9:N9"/>
    <mergeCell ref="I10:N10"/>
    <mergeCell ref="I11:N11"/>
    <mergeCell ref="I16:K16"/>
    <mergeCell ref="L16:N16"/>
    <mergeCell ref="I17:N17"/>
    <mergeCell ref="I21:N21"/>
    <mergeCell ref="A33:B33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A0C3-55C9-48B0-A7BC-90EA91E6FBB2}">
  <dimension ref="A1:R50"/>
  <sheetViews>
    <sheetView topLeftCell="A22" zoomScaleNormal="100" workbookViewId="0">
      <selection activeCell="D32" sqref="D32"/>
    </sheetView>
  </sheetViews>
  <sheetFormatPr defaultColWidth="10.6328125" defaultRowHeight="18"/>
  <cols>
    <col min="1" max="1" width="5.90625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8" style="69" customWidth="1"/>
    <col min="7" max="7" width="7.90625" style="69" customWidth="1"/>
    <col min="8" max="8" width="12.453125" style="69" customWidth="1"/>
    <col min="9" max="14" width="11.453125" style="69" customWidth="1"/>
    <col min="15" max="16" width="7" style="69" customWidth="1"/>
    <col min="17" max="17" width="11.453125" style="69" customWidth="1"/>
    <col min="18" max="18" width="21" style="69" customWidth="1"/>
    <col min="19" max="16384" width="10.6328125" style="69"/>
  </cols>
  <sheetData>
    <row r="1" spans="1:18" ht="24" customHeight="1" thickTop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133" t="s">
        <v>463</v>
      </c>
      <c r="H1" s="220" t="s">
        <v>464</v>
      </c>
      <c r="I1" s="622" t="s">
        <v>675</v>
      </c>
      <c r="J1" s="622"/>
      <c r="K1" s="622"/>
      <c r="L1" s="622"/>
      <c r="M1" s="622"/>
      <c r="N1" s="622"/>
      <c r="O1" s="631" t="s">
        <v>642</v>
      </c>
      <c r="P1" s="632"/>
      <c r="Q1" s="632"/>
      <c r="R1" s="632"/>
    </row>
    <row r="2" spans="1:18" ht="30.9" customHeight="1" thickTop="1" thickBot="1">
      <c r="A2" s="176">
        <v>45413</v>
      </c>
      <c r="B2" s="177" t="s">
        <v>490</v>
      </c>
      <c r="C2" s="183">
        <v>390386</v>
      </c>
      <c r="D2" s="183">
        <v>561562</v>
      </c>
      <c r="E2" s="183">
        <f>C2-D2</f>
        <v>-171176</v>
      </c>
      <c r="F2" s="183">
        <v>-214</v>
      </c>
      <c r="G2" s="183">
        <v>0</v>
      </c>
      <c r="H2" s="221">
        <f>E2+F2</f>
        <v>-171390</v>
      </c>
      <c r="I2" s="630" t="s">
        <v>249</v>
      </c>
      <c r="J2" s="630"/>
      <c r="K2" s="630"/>
      <c r="L2" s="630"/>
      <c r="M2" s="630"/>
      <c r="N2" s="630"/>
      <c r="O2" s="627" t="s">
        <v>638</v>
      </c>
      <c r="P2" s="628"/>
      <c r="Q2" s="628"/>
      <c r="R2" s="628"/>
    </row>
    <row r="3" spans="1:18" ht="30.9" customHeight="1" thickTop="1" thickBot="1">
      <c r="A3" s="176">
        <v>45414</v>
      </c>
      <c r="B3" s="177" t="s">
        <v>491</v>
      </c>
      <c r="C3" s="183">
        <v>476534</v>
      </c>
      <c r="D3" s="183">
        <v>519038</v>
      </c>
      <c r="E3" s="183">
        <f t="shared" ref="E3:E31" si="0">C3-D3</f>
        <v>-42504</v>
      </c>
      <c r="F3" s="183">
        <v>0</v>
      </c>
      <c r="G3" s="183">
        <v>0</v>
      </c>
      <c r="H3" s="221">
        <f>H2+E3+F3</f>
        <v>-213894</v>
      </c>
      <c r="I3" s="223" t="s">
        <v>247</v>
      </c>
      <c r="J3" s="222" t="s">
        <v>251</v>
      </c>
      <c r="K3" s="222" t="s">
        <v>252</v>
      </c>
      <c r="L3" s="222" t="s">
        <v>449</v>
      </c>
      <c r="M3" s="630" t="s">
        <v>415</v>
      </c>
      <c r="N3" s="630"/>
      <c r="O3" s="246"/>
      <c r="P3" s="247"/>
      <c r="Q3" s="247"/>
      <c r="R3" s="247"/>
    </row>
    <row r="4" spans="1:18" ht="30.9" customHeight="1" thickTop="1" thickBot="1">
      <c r="A4" s="176">
        <v>45415</v>
      </c>
      <c r="B4" s="178" t="s">
        <v>485</v>
      </c>
      <c r="C4" s="183">
        <v>802779</v>
      </c>
      <c r="D4" s="183">
        <v>726167</v>
      </c>
      <c r="E4" s="183">
        <f t="shared" si="0"/>
        <v>76612</v>
      </c>
      <c r="F4" s="183">
        <v>-22</v>
      </c>
      <c r="G4" s="183">
        <v>0</v>
      </c>
      <c r="H4" s="221">
        <f t="shared" ref="H4:H32" si="1">H3+E4+F4</f>
        <v>-137304</v>
      </c>
      <c r="I4" s="635">
        <f>C33</f>
        <v>14861786</v>
      </c>
      <c r="J4" s="224">
        <f>G33</f>
        <v>0</v>
      </c>
      <c r="K4" s="224"/>
      <c r="L4" s="224">
        <f>F33</f>
        <v>-4409</v>
      </c>
      <c r="M4" s="636">
        <v>13618</v>
      </c>
      <c r="N4" s="636"/>
      <c r="O4" s="249"/>
      <c r="P4" s="250"/>
      <c r="Q4" s="250"/>
      <c r="R4" s="250"/>
    </row>
    <row r="5" spans="1:18" ht="30.9" customHeight="1" thickTop="1" thickBot="1">
      <c r="A5" s="176">
        <v>45416</v>
      </c>
      <c r="B5" s="178" t="s">
        <v>486</v>
      </c>
      <c r="C5" s="183">
        <v>548178</v>
      </c>
      <c r="D5" s="183">
        <v>981781</v>
      </c>
      <c r="E5" s="183">
        <f t="shared" si="0"/>
        <v>-433603</v>
      </c>
      <c r="F5" s="183">
        <v>0</v>
      </c>
      <c r="G5" s="183">
        <v>0</v>
      </c>
      <c r="H5" s="221">
        <f t="shared" si="1"/>
        <v>-570907</v>
      </c>
      <c r="I5" s="635"/>
      <c r="J5" s="225">
        <f>J4/I4</f>
        <v>0</v>
      </c>
      <c r="K5" s="225">
        <f>K4/I4</f>
        <v>0</v>
      </c>
      <c r="L5" s="226">
        <f>L4/I4</f>
        <v>-2.9666690127283491E-4</v>
      </c>
      <c r="M5" s="637">
        <f>M4/I4</f>
        <v>9.1630978941561938E-4</v>
      </c>
      <c r="N5" s="637"/>
      <c r="O5" s="654" t="s">
        <v>639</v>
      </c>
      <c r="P5" s="655"/>
      <c r="Q5" s="655"/>
      <c r="R5" s="655"/>
    </row>
    <row r="6" spans="1:18" ht="30.9" customHeight="1" thickTop="1" thickBot="1">
      <c r="A6" s="176">
        <v>45417</v>
      </c>
      <c r="B6" s="178" t="s">
        <v>487</v>
      </c>
      <c r="C6" s="183">
        <v>448866</v>
      </c>
      <c r="D6" s="183">
        <v>171570</v>
      </c>
      <c r="E6" s="183">
        <f t="shared" si="0"/>
        <v>277296</v>
      </c>
      <c r="F6" s="183">
        <v>-41</v>
      </c>
      <c r="G6" s="183">
        <v>0</v>
      </c>
      <c r="H6" s="221">
        <f t="shared" si="1"/>
        <v>-293652</v>
      </c>
      <c r="I6" s="630" t="s">
        <v>250</v>
      </c>
      <c r="J6" s="630"/>
      <c r="K6" s="630"/>
      <c r="L6" s="630"/>
      <c r="M6" s="630"/>
      <c r="N6" s="630"/>
      <c r="O6" s="630" t="s">
        <v>231</v>
      </c>
      <c r="P6" s="630"/>
      <c r="Q6" s="490"/>
      <c r="R6" s="490"/>
    </row>
    <row r="7" spans="1:18" ht="30.9" customHeight="1" thickTop="1" thickBot="1">
      <c r="A7" s="176">
        <v>45418</v>
      </c>
      <c r="B7" s="177" t="s">
        <v>488</v>
      </c>
      <c r="C7" s="183">
        <v>362652</v>
      </c>
      <c r="D7" s="183">
        <v>995783</v>
      </c>
      <c r="E7" s="183">
        <f t="shared" si="0"/>
        <v>-633131</v>
      </c>
      <c r="F7" s="183">
        <v>0</v>
      </c>
      <c r="G7" s="183">
        <v>0</v>
      </c>
      <c r="H7" s="221">
        <f t="shared" si="1"/>
        <v>-926783</v>
      </c>
      <c r="I7" s="222" t="s">
        <v>241</v>
      </c>
      <c r="J7" s="222" t="s">
        <v>253</v>
      </c>
      <c r="K7" s="227" t="s">
        <v>624</v>
      </c>
      <c r="L7" s="222"/>
      <c r="M7" s="638" t="s">
        <v>247</v>
      </c>
      <c r="N7" s="638"/>
      <c r="O7" s="242" t="s">
        <v>640</v>
      </c>
      <c r="P7" s="243">
        <v>250000</v>
      </c>
    </row>
    <row r="8" spans="1:18" ht="30.9" customHeight="1" thickTop="1" thickBot="1">
      <c r="A8" s="176">
        <v>45419</v>
      </c>
      <c r="B8" s="177" t="s">
        <v>489</v>
      </c>
      <c r="C8" s="183">
        <v>295361</v>
      </c>
      <c r="D8" s="183">
        <v>178340</v>
      </c>
      <c r="E8" s="183">
        <f t="shared" si="0"/>
        <v>117021</v>
      </c>
      <c r="F8" s="183">
        <v>41</v>
      </c>
      <c r="G8" s="183">
        <v>0</v>
      </c>
      <c r="H8" s="221">
        <f t="shared" si="1"/>
        <v>-809721</v>
      </c>
      <c r="I8" s="228">
        <f>D33</f>
        <v>12783005</v>
      </c>
      <c r="J8" s="229">
        <f>L16</f>
        <v>810750</v>
      </c>
      <c r="K8" s="230">
        <f>N19</f>
        <v>88291</v>
      </c>
      <c r="L8" s="229"/>
      <c r="M8" s="639">
        <f>SUM(I8:L8)</f>
        <v>13682046</v>
      </c>
      <c r="N8" s="639"/>
      <c r="O8" s="242" t="s">
        <v>641</v>
      </c>
      <c r="P8" s="243">
        <v>50000</v>
      </c>
    </row>
    <row r="9" spans="1:18" ht="30.9" customHeight="1" thickTop="1" thickBot="1">
      <c r="A9" s="176">
        <v>45420</v>
      </c>
      <c r="B9" s="177" t="s">
        <v>490</v>
      </c>
      <c r="C9" s="183">
        <v>330094</v>
      </c>
      <c r="D9" s="183">
        <v>235627</v>
      </c>
      <c r="E9" s="183">
        <f t="shared" si="0"/>
        <v>94467</v>
      </c>
      <c r="F9" s="183">
        <v>-241</v>
      </c>
      <c r="G9" s="183">
        <v>0</v>
      </c>
      <c r="H9" s="221">
        <f t="shared" si="1"/>
        <v>-715495</v>
      </c>
      <c r="I9" s="231" t="s">
        <v>266</v>
      </c>
      <c r="J9" s="623">
        <f>I4-M8</f>
        <v>1179740</v>
      </c>
      <c r="K9" s="623"/>
      <c r="L9" s="623"/>
      <c r="M9" s="623"/>
      <c r="N9" s="623"/>
      <c r="O9" s="241" t="s">
        <v>495</v>
      </c>
      <c r="P9" s="243">
        <v>35000</v>
      </c>
    </row>
    <row r="10" spans="1:18" ht="30.9" customHeight="1" thickTop="1" thickBot="1">
      <c r="A10" s="176">
        <v>45421</v>
      </c>
      <c r="B10" s="177" t="s">
        <v>491</v>
      </c>
      <c r="C10" s="183">
        <v>344503</v>
      </c>
      <c r="D10" s="183">
        <v>645380</v>
      </c>
      <c r="E10" s="183">
        <f t="shared" si="0"/>
        <v>-300877</v>
      </c>
      <c r="F10" s="183">
        <v>3</v>
      </c>
      <c r="G10" s="183">
        <v>0</v>
      </c>
      <c r="H10" s="221">
        <f t="shared" si="1"/>
        <v>-1016369</v>
      </c>
      <c r="I10" s="640" t="s">
        <v>257</v>
      </c>
      <c r="J10" s="640"/>
      <c r="K10" s="640"/>
      <c r="L10" s="640"/>
      <c r="M10" s="640"/>
      <c r="N10" s="640"/>
      <c r="O10" s="244" t="s">
        <v>73</v>
      </c>
      <c r="P10" s="245">
        <f>SUM(P7:P9)</f>
        <v>335000</v>
      </c>
      <c r="Q10" s="252"/>
      <c r="R10" s="252"/>
    </row>
    <row r="11" spans="1:18" ht="30.9" customHeight="1" thickTop="1" thickBot="1">
      <c r="A11" s="176">
        <v>45422</v>
      </c>
      <c r="B11" s="178" t="s">
        <v>485</v>
      </c>
      <c r="C11" s="183">
        <v>763910</v>
      </c>
      <c r="D11" s="183">
        <v>283471</v>
      </c>
      <c r="E11" s="183">
        <f t="shared" si="0"/>
        <v>480439</v>
      </c>
      <c r="F11" s="183">
        <v>-471</v>
      </c>
      <c r="G11" s="183">
        <v>0</v>
      </c>
      <c r="H11" s="221">
        <f>H10+E11+F11</f>
        <v>-536401</v>
      </c>
      <c r="I11" s="634" t="s">
        <v>477</v>
      </c>
      <c r="J11" s="634"/>
      <c r="K11" s="634"/>
      <c r="L11" s="634"/>
      <c r="M11" s="634"/>
      <c r="N11" s="651"/>
      <c r="O11" s="647" t="s">
        <v>643</v>
      </c>
      <c r="P11" s="647"/>
      <c r="Q11" s="647"/>
      <c r="R11" s="647"/>
    </row>
    <row r="12" spans="1:18" ht="30.9" customHeight="1" thickTop="1" thickBot="1">
      <c r="A12" s="176">
        <v>45423</v>
      </c>
      <c r="B12" s="178" t="s">
        <v>486</v>
      </c>
      <c r="C12" s="183">
        <v>854093</v>
      </c>
      <c r="D12" s="183">
        <v>292214</v>
      </c>
      <c r="E12" s="183">
        <f t="shared" si="0"/>
        <v>561879</v>
      </c>
      <c r="F12" s="183">
        <v>-224</v>
      </c>
      <c r="G12" s="183">
        <v>0</v>
      </c>
      <c r="H12" s="221">
        <f t="shared" si="1"/>
        <v>25254</v>
      </c>
      <c r="I12" s="232" t="s">
        <v>478</v>
      </c>
      <c r="J12" s="229" t="s">
        <v>479</v>
      </c>
      <c r="K12" s="229" t="s">
        <v>480</v>
      </c>
      <c r="L12" s="229" t="s">
        <v>455</v>
      </c>
      <c r="M12" s="229" t="s">
        <v>468</v>
      </c>
      <c r="N12" s="258" t="s">
        <v>230</v>
      </c>
      <c r="O12" s="650" t="s">
        <v>644</v>
      </c>
      <c r="P12" s="650"/>
      <c r="Q12" s="650"/>
      <c r="R12" s="232"/>
    </row>
    <row r="13" spans="1:18" ht="30.9" customHeight="1" thickTop="1" thickBot="1">
      <c r="A13" s="176">
        <v>45424</v>
      </c>
      <c r="B13" s="178" t="s">
        <v>487</v>
      </c>
      <c r="C13" s="183">
        <v>348979</v>
      </c>
      <c r="D13" s="183">
        <v>298548</v>
      </c>
      <c r="E13" s="183">
        <f t="shared" si="0"/>
        <v>50431</v>
      </c>
      <c r="F13" s="183">
        <v>0</v>
      </c>
      <c r="G13" s="183">
        <v>0</v>
      </c>
      <c r="H13" s="221">
        <f t="shared" si="1"/>
        <v>75685</v>
      </c>
      <c r="I13" s="233">
        <f>P10</f>
        <v>335000</v>
      </c>
      <c r="J13" s="229">
        <v>74100</v>
      </c>
      <c r="K13" s="229">
        <v>124350</v>
      </c>
      <c r="L13" s="229">
        <v>0</v>
      </c>
      <c r="M13" s="233">
        <v>41800</v>
      </c>
      <c r="N13" s="259">
        <v>235500</v>
      </c>
      <c r="O13" s="650" t="s">
        <v>645</v>
      </c>
      <c r="P13" s="650"/>
      <c r="Q13" s="261" t="s">
        <v>646</v>
      </c>
      <c r="R13" s="232"/>
    </row>
    <row r="14" spans="1:18" ht="30.9" customHeight="1" thickTop="1" thickBot="1">
      <c r="A14" s="176">
        <v>45425</v>
      </c>
      <c r="B14" s="177" t="s">
        <v>488</v>
      </c>
      <c r="C14" s="183">
        <v>470618</v>
      </c>
      <c r="D14" s="183">
        <v>609654</v>
      </c>
      <c r="E14" s="183">
        <f t="shared" si="0"/>
        <v>-139036</v>
      </c>
      <c r="F14" s="183">
        <v>0</v>
      </c>
      <c r="G14" s="183">
        <v>0</v>
      </c>
      <c r="H14" s="221">
        <f t="shared" si="1"/>
        <v>-63351</v>
      </c>
      <c r="I14" s="634" t="s">
        <v>481</v>
      </c>
      <c r="J14" s="634"/>
      <c r="K14" s="634"/>
      <c r="L14" s="634"/>
      <c r="M14" s="634"/>
      <c r="N14" s="651"/>
      <c r="O14" s="650"/>
      <c r="P14" s="650"/>
      <c r="Q14" s="261" t="s">
        <v>647</v>
      </c>
      <c r="R14" s="232"/>
    </row>
    <row r="15" spans="1:18" ht="30.9" customHeight="1" thickTop="1" thickBot="1">
      <c r="A15" s="176">
        <v>45426</v>
      </c>
      <c r="B15" s="177" t="s">
        <v>489</v>
      </c>
      <c r="C15" s="183">
        <v>269892</v>
      </c>
      <c r="D15" s="183">
        <v>595998</v>
      </c>
      <c r="E15" s="183">
        <f t="shared" si="0"/>
        <v>-326106</v>
      </c>
      <c r="F15" s="183">
        <v>0</v>
      </c>
      <c r="G15" s="183">
        <v>0</v>
      </c>
      <c r="H15" s="221">
        <f t="shared" si="1"/>
        <v>-389457</v>
      </c>
      <c r="I15" s="234">
        <v>0</v>
      </c>
      <c r="J15" s="234"/>
      <c r="K15" s="234"/>
      <c r="L15" s="234"/>
      <c r="M15" s="234"/>
      <c r="N15" s="260"/>
      <c r="O15" s="650" t="s">
        <v>648</v>
      </c>
      <c r="P15" s="650" t="s">
        <v>649</v>
      </c>
      <c r="Q15" s="650"/>
      <c r="R15" s="232"/>
    </row>
    <row r="16" spans="1:18" ht="30.9" customHeight="1" thickTop="1" thickBot="1">
      <c r="A16" s="176">
        <v>45427</v>
      </c>
      <c r="B16" s="177" t="s">
        <v>490</v>
      </c>
      <c r="C16" s="183">
        <v>278669</v>
      </c>
      <c r="D16" s="183">
        <v>256911</v>
      </c>
      <c r="E16" s="183">
        <f t="shared" si="0"/>
        <v>21758</v>
      </c>
      <c r="F16" s="183">
        <v>-447</v>
      </c>
      <c r="G16" s="183">
        <v>0</v>
      </c>
      <c r="H16" s="221">
        <f t="shared" si="1"/>
        <v>-368146</v>
      </c>
      <c r="I16" s="641" t="s">
        <v>247</v>
      </c>
      <c r="J16" s="641"/>
      <c r="K16" s="641"/>
      <c r="L16" s="642">
        <f>SUM(I13:N13)+SUM(I15:N15)</f>
        <v>810750</v>
      </c>
      <c r="M16" s="642"/>
      <c r="N16" s="648"/>
      <c r="O16" s="650"/>
      <c r="P16" s="650" t="s">
        <v>650</v>
      </c>
      <c r="Q16" s="650"/>
      <c r="R16" s="232"/>
    </row>
    <row r="17" spans="1:18" ht="30.9" customHeight="1" thickTop="1" thickBot="1">
      <c r="A17" s="176">
        <v>45428</v>
      </c>
      <c r="B17" s="177" t="s">
        <v>491</v>
      </c>
      <c r="C17" s="183">
        <v>345144</v>
      </c>
      <c r="D17" s="183">
        <v>390472</v>
      </c>
      <c r="E17" s="183">
        <f t="shared" si="0"/>
        <v>-45328</v>
      </c>
      <c r="F17" s="183">
        <v>0</v>
      </c>
      <c r="G17" s="183">
        <v>0</v>
      </c>
      <c r="H17" s="221">
        <f t="shared" si="1"/>
        <v>-413474</v>
      </c>
      <c r="I17" s="643" t="s">
        <v>482</v>
      </c>
      <c r="J17" s="643"/>
      <c r="K17" s="643"/>
      <c r="L17" s="643"/>
      <c r="M17" s="643"/>
      <c r="N17" s="649"/>
      <c r="O17" s="261" t="s">
        <v>651</v>
      </c>
      <c r="P17" s="650" t="s">
        <v>652</v>
      </c>
      <c r="Q17" s="650"/>
      <c r="R17" s="232"/>
    </row>
    <row r="18" spans="1:18" ht="30.9" customHeight="1" thickTop="1" thickBot="1">
      <c r="A18" s="176">
        <v>45429</v>
      </c>
      <c r="B18" s="178" t="s">
        <v>485</v>
      </c>
      <c r="C18" s="183">
        <v>770934</v>
      </c>
      <c r="D18" s="183">
        <v>734188</v>
      </c>
      <c r="E18" s="183">
        <f t="shared" si="0"/>
        <v>36746</v>
      </c>
      <c r="F18" s="183">
        <v>-574</v>
      </c>
      <c r="G18" s="183">
        <v>0</v>
      </c>
      <c r="H18" s="221">
        <f t="shared" si="1"/>
        <v>-377302</v>
      </c>
      <c r="I18" s="222"/>
      <c r="J18" s="235"/>
      <c r="K18" s="222"/>
      <c r="L18" s="222"/>
      <c r="M18" s="236" t="s">
        <v>498</v>
      </c>
      <c r="N18" s="256" t="s">
        <v>247</v>
      </c>
      <c r="O18" s="650" t="s">
        <v>653</v>
      </c>
      <c r="P18" s="650"/>
      <c r="Q18" s="650"/>
      <c r="R18" s="232"/>
    </row>
    <row r="19" spans="1:18" ht="30.9" customHeight="1" thickTop="1" thickBot="1">
      <c r="A19" s="176">
        <v>45430</v>
      </c>
      <c r="B19" s="178" t="s">
        <v>486</v>
      </c>
      <c r="C19" s="183">
        <v>680427</v>
      </c>
      <c r="D19" s="183">
        <v>477976</v>
      </c>
      <c r="E19" s="183">
        <f t="shared" si="0"/>
        <v>202451</v>
      </c>
      <c r="F19" s="183">
        <v>-574</v>
      </c>
      <c r="G19" s="183">
        <v>0</v>
      </c>
      <c r="H19" s="221">
        <f>H18+E19+F19</f>
        <v>-175425</v>
      </c>
      <c r="I19" s="237"/>
      <c r="J19" s="237"/>
      <c r="K19" s="237"/>
      <c r="L19" s="237"/>
      <c r="M19" s="238">
        <f>N23</f>
        <v>88291</v>
      </c>
      <c r="N19" s="257">
        <f>SUM(I19:M19)</f>
        <v>88291</v>
      </c>
      <c r="O19" s="652" t="s">
        <v>654</v>
      </c>
      <c r="P19" s="652"/>
      <c r="Q19" s="652"/>
      <c r="R19" s="232"/>
    </row>
    <row r="20" spans="1:18" ht="30.9" customHeight="1" thickTop="1" thickBot="1">
      <c r="A20" s="176">
        <v>45431</v>
      </c>
      <c r="B20" s="178" t="s">
        <v>487</v>
      </c>
      <c r="C20" s="183">
        <v>303179</v>
      </c>
      <c r="D20" s="183">
        <v>220641</v>
      </c>
      <c r="E20" s="183">
        <f t="shared" si="0"/>
        <v>82538</v>
      </c>
      <c r="F20" s="183">
        <v>-44</v>
      </c>
      <c r="G20" s="183">
        <v>0</v>
      </c>
      <c r="H20" s="221">
        <f t="shared" si="1"/>
        <v>-92931</v>
      </c>
      <c r="I20" s="232"/>
      <c r="J20" s="232"/>
      <c r="K20" s="232"/>
      <c r="L20" s="232"/>
      <c r="M20" s="232"/>
      <c r="N20" s="232"/>
      <c r="O20" s="652" t="s">
        <v>655</v>
      </c>
      <c r="P20" s="652"/>
      <c r="Q20" s="652"/>
      <c r="R20" s="232"/>
    </row>
    <row r="21" spans="1:18" ht="30.9" customHeight="1" thickTop="1" thickBot="1">
      <c r="A21" s="176">
        <v>45432</v>
      </c>
      <c r="B21" s="177" t="s">
        <v>488</v>
      </c>
      <c r="C21" s="183">
        <v>317481</v>
      </c>
      <c r="D21" s="183">
        <v>106775</v>
      </c>
      <c r="E21" s="183">
        <f t="shared" si="0"/>
        <v>210706</v>
      </c>
      <c r="F21" s="183">
        <v>0</v>
      </c>
      <c r="G21" s="183">
        <v>0</v>
      </c>
      <c r="H21" s="221">
        <f t="shared" si="1"/>
        <v>117775</v>
      </c>
      <c r="I21" s="644" t="s">
        <v>497</v>
      </c>
      <c r="J21" s="644"/>
      <c r="K21" s="644"/>
      <c r="L21" s="644"/>
      <c r="M21" s="644"/>
      <c r="N21" s="644"/>
      <c r="O21" s="653" t="s">
        <v>656</v>
      </c>
      <c r="P21" s="653"/>
      <c r="Q21" s="653"/>
      <c r="R21" s="262">
        <f>SUM(R12:R20)</f>
        <v>0</v>
      </c>
    </row>
    <row r="22" spans="1:18" ht="30.9" customHeight="1" thickTop="1" thickBot="1">
      <c r="A22" s="176">
        <v>45433</v>
      </c>
      <c r="B22" s="177" t="s">
        <v>489</v>
      </c>
      <c r="C22" s="183">
        <v>299753</v>
      </c>
      <c r="D22" s="183">
        <v>331432</v>
      </c>
      <c r="E22" s="183">
        <f t="shared" si="0"/>
        <v>-31679</v>
      </c>
      <c r="F22" s="183">
        <v>-274</v>
      </c>
      <c r="G22" s="183">
        <v>0</v>
      </c>
      <c r="H22" s="221">
        <f t="shared" si="1"/>
        <v>85822</v>
      </c>
      <c r="I22" s="235" t="s">
        <v>625</v>
      </c>
      <c r="J22" s="222" t="s">
        <v>664</v>
      </c>
      <c r="K22" s="222" t="s">
        <v>142</v>
      </c>
      <c r="L22" s="222" t="s">
        <v>638</v>
      </c>
      <c r="M22" s="222" t="s">
        <v>494</v>
      </c>
      <c r="N22" s="254" t="s">
        <v>247</v>
      </c>
    </row>
    <row r="23" spans="1:18" ht="30.9" customHeight="1" thickTop="1" thickBot="1">
      <c r="A23" s="176">
        <v>45434</v>
      </c>
      <c r="B23" s="177" t="s">
        <v>490</v>
      </c>
      <c r="C23" s="183">
        <v>248921</v>
      </c>
      <c r="D23" s="183">
        <v>276543</v>
      </c>
      <c r="E23" s="183">
        <f t="shared" si="0"/>
        <v>-27622</v>
      </c>
      <c r="F23" s="183">
        <v>-541</v>
      </c>
      <c r="G23" s="183">
        <v>0</v>
      </c>
      <c r="H23" s="221">
        <f t="shared" si="1"/>
        <v>57659</v>
      </c>
      <c r="I23" s="237">
        <v>0</v>
      </c>
      <c r="J23" s="237">
        <v>0</v>
      </c>
      <c r="K23" s="237">
        <v>5750</v>
      </c>
      <c r="L23" s="237">
        <v>10000</v>
      </c>
      <c r="M23" s="237">
        <v>72541</v>
      </c>
      <c r="N23" s="255">
        <f>SUM(J23:M23)</f>
        <v>88291</v>
      </c>
    </row>
    <row r="24" spans="1:18" ht="30.9" customHeight="1" thickTop="1">
      <c r="A24" s="176">
        <v>45435</v>
      </c>
      <c r="B24" s="177" t="s">
        <v>491</v>
      </c>
      <c r="C24" s="183">
        <v>264736</v>
      </c>
      <c r="D24" s="183">
        <v>170243</v>
      </c>
      <c r="E24" s="183">
        <f t="shared" si="0"/>
        <v>94493</v>
      </c>
      <c r="F24" s="183">
        <v>0</v>
      </c>
      <c r="G24" s="183">
        <v>0</v>
      </c>
      <c r="H24" s="184">
        <f t="shared" si="1"/>
        <v>152152</v>
      </c>
    </row>
    <row r="25" spans="1:18" ht="30.9" customHeight="1">
      <c r="A25" s="176">
        <v>45436</v>
      </c>
      <c r="B25" s="178" t="s">
        <v>485</v>
      </c>
      <c r="C25" s="183">
        <v>777588</v>
      </c>
      <c r="D25" s="183">
        <v>377001</v>
      </c>
      <c r="E25" s="183">
        <f t="shared" si="0"/>
        <v>400587</v>
      </c>
      <c r="F25" s="183">
        <v>-54</v>
      </c>
      <c r="G25" s="183">
        <v>0</v>
      </c>
      <c r="H25" s="184">
        <f t="shared" si="1"/>
        <v>552685</v>
      </c>
    </row>
    <row r="26" spans="1:18" ht="30.9" customHeight="1">
      <c r="A26" s="176">
        <v>45437</v>
      </c>
      <c r="B26" s="178" t="s">
        <v>486</v>
      </c>
      <c r="C26" s="183">
        <v>1030774</v>
      </c>
      <c r="D26" s="183">
        <v>58316</v>
      </c>
      <c r="E26" s="183">
        <f t="shared" si="0"/>
        <v>972458</v>
      </c>
      <c r="F26" s="183">
        <v>0</v>
      </c>
      <c r="G26" s="183">
        <v>0</v>
      </c>
      <c r="H26" s="184">
        <f t="shared" si="1"/>
        <v>1525143</v>
      </c>
    </row>
    <row r="27" spans="1:18" ht="30.9" customHeight="1">
      <c r="A27" s="176">
        <v>45438</v>
      </c>
      <c r="B27" s="178" t="s">
        <v>487</v>
      </c>
      <c r="C27" s="183">
        <v>502815</v>
      </c>
      <c r="D27" s="183">
        <v>219989</v>
      </c>
      <c r="E27" s="183">
        <f t="shared" si="0"/>
        <v>282826</v>
      </c>
      <c r="F27" s="183">
        <v>-41</v>
      </c>
      <c r="G27" s="183">
        <v>0</v>
      </c>
      <c r="H27" s="184">
        <f t="shared" si="1"/>
        <v>1807928</v>
      </c>
    </row>
    <row r="28" spans="1:18" ht="30.9" customHeight="1">
      <c r="A28" s="176">
        <v>45439</v>
      </c>
      <c r="B28" s="177" t="s">
        <v>488</v>
      </c>
      <c r="C28" s="183">
        <v>344579</v>
      </c>
      <c r="D28" s="183">
        <v>174710</v>
      </c>
      <c r="E28" s="183">
        <f t="shared" si="0"/>
        <v>169869</v>
      </c>
      <c r="F28" s="183">
        <v>-23</v>
      </c>
      <c r="G28" s="183">
        <v>0</v>
      </c>
      <c r="H28" s="184">
        <f t="shared" si="1"/>
        <v>1977774</v>
      </c>
    </row>
    <row r="29" spans="1:18" ht="30.9" customHeight="1">
      <c r="A29" s="176">
        <v>45440</v>
      </c>
      <c r="B29" s="177" t="s">
        <v>489</v>
      </c>
      <c r="C29" s="183">
        <v>307967</v>
      </c>
      <c r="D29" s="183">
        <v>416112</v>
      </c>
      <c r="E29" s="183">
        <f t="shared" si="0"/>
        <v>-108145</v>
      </c>
      <c r="F29" s="183">
        <v>-54</v>
      </c>
      <c r="G29" s="183">
        <v>0</v>
      </c>
      <c r="H29" s="184">
        <f t="shared" si="1"/>
        <v>1869575</v>
      </c>
    </row>
    <row r="30" spans="1:18" ht="30.9" customHeight="1">
      <c r="A30" s="176">
        <v>45441</v>
      </c>
      <c r="B30" s="177" t="s">
        <v>490</v>
      </c>
      <c r="C30" s="183">
        <v>366297</v>
      </c>
      <c r="D30" s="183">
        <v>262840</v>
      </c>
      <c r="E30" s="183">
        <f t="shared" si="0"/>
        <v>103457</v>
      </c>
      <c r="F30" s="183">
        <v>0</v>
      </c>
      <c r="G30" s="183">
        <v>0</v>
      </c>
      <c r="H30" s="184">
        <f t="shared" si="1"/>
        <v>1973032</v>
      </c>
    </row>
    <row r="31" spans="1:18" ht="30.9" customHeight="1">
      <c r="A31" s="176">
        <v>45442</v>
      </c>
      <c r="B31" s="177" t="s">
        <v>491</v>
      </c>
      <c r="C31" s="183">
        <v>507425</v>
      </c>
      <c r="D31" s="183">
        <v>436420</v>
      </c>
      <c r="E31" s="183">
        <f t="shared" si="0"/>
        <v>71005</v>
      </c>
      <c r="F31" s="183">
        <v>-44</v>
      </c>
      <c r="G31" s="183">
        <v>0</v>
      </c>
      <c r="H31" s="184">
        <f>H30+E31+F31</f>
        <v>2043993</v>
      </c>
    </row>
    <row r="32" spans="1:18" ht="30.9" customHeight="1">
      <c r="A32" s="176">
        <v>45443</v>
      </c>
      <c r="B32" s="178" t="s">
        <v>485</v>
      </c>
      <c r="C32" s="183">
        <v>808252</v>
      </c>
      <c r="D32" s="183">
        <v>777303</v>
      </c>
      <c r="E32" s="183">
        <f>C32-D32</f>
        <v>30949</v>
      </c>
      <c r="F32" s="183">
        <v>-570</v>
      </c>
      <c r="G32" s="183">
        <v>0</v>
      </c>
      <c r="H32" s="184">
        <f t="shared" si="1"/>
        <v>2074372</v>
      </c>
    </row>
    <row r="33" spans="1:8" ht="45" customHeight="1">
      <c r="A33" s="476" t="s">
        <v>247</v>
      </c>
      <c r="B33" s="477"/>
      <c r="C33" s="145">
        <f>SUM(C2:C32)</f>
        <v>14861786</v>
      </c>
      <c r="D33" s="145">
        <f>SUM(D2:D32)</f>
        <v>12783005</v>
      </c>
      <c r="E33" s="145">
        <f>SUM(E2:E32)</f>
        <v>2078781</v>
      </c>
      <c r="F33" s="145">
        <f>SUM(F2:F32)</f>
        <v>-4409</v>
      </c>
      <c r="G33" s="145">
        <f>SUM(G2:G32)</f>
        <v>0</v>
      </c>
      <c r="H33" s="145">
        <f>H32</f>
        <v>2074372</v>
      </c>
    </row>
    <row r="34" spans="1:8">
      <c r="A34" s="69"/>
    </row>
    <row r="35" spans="1:8">
      <c r="A35" s="69"/>
    </row>
    <row r="36" spans="1:8">
      <c r="A36" s="69"/>
    </row>
    <row r="37" spans="1:8">
      <c r="A37" s="69"/>
    </row>
    <row r="38" spans="1:8">
      <c r="A38" s="69"/>
    </row>
    <row r="39" spans="1:8" ht="21" customHeight="1">
      <c r="A39" s="69"/>
    </row>
    <row r="40" spans="1:8" ht="23.1" customHeight="1">
      <c r="A40" s="69"/>
    </row>
    <row r="41" spans="1:8">
      <c r="A41" s="69"/>
    </row>
    <row r="42" spans="1:8" ht="29.1" customHeight="1">
      <c r="A42" s="69"/>
    </row>
    <row r="43" spans="1:8" ht="15" customHeight="1">
      <c r="A43" s="69"/>
    </row>
    <row r="44" spans="1:8">
      <c r="A44" s="69"/>
    </row>
    <row r="45" spans="1:8">
      <c r="A45" s="69"/>
    </row>
    <row r="46" spans="1:8">
      <c r="A46" s="69"/>
    </row>
    <row r="47" spans="1:8">
      <c r="A47" s="69"/>
    </row>
    <row r="48" spans="1:8">
      <c r="A48" s="69"/>
    </row>
    <row r="49" spans="1:1">
      <c r="A49" s="69"/>
    </row>
    <row r="50" spans="1:1" ht="18.899999999999999" customHeight="1">
      <c r="A50" s="69"/>
    </row>
  </sheetData>
  <mergeCells count="35">
    <mergeCell ref="O18:Q18"/>
    <mergeCell ref="I4:I5"/>
    <mergeCell ref="M4:N4"/>
    <mergeCell ref="M5:N5"/>
    <mergeCell ref="O5:R5"/>
    <mergeCell ref="I6:N6"/>
    <mergeCell ref="O6:P6"/>
    <mergeCell ref="Q6:R6"/>
    <mergeCell ref="M7:N7"/>
    <mergeCell ref="M8:N8"/>
    <mergeCell ref="J9:N9"/>
    <mergeCell ref="I10:N10"/>
    <mergeCell ref="I11:N11"/>
    <mergeCell ref="M3:N3"/>
    <mergeCell ref="A1:B1"/>
    <mergeCell ref="I1:N1"/>
    <mergeCell ref="O1:R1"/>
    <mergeCell ref="I2:N2"/>
    <mergeCell ref="O2:R2"/>
    <mergeCell ref="A33:B33"/>
    <mergeCell ref="O11:R11"/>
    <mergeCell ref="I16:K16"/>
    <mergeCell ref="L16:N16"/>
    <mergeCell ref="I17:N17"/>
    <mergeCell ref="I21:N21"/>
    <mergeCell ref="O12:Q12"/>
    <mergeCell ref="O13:P14"/>
    <mergeCell ref="I14:N14"/>
    <mergeCell ref="O19:Q19"/>
    <mergeCell ref="O20:Q20"/>
    <mergeCell ref="O21:Q21"/>
    <mergeCell ref="O15:O16"/>
    <mergeCell ref="P15:Q15"/>
    <mergeCell ref="P16:Q16"/>
    <mergeCell ref="P17:Q17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DDA9B-3D96-41F8-9ED2-69747E6B5248}">
  <dimension ref="A1:R50"/>
  <sheetViews>
    <sheetView topLeftCell="F10" zoomScaleNormal="100" workbookViewId="0">
      <selection activeCell="C32" sqref="C32"/>
    </sheetView>
  </sheetViews>
  <sheetFormatPr defaultColWidth="10.6328125" defaultRowHeight="18"/>
  <cols>
    <col min="1" max="1" width="5.90625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8" style="69" customWidth="1"/>
    <col min="7" max="7" width="7.90625" style="69" customWidth="1"/>
    <col min="8" max="8" width="12.453125" style="69" customWidth="1"/>
    <col min="9" max="14" width="11.453125" style="69" customWidth="1"/>
    <col min="15" max="16" width="7" style="69" customWidth="1"/>
    <col min="17" max="17" width="11.453125" style="69" customWidth="1"/>
    <col min="18" max="18" width="21" style="69" customWidth="1"/>
    <col min="19" max="16384" width="10.6328125" style="69"/>
  </cols>
  <sheetData>
    <row r="1" spans="1:18" ht="24" customHeight="1" thickTop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133" t="s">
        <v>463</v>
      </c>
      <c r="H1" s="220" t="s">
        <v>464</v>
      </c>
      <c r="I1" s="622" t="s">
        <v>674</v>
      </c>
      <c r="J1" s="622"/>
      <c r="K1" s="622"/>
      <c r="L1" s="622"/>
      <c r="M1" s="622"/>
      <c r="N1" s="622"/>
      <c r="O1" s="631" t="s">
        <v>642</v>
      </c>
      <c r="P1" s="632"/>
      <c r="Q1" s="632"/>
      <c r="R1" s="632"/>
    </row>
    <row r="2" spans="1:18" ht="30.9" customHeight="1" thickTop="1" thickBot="1">
      <c r="A2" s="176">
        <v>45444</v>
      </c>
      <c r="B2" s="178" t="s">
        <v>486</v>
      </c>
      <c r="C2" s="183">
        <v>701674</v>
      </c>
      <c r="D2" s="183">
        <v>704366</v>
      </c>
      <c r="E2" s="183">
        <f>C2-D2</f>
        <v>-2692</v>
      </c>
      <c r="F2" s="183">
        <v>-784</v>
      </c>
      <c r="G2" s="183">
        <v>0</v>
      </c>
      <c r="H2" s="221">
        <f>E2+F2</f>
        <v>-3476</v>
      </c>
      <c r="I2" s="630" t="s">
        <v>249</v>
      </c>
      <c r="J2" s="630"/>
      <c r="K2" s="630"/>
      <c r="L2" s="630"/>
      <c r="M2" s="630"/>
      <c r="N2" s="630"/>
      <c r="O2" s="627" t="s">
        <v>638</v>
      </c>
      <c r="P2" s="628"/>
      <c r="Q2" s="628"/>
      <c r="R2" s="628"/>
    </row>
    <row r="3" spans="1:18" ht="30.9" customHeight="1" thickTop="1" thickBot="1">
      <c r="A3" s="176">
        <v>45445</v>
      </c>
      <c r="B3" s="178" t="s">
        <v>487</v>
      </c>
      <c r="C3" s="183">
        <v>441567</v>
      </c>
      <c r="D3" s="183">
        <v>229663</v>
      </c>
      <c r="E3" s="183">
        <f t="shared" ref="E3:E31" si="0">C3-D3</f>
        <v>211904</v>
      </c>
      <c r="F3" s="183">
        <v>0</v>
      </c>
      <c r="G3" s="183">
        <v>0</v>
      </c>
      <c r="H3" s="221">
        <f>H2+E3+F3</f>
        <v>208428</v>
      </c>
      <c r="I3" s="223" t="s">
        <v>247</v>
      </c>
      <c r="J3" s="222" t="s">
        <v>251</v>
      </c>
      <c r="K3" s="222" t="s">
        <v>252</v>
      </c>
      <c r="L3" s="222" t="s">
        <v>449</v>
      </c>
      <c r="M3" s="630" t="s">
        <v>415</v>
      </c>
      <c r="N3" s="630"/>
      <c r="O3" s="246"/>
      <c r="P3" s="247"/>
      <c r="Q3" s="247"/>
      <c r="R3" s="247"/>
    </row>
    <row r="4" spans="1:18" ht="30.9" customHeight="1" thickTop="1" thickBot="1">
      <c r="A4" s="176">
        <v>45446</v>
      </c>
      <c r="B4" s="177" t="s">
        <v>488</v>
      </c>
      <c r="C4" s="183">
        <v>290385</v>
      </c>
      <c r="D4" s="183">
        <v>424954</v>
      </c>
      <c r="E4" s="183">
        <f t="shared" si="0"/>
        <v>-134569</v>
      </c>
      <c r="F4" s="183">
        <v>2</v>
      </c>
      <c r="G4" s="183">
        <v>0</v>
      </c>
      <c r="H4" s="221">
        <f t="shared" ref="H4:H32" si="1">H3+E4+F4</f>
        <v>73861</v>
      </c>
      <c r="I4" s="635">
        <f>C33</f>
        <v>14766013</v>
      </c>
      <c r="J4" s="224">
        <f>G33</f>
        <v>0</v>
      </c>
      <c r="K4" s="224"/>
      <c r="L4" s="224">
        <f>F33</f>
        <v>-4058</v>
      </c>
      <c r="M4" s="636">
        <v>5042</v>
      </c>
      <c r="N4" s="636"/>
      <c r="O4" s="249"/>
      <c r="P4" s="250"/>
      <c r="Q4" s="250"/>
      <c r="R4" s="250"/>
    </row>
    <row r="5" spans="1:18" ht="30.9" customHeight="1" thickTop="1" thickBot="1">
      <c r="A5" s="176">
        <v>45447</v>
      </c>
      <c r="B5" s="177" t="s">
        <v>489</v>
      </c>
      <c r="C5" s="183">
        <v>376733</v>
      </c>
      <c r="D5" s="183">
        <v>173763</v>
      </c>
      <c r="E5" s="183">
        <f t="shared" si="0"/>
        <v>202970</v>
      </c>
      <c r="F5" s="183">
        <v>-442</v>
      </c>
      <c r="G5" s="183">
        <v>0</v>
      </c>
      <c r="H5" s="221">
        <f t="shared" si="1"/>
        <v>276389</v>
      </c>
      <c r="I5" s="635"/>
      <c r="J5" s="225">
        <f>J4/I4</f>
        <v>0</v>
      </c>
      <c r="K5" s="225">
        <f>K4/I4</f>
        <v>0</v>
      </c>
      <c r="L5" s="226">
        <f>L4/I4</f>
        <v>-2.7482029170636653E-4</v>
      </c>
      <c r="M5" s="637">
        <f>M4/I4</f>
        <v>3.4145981044443076E-4</v>
      </c>
      <c r="N5" s="637"/>
      <c r="O5" s="654" t="s">
        <v>639</v>
      </c>
      <c r="P5" s="655"/>
      <c r="Q5" s="655"/>
      <c r="R5" s="655"/>
    </row>
    <row r="6" spans="1:18" ht="30.9" customHeight="1" thickTop="1" thickBot="1">
      <c r="A6" s="176">
        <v>45448</v>
      </c>
      <c r="B6" s="177" t="s">
        <v>490</v>
      </c>
      <c r="C6" s="183">
        <v>303935</v>
      </c>
      <c r="D6" s="183">
        <v>164032</v>
      </c>
      <c r="E6" s="183">
        <f t="shared" si="0"/>
        <v>139903</v>
      </c>
      <c r="F6" s="183">
        <v>-224</v>
      </c>
      <c r="G6" s="183">
        <v>0</v>
      </c>
      <c r="H6" s="221">
        <f t="shared" si="1"/>
        <v>416068</v>
      </c>
      <c r="I6" s="630" t="s">
        <v>250</v>
      </c>
      <c r="J6" s="630"/>
      <c r="K6" s="630"/>
      <c r="L6" s="630"/>
      <c r="M6" s="630"/>
      <c r="N6" s="630"/>
      <c r="O6" s="630" t="s">
        <v>231</v>
      </c>
      <c r="P6" s="630"/>
      <c r="Q6" s="490"/>
      <c r="R6" s="490"/>
    </row>
    <row r="7" spans="1:18" ht="30.9" customHeight="1" thickTop="1" thickBot="1">
      <c r="A7" s="176">
        <v>45449</v>
      </c>
      <c r="B7" s="177" t="s">
        <v>491</v>
      </c>
      <c r="C7" s="183">
        <v>299137</v>
      </c>
      <c r="D7" s="183">
        <v>448469</v>
      </c>
      <c r="E7" s="183">
        <f t="shared" si="0"/>
        <v>-149332</v>
      </c>
      <c r="F7" s="183">
        <v>0</v>
      </c>
      <c r="G7" s="183">
        <v>0</v>
      </c>
      <c r="H7" s="221">
        <f t="shared" si="1"/>
        <v>266736</v>
      </c>
      <c r="I7" s="222" t="s">
        <v>241</v>
      </c>
      <c r="J7" s="222" t="s">
        <v>253</v>
      </c>
      <c r="K7" s="227" t="s">
        <v>624</v>
      </c>
      <c r="L7" s="222"/>
      <c r="M7" s="638" t="s">
        <v>247</v>
      </c>
      <c r="N7" s="638"/>
      <c r="O7" s="242" t="s">
        <v>640</v>
      </c>
      <c r="P7" s="243">
        <v>250000</v>
      </c>
    </row>
    <row r="8" spans="1:18" ht="30.9" customHeight="1" thickTop="1" thickBot="1">
      <c r="A8" s="176">
        <v>45450</v>
      </c>
      <c r="B8" s="178" t="s">
        <v>485</v>
      </c>
      <c r="C8" s="183">
        <v>521825</v>
      </c>
      <c r="D8" s="183">
        <v>222945</v>
      </c>
      <c r="E8" s="183">
        <f t="shared" si="0"/>
        <v>298880</v>
      </c>
      <c r="F8" s="183">
        <v>0</v>
      </c>
      <c r="G8" s="183">
        <v>0</v>
      </c>
      <c r="H8" s="221">
        <f t="shared" si="1"/>
        <v>565616</v>
      </c>
      <c r="I8" s="228">
        <f>D33</f>
        <v>13216237</v>
      </c>
      <c r="J8" s="229">
        <f>L16</f>
        <v>790950</v>
      </c>
      <c r="K8" s="230">
        <f>N19</f>
        <v>68291</v>
      </c>
      <c r="L8" s="229"/>
      <c r="M8" s="639">
        <f>SUM(I8:L8)</f>
        <v>14075478</v>
      </c>
      <c r="N8" s="639"/>
      <c r="O8" s="242" t="s">
        <v>641</v>
      </c>
      <c r="P8" s="243">
        <v>55000</v>
      </c>
    </row>
    <row r="9" spans="1:18" ht="30.9" customHeight="1" thickTop="1" thickBot="1">
      <c r="A9" s="176">
        <v>45451</v>
      </c>
      <c r="B9" s="178" t="s">
        <v>486</v>
      </c>
      <c r="C9" s="183">
        <v>646964</v>
      </c>
      <c r="D9" s="183">
        <v>711566</v>
      </c>
      <c r="E9" s="183">
        <f t="shared" si="0"/>
        <v>-64602</v>
      </c>
      <c r="F9" s="183">
        <v>-4</v>
      </c>
      <c r="G9" s="183">
        <v>0</v>
      </c>
      <c r="H9" s="221">
        <f t="shared" si="1"/>
        <v>501010</v>
      </c>
      <c r="I9" s="231" t="s">
        <v>266</v>
      </c>
      <c r="J9" s="623">
        <f>I4-M8</f>
        <v>690535</v>
      </c>
      <c r="K9" s="623"/>
      <c r="L9" s="623"/>
      <c r="M9" s="623"/>
      <c r="N9" s="623"/>
      <c r="O9" s="241" t="s">
        <v>495</v>
      </c>
      <c r="P9" s="243">
        <v>35000</v>
      </c>
    </row>
    <row r="10" spans="1:18" ht="30.9" customHeight="1" thickTop="1" thickBot="1">
      <c r="A10" s="176">
        <v>45452</v>
      </c>
      <c r="B10" s="178" t="s">
        <v>487</v>
      </c>
      <c r="C10" s="183">
        <v>367776</v>
      </c>
      <c r="D10" s="183">
        <v>275000</v>
      </c>
      <c r="E10" s="183">
        <f t="shared" si="0"/>
        <v>92776</v>
      </c>
      <c r="F10" s="183">
        <v>-18</v>
      </c>
      <c r="G10" s="183">
        <v>0</v>
      </c>
      <c r="H10" s="221">
        <f t="shared" si="1"/>
        <v>593768</v>
      </c>
      <c r="I10" s="640" t="s">
        <v>511</v>
      </c>
      <c r="J10" s="640"/>
      <c r="K10" s="640"/>
      <c r="L10" s="640"/>
      <c r="M10" s="640"/>
      <c r="N10" s="640"/>
      <c r="O10" s="244" t="s">
        <v>73</v>
      </c>
      <c r="P10" s="245">
        <f>SUM(P7:P9)</f>
        <v>340000</v>
      </c>
      <c r="Q10" s="252"/>
      <c r="R10" s="252"/>
    </row>
    <row r="11" spans="1:18" ht="30.9" customHeight="1" thickTop="1" thickBot="1">
      <c r="A11" s="176">
        <v>45453</v>
      </c>
      <c r="B11" s="177" t="s">
        <v>488</v>
      </c>
      <c r="C11" s="183">
        <v>394733</v>
      </c>
      <c r="D11" s="183">
        <v>486810</v>
      </c>
      <c r="E11" s="183">
        <f t="shared" si="0"/>
        <v>-92077</v>
      </c>
      <c r="F11" s="183">
        <v>-22</v>
      </c>
      <c r="G11" s="183">
        <v>0</v>
      </c>
      <c r="H11" s="221">
        <f>H10+E11+F11</f>
        <v>501669</v>
      </c>
      <c r="I11" s="634" t="s">
        <v>477</v>
      </c>
      <c r="J11" s="634"/>
      <c r="K11" s="634"/>
      <c r="L11" s="634"/>
      <c r="M11" s="634"/>
      <c r="N11" s="651"/>
      <c r="O11" s="647" t="s">
        <v>643</v>
      </c>
      <c r="P11" s="647"/>
      <c r="Q11" s="647"/>
      <c r="R11" s="647"/>
    </row>
    <row r="12" spans="1:18" ht="30.9" customHeight="1" thickTop="1" thickBot="1">
      <c r="A12" s="176">
        <v>45454</v>
      </c>
      <c r="B12" s="177" t="s">
        <v>489</v>
      </c>
      <c r="C12" s="183">
        <v>434717</v>
      </c>
      <c r="D12" s="183">
        <v>480466</v>
      </c>
      <c r="E12" s="183">
        <f t="shared" si="0"/>
        <v>-45749</v>
      </c>
      <c r="F12" s="183">
        <v>0</v>
      </c>
      <c r="G12" s="183">
        <v>0</v>
      </c>
      <c r="H12" s="221">
        <f t="shared" si="1"/>
        <v>455920</v>
      </c>
      <c r="I12" s="232" t="s">
        <v>478</v>
      </c>
      <c r="J12" s="229" t="s">
        <v>479</v>
      </c>
      <c r="K12" s="229" t="s">
        <v>480</v>
      </c>
      <c r="L12" s="229" t="s">
        <v>455</v>
      </c>
      <c r="M12" s="229" t="s">
        <v>468</v>
      </c>
      <c r="N12" s="258" t="s">
        <v>230</v>
      </c>
      <c r="O12" s="650" t="s">
        <v>644</v>
      </c>
      <c r="P12" s="650"/>
      <c r="Q12" s="650"/>
      <c r="R12" s="232"/>
    </row>
    <row r="13" spans="1:18" ht="30.9" customHeight="1" thickTop="1" thickBot="1">
      <c r="A13" s="176">
        <v>45455</v>
      </c>
      <c r="B13" s="177" t="s">
        <v>490</v>
      </c>
      <c r="C13" s="183">
        <v>407925</v>
      </c>
      <c r="D13" s="183">
        <v>83255</v>
      </c>
      <c r="E13" s="183">
        <f t="shared" si="0"/>
        <v>324670</v>
      </c>
      <c r="F13" s="183">
        <v>-44</v>
      </c>
      <c r="G13" s="183">
        <v>0</v>
      </c>
      <c r="H13" s="221">
        <f t="shared" si="1"/>
        <v>780546</v>
      </c>
      <c r="I13" s="233">
        <f>P10</f>
        <v>340000</v>
      </c>
      <c r="J13" s="229">
        <v>61000</v>
      </c>
      <c r="K13" s="229">
        <v>118550</v>
      </c>
      <c r="L13" s="229">
        <v>0</v>
      </c>
      <c r="M13" s="229">
        <v>43900</v>
      </c>
      <c r="N13" s="229">
        <v>227500</v>
      </c>
      <c r="O13" s="650" t="s">
        <v>645</v>
      </c>
      <c r="P13" s="650"/>
      <c r="Q13" s="261" t="s">
        <v>646</v>
      </c>
      <c r="R13" s="232"/>
    </row>
    <row r="14" spans="1:18" ht="30.9" customHeight="1" thickTop="1" thickBot="1">
      <c r="A14" s="176">
        <v>45456</v>
      </c>
      <c r="B14" s="177" t="s">
        <v>491</v>
      </c>
      <c r="C14" s="183">
        <v>317657</v>
      </c>
      <c r="D14" s="183">
        <v>512805</v>
      </c>
      <c r="E14" s="183">
        <f t="shared" si="0"/>
        <v>-195148</v>
      </c>
      <c r="F14" s="183">
        <v>-124</v>
      </c>
      <c r="G14" s="183">
        <v>0</v>
      </c>
      <c r="H14" s="221">
        <f t="shared" si="1"/>
        <v>585274</v>
      </c>
      <c r="I14" s="634" t="s">
        <v>481</v>
      </c>
      <c r="J14" s="634"/>
      <c r="K14" s="634"/>
      <c r="L14" s="634"/>
      <c r="M14" s="634"/>
      <c r="N14" s="651"/>
      <c r="O14" s="650"/>
      <c r="P14" s="650"/>
      <c r="Q14" s="261" t="s">
        <v>647</v>
      </c>
      <c r="R14" s="232"/>
    </row>
    <row r="15" spans="1:18" ht="30.9" customHeight="1" thickTop="1" thickBot="1">
      <c r="A15" s="176">
        <v>45457</v>
      </c>
      <c r="B15" s="178" t="s">
        <v>485</v>
      </c>
      <c r="C15" s="183">
        <v>737690</v>
      </c>
      <c r="D15" s="183">
        <v>467936</v>
      </c>
      <c r="E15" s="183">
        <f t="shared" si="0"/>
        <v>269754</v>
      </c>
      <c r="F15" s="183">
        <v>0</v>
      </c>
      <c r="G15" s="183">
        <v>0</v>
      </c>
      <c r="H15" s="221">
        <f t="shared" si="1"/>
        <v>855028</v>
      </c>
      <c r="I15" s="234">
        <v>0</v>
      </c>
      <c r="J15" s="234"/>
      <c r="K15" s="234"/>
      <c r="L15" s="234"/>
      <c r="M15" s="234"/>
      <c r="N15" s="260"/>
      <c r="O15" s="650" t="s">
        <v>648</v>
      </c>
      <c r="P15" s="650" t="s">
        <v>649</v>
      </c>
      <c r="Q15" s="650"/>
      <c r="R15" s="232"/>
    </row>
    <row r="16" spans="1:18" ht="30.9" customHeight="1" thickTop="1" thickBot="1">
      <c r="A16" s="176">
        <v>45458</v>
      </c>
      <c r="B16" s="178" t="s">
        <v>486</v>
      </c>
      <c r="C16" s="183">
        <v>900479</v>
      </c>
      <c r="D16" s="183">
        <v>689464</v>
      </c>
      <c r="E16" s="183">
        <f t="shared" si="0"/>
        <v>211015</v>
      </c>
      <c r="F16" s="183">
        <v>6</v>
      </c>
      <c r="G16" s="183">
        <v>0</v>
      </c>
      <c r="H16" s="221">
        <f t="shared" si="1"/>
        <v>1066049</v>
      </c>
      <c r="I16" s="641" t="s">
        <v>247</v>
      </c>
      <c r="J16" s="641"/>
      <c r="K16" s="641"/>
      <c r="L16" s="642">
        <f>SUM(I13:N13)+SUM(I15:N15)</f>
        <v>790950</v>
      </c>
      <c r="M16" s="642"/>
      <c r="N16" s="648"/>
      <c r="O16" s="650"/>
      <c r="P16" s="650" t="s">
        <v>650</v>
      </c>
      <c r="Q16" s="650"/>
      <c r="R16" s="232"/>
    </row>
    <row r="17" spans="1:18" ht="30.9" customHeight="1" thickTop="1" thickBot="1">
      <c r="A17" s="176">
        <v>45459</v>
      </c>
      <c r="B17" s="178" t="s">
        <v>487</v>
      </c>
      <c r="C17" s="183">
        <v>507917</v>
      </c>
      <c r="D17" s="183">
        <v>502602</v>
      </c>
      <c r="E17" s="183">
        <f t="shared" si="0"/>
        <v>5315</v>
      </c>
      <c r="F17" s="183">
        <v>-410</v>
      </c>
      <c r="G17" s="183">
        <v>0</v>
      </c>
      <c r="H17" s="221">
        <f t="shared" si="1"/>
        <v>1070954</v>
      </c>
      <c r="I17" s="643" t="s">
        <v>482</v>
      </c>
      <c r="J17" s="643"/>
      <c r="K17" s="643"/>
      <c r="L17" s="643"/>
      <c r="M17" s="643"/>
      <c r="N17" s="649"/>
      <c r="O17" s="261" t="s">
        <v>651</v>
      </c>
      <c r="P17" s="650" t="s">
        <v>652</v>
      </c>
      <c r="Q17" s="650"/>
      <c r="R17" s="232"/>
    </row>
    <row r="18" spans="1:18" ht="30.9" customHeight="1" thickTop="1" thickBot="1">
      <c r="A18" s="176">
        <v>45460</v>
      </c>
      <c r="B18" s="177" t="s">
        <v>488</v>
      </c>
      <c r="C18" s="183">
        <v>185048</v>
      </c>
      <c r="D18" s="183">
        <v>226617</v>
      </c>
      <c r="E18" s="183">
        <f t="shared" si="0"/>
        <v>-41569</v>
      </c>
      <c r="F18" s="183">
        <v>0</v>
      </c>
      <c r="G18" s="183">
        <v>0</v>
      </c>
      <c r="H18" s="221">
        <f t="shared" si="1"/>
        <v>1029385</v>
      </c>
      <c r="I18" s="222"/>
      <c r="J18" s="235"/>
      <c r="K18" s="222"/>
      <c r="L18" s="222"/>
      <c r="M18" s="236" t="s">
        <v>498</v>
      </c>
      <c r="N18" s="256" t="s">
        <v>247</v>
      </c>
      <c r="O18" s="650" t="s">
        <v>653</v>
      </c>
      <c r="P18" s="650"/>
      <c r="Q18" s="650"/>
      <c r="R18" s="232"/>
    </row>
    <row r="19" spans="1:18" ht="30.9" customHeight="1" thickTop="1" thickBot="1">
      <c r="A19" s="176">
        <v>45461</v>
      </c>
      <c r="B19" s="177" t="s">
        <v>489</v>
      </c>
      <c r="C19" s="183">
        <v>419388</v>
      </c>
      <c r="D19" s="183">
        <v>873731</v>
      </c>
      <c r="E19" s="183">
        <f t="shared" si="0"/>
        <v>-454343</v>
      </c>
      <c r="F19" s="183">
        <v>-411</v>
      </c>
      <c r="G19" s="183">
        <v>0</v>
      </c>
      <c r="H19" s="221">
        <f>H18+E19+F19</f>
        <v>574631</v>
      </c>
      <c r="I19" s="237"/>
      <c r="J19" s="237"/>
      <c r="K19" s="237"/>
      <c r="L19" s="237"/>
      <c r="M19" s="238">
        <f>N23</f>
        <v>68291</v>
      </c>
      <c r="N19" s="257">
        <f>SUM(I19:M19)</f>
        <v>68291</v>
      </c>
      <c r="O19" s="652" t="s">
        <v>654</v>
      </c>
      <c r="P19" s="652"/>
      <c r="Q19" s="652"/>
      <c r="R19" s="232"/>
    </row>
    <row r="20" spans="1:18" ht="30.9" customHeight="1" thickTop="1" thickBot="1">
      <c r="A20" s="176">
        <v>45462</v>
      </c>
      <c r="B20" s="177" t="s">
        <v>490</v>
      </c>
      <c r="C20" s="183">
        <v>443239</v>
      </c>
      <c r="D20" s="183">
        <v>364689</v>
      </c>
      <c r="E20" s="183">
        <f t="shared" si="0"/>
        <v>78550</v>
      </c>
      <c r="F20" s="183">
        <v>0</v>
      </c>
      <c r="G20" s="183">
        <v>0</v>
      </c>
      <c r="H20" s="221">
        <f t="shared" si="1"/>
        <v>653181</v>
      </c>
      <c r="I20" s="232"/>
      <c r="J20" s="232"/>
      <c r="K20" s="232"/>
      <c r="L20" s="232"/>
      <c r="M20" s="232"/>
      <c r="N20" s="232"/>
      <c r="O20" s="652" t="s">
        <v>655</v>
      </c>
      <c r="P20" s="652"/>
      <c r="Q20" s="652"/>
      <c r="R20" s="232"/>
    </row>
    <row r="21" spans="1:18" ht="30.9" customHeight="1" thickTop="1" thickBot="1">
      <c r="A21" s="176">
        <v>45463</v>
      </c>
      <c r="B21" s="177" t="s">
        <v>491</v>
      </c>
      <c r="C21" s="183">
        <v>341845</v>
      </c>
      <c r="D21" s="183">
        <v>555120</v>
      </c>
      <c r="E21" s="183">
        <f t="shared" si="0"/>
        <v>-213275</v>
      </c>
      <c r="F21" s="183">
        <v>-22</v>
      </c>
      <c r="G21" s="183">
        <v>0</v>
      </c>
      <c r="H21" s="221">
        <f t="shared" si="1"/>
        <v>439884</v>
      </c>
      <c r="I21" s="644" t="s">
        <v>497</v>
      </c>
      <c r="J21" s="644"/>
      <c r="K21" s="644"/>
      <c r="L21" s="644"/>
      <c r="M21" s="644"/>
      <c r="N21" s="644"/>
      <c r="O21" s="653" t="s">
        <v>247</v>
      </c>
      <c r="P21" s="653"/>
      <c r="Q21" s="653"/>
      <c r="R21" s="262">
        <f>SUM(R12:R20)</f>
        <v>0</v>
      </c>
    </row>
    <row r="22" spans="1:18" ht="30.9" customHeight="1" thickTop="1" thickBot="1">
      <c r="A22" s="176">
        <v>45464</v>
      </c>
      <c r="B22" s="178" t="s">
        <v>485</v>
      </c>
      <c r="C22" s="183">
        <v>641775</v>
      </c>
      <c r="D22" s="183">
        <v>528929</v>
      </c>
      <c r="E22" s="183">
        <f t="shared" si="0"/>
        <v>112846</v>
      </c>
      <c r="F22" s="183">
        <v>6</v>
      </c>
      <c r="G22" s="183">
        <v>0</v>
      </c>
      <c r="H22" s="221">
        <f t="shared" si="1"/>
        <v>552736</v>
      </c>
      <c r="I22" s="235" t="s">
        <v>625</v>
      </c>
      <c r="J22" s="222" t="s">
        <v>664</v>
      </c>
      <c r="K22" s="222" t="s">
        <v>142</v>
      </c>
      <c r="L22" s="222" t="s">
        <v>638</v>
      </c>
      <c r="M22" s="222" t="s">
        <v>494</v>
      </c>
      <c r="N22" s="254" t="s">
        <v>247</v>
      </c>
    </row>
    <row r="23" spans="1:18" ht="30.9" customHeight="1" thickTop="1" thickBot="1">
      <c r="A23" s="176">
        <v>45465</v>
      </c>
      <c r="B23" s="178" t="s">
        <v>486</v>
      </c>
      <c r="C23" s="183">
        <v>543723</v>
      </c>
      <c r="D23" s="183">
        <v>614056</v>
      </c>
      <c r="E23" s="183">
        <f t="shared" si="0"/>
        <v>-70333</v>
      </c>
      <c r="F23" s="183">
        <v>-415</v>
      </c>
      <c r="G23" s="183">
        <v>0</v>
      </c>
      <c r="H23" s="221">
        <f t="shared" si="1"/>
        <v>481988</v>
      </c>
      <c r="I23" s="237">
        <v>0</v>
      </c>
      <c r="J23" s="237">
        <v>0</v>
      </c>
      <c r="K23" s="237">
        <v>5750</v>
      </c>
      <c r="L23" s="237">
        <v>10000</v>
      </c>
      <c r="M23" s="237">
        <v>52541</v>
      </c>
      <c r="N23" s="255">
        <f>SUM(J23:M23)</f>
        <v>68291</v>
      </c>
    </row>
    <row r="24" spans="1:18" ht="30.9" customHeight="1" thickTop="1">
      <c r="A24" s="176">
        <v>45466</v>
      </c>
      <c r="B24" s="178" t="s">
        <v>487</v>
      </c>
      <c r="C24" s="183">
        <v>391057</v>
      </c>
      <c r="D24" s="183">
        <v>435931</v>
      </c>
      <c r="E24" s="183">
        <f t="shared" si="0"/>
        <v>-44874</v>
      </c>
      <c r="F24" s="183">
        <v>-24</v>
      </c>
      <c r="G24" s="183">
        <v>0</v>
      </c>
      <c r="H24" s="184">
        <f t="shared" si="1"/>
        <v>437090</v>
      </c>
    </row>
    <row r="25" spans="1:18" ht="30.9" customHeight="1">
      <c r="A25" s="176">
        <v>45467</v>
      </c>
      <c r="B25" s="177" t="s">
        <v>488</v>
      </c>
      <c r="C25" s="183">
        <v>250382</v>
      </c>
      <c r="D25" s="183">
        <v>260333</v>
      </c>
      <c r="E25" s="183">
        <f t="shared" si="0"/>
        <v>-9951</v>
      </c>
      <c r="F25" s="183">
        <v>0</v>
      </c>
      <c r="G25" s="183">
        <v>0</v>
      </c>
      <c r="H25" s="184">
        <f t="shared" si="1"/>
        <v>427139</v>
      </c>
    </row>
    <row r="26" spans="1:18" ht="30.9" customHeight="1">
      <c r="A26" s="176">
        <v>45468</v>
      </c>
      <c r="B26" s="177" t="s">
        <v>489</v>
      </c>
      <c r="C26" s="183">
        <v>415703</v>
      </c>
      <c r="D26" s="183">
        <v>112642</v>
      </c>
      <c r="E26" s="183">
        <f t="shared" si="0"/>
        <v>303061</v>
      </c>
      <c r="F26" s="183">
        <v>-64</v>
      </c>
      <c r="G26" s="183">
        <v>0</v>
      </c>
      <c r="H26" s="184">
        <f t="shared" si="1"/>
        <v>730136</v>
      </c>
    </row>
    <row r="27" spans="1:18" ht="30.9" customHeight="1">
      <c r="A27" s="176">
        <v>45469</v>
      </c>
      <c r="B27" s="177" t="s">
        <v>490</v>
      </c>
      <c r="C27" s="183">
        <v>548250</v>
      </c>
      <c r="D27" s="183">
        <v>247932</v>
      </c>
      <c r="E27" s="183">
        <f t="shared" si="0"/>
        <v>300318</v>
      </c>
      <c r="F27" s="183">
        <v>-58</v>
      </c>
      <c r="G27" s="183">
        <v>0</v>
      </c>
      <c r="H27" s="184">
        <f t="shared" si="1"/>
        <v>1030396</v>
      </c>
    </row>
    <row r="28" spans="1:18" ht="30.9" customHeight="1">
      <c r="A28" s="176">
        <v>45470</v>
      </c>
      <c r="B28" s="177" t="s">
        <v>491</v>
      </c>
      <c r="C28" s="183">
        <v>580123</v>
      </c>
      <c r="D28" s="183">
        <v>317447</v>
      </c>
      <c r="E28" s="183">
        <f t="shared" si="0"/>
        <v>262676</v>
      </c>
      <c r="F28" s="183">
        <v>-984</v>
      </c>
      <c r="G28" s="183">
        <v>0</v>
      </c>
      <c r="H28" s="184">
        <f t="shared" si="1"/>
        <v>1292088</v>
      </c>
    </row>
    <row r="29" spans="1:18" ht="30.9" customHeight="1">
      <c r="A29" s="176">
        <v>45471</v>
      </c>
      <c r="B29" s="178" t="s">
        <v>485</v>
      </c>
      <c r="C29" s="183">
        <v>818938</v>
      </c>
      <c r="D29" s="183">
        <v>586320</v>
      </c>
      <c r="E29" s="183">
        <f t="shared" si="0"/>
        <v>232618</v>
      </c>
      <c r="F29" s="183">
        <v>-22</v>
      </c>
      <c r="G29" s="183">
        <v>0</v>
      </c>
      <c r="H29" s="184">
        <f t="shared" si="1"/>
        <v>1524684</v>
      </c>
    </row>
    <row r="30" spans="1:18" ht="30.9" customHeight="1">
      <c r="A30" s="176">
        <v>45472</v>
      </c>
      <c r="B30" s="178" t="s">
        <v>486</v>
      </c>
      <c r="C30" s="183">
        <v>909322</v>
      </c>
      <c r="D30" s="183">
        <v>513654</v>
      </c>
      <c r="E30" s="183">
        <f t="shared" si="0"/>
        <v>395668</v>
      </c>
      <c r="F30" s="183">
        <v>0</v>
      </c>
      <c r="G30" s="183">
        <v>0</v>
      </c>
      <c r="H30" s="184">
        <f t="shared" si="1"/>
        <v>1920352</v>
      </c>
    </row>
    <row r="31" spans="1:18" ht="30.9" customHeight="1">
      <c r="A31" s="176">
        <v>45473</v>
      </c>
      <c r="B31" s="178" t="s">
        <v>487</v>
      </c>
      <c r="C31" s="183">
        <v>426106</v>
      </c>
      <c r="D31" s="183">
        <v>664440</v>
      </c>
      <c r="E31" s="183">
        <f t="shared" si="0"/>
        <v>-238334</v>
      </c>
      <c r="F31" s="183">
        <v>0</v>
      </c>
      <c r="G31" s="183">
        <v>0</v>
      </c>
      <c r="H31" s="184">
        <f>H30+E31+F31</f>
        <v>1682018</v>
      </c>
    </row>
    <row r="32" spans="1:18" ht="30.9" customHeight="1">
      <c r="A32" s="176"/>
      <c r="B32" s="177"/>
      <c r="C32" s="183">
        <v>200000</v>
      </c>
      <c r="D32" s="183">
        <v>336300</v>
      </c>
      <c r="E32" s="183">
        <f>C32-D32</f>
        <v>-136300</v>
      </c>
      <c r="F32" s="183"/>
      <c r="G32" s="183"/>
      <c r="H32" s="184">
        <f t="shared" si="1"/>
        <v>1545718</v>
      </c>
    </row>
    <row r="33" spans="1:8" ht="45" customHeight="1">
      <c r="A33" s="476" t="s">
        <v>247</v>
      </c>
      <c r="B33" s="477"/>
      <c r="C33" s="145">
        <f>SUM(C2:C32)</f>
        <v>14766013</v>
      </c>
      <c r="D33" s="145">
        <f>SUM(D2:D32)</f>
        <v>13216237</v>
      </c>
      <c r="E33" s="145">
        <f>SUM(E2:E32)</f>
        <v>1549776</v>
      </c>
      <c r="F33" s="145">
        <f>SUM(F2:F32)</f>
        <v>-4058</v>
      </c>
      <c r="G33" s="145">
        <f>SUM(G2:G32)</f>
        <v>0</v>
      </c>
      <c r="H33" s="145">
        <f>H32</f>
        <v>1545718</v>
      </c>
    </row>
    <row r="34" spans="1:8">
      <c r="A34" s="69"/>
    </row>
    <row r="35" spans="1:8">
      <c r="A35" s="69"/>
    </row>
    <row r="36" spans="1:8">
      <c r="A36" s="69"/>
    </row>
    <row r="37" spans="1:8">
      <c r="A37" s="69"/>
    </row>
    <row r="38" spans="1:8">
      <c r="A38" s="69"/>
    </row>
    <row r="39" spans="1:8" ht="21" customHeight="1">
      <c r="A39" s="69"/>
    </row>
    <row r="40" spans="1:8" ht="23.1" customHeight="1">
      <c r="A40" s="69"/>
    </row>
    <row r="41" spans="1:8">
      <c r="A41" s="69"/>
    </row>
    <row r="42" spans="1:8" ht="29.1" customHeight="1">
      <c r="A42" s="69"/>
    </row>
    <row r="43" spans="1:8" ht="15" customHeight="1">
      <c r="A43" s="69"/>
    </row>
    <row r="44" spans="1:8">
      <c r="A44" s="69"/>
    </row>
    <row r="45" spans="1:8">
      <c r="A45" s="69"/>
    </row>
    <row r="46" spans="1:8">
      <c r="A46" s="69"/>
    </row>
    <row r="47" spans="1:8">
      <c r="A47" s="69"/>
    </row>
    <row r="48" spans="1:8">
      <c r="A48" s="69"/>
    </row>
    <row r="49" spans="1:1">
      <c r="A49" s="69"/>
    </row>
    <row r="50" spans="1:1" ht="18.899999999999999" customHeight="1">
      <c r="A50" s="69"/>
    </row>
  </sheetData>
  <mergeCells count="35">
    <mergeCell ref="A33:B33"/>
    <mergeCell ref="I17:N17"/>
    <mergeCell ref="P17:Q17"/>
    <mergeCell ref="O18:Q18"/>
    <mergeCell ref="O19:Q19"/>
    <mergeCell ref="O20:Q20"/>
    <mergeCell ref="I21:N21"/>
    <mergeCell ref="O21:Q21"/>
    <mergeCell ref="O12:Q12"/>
    <mergeCell ref="O13:P14"/>
    <mergeCell ref="I14:N14"/>
    <mergeCell ref="O15:O16"/>
    <mergeCell ref="P15:Q15"/>
    <mergeCell ref="I16:K16"/>
    <mergeCell ref="L16:N16"/>
    <mergeCell ref="P16:Q16"/>
    <mergeCell ref="O11:R11"/>
    <mergeCell ref="I4:I5"/>
    <mergeCell ref="M4:N4"/>
    <mergeCell ref="M5:N5"/>
    <mergeCell ref="O5:R5"/>
    <mergeCell ref="I6:N6"/>
    <mergeCell ref="O6:P6"/>
    <mergeCell ref="Q6:R6"/>
    <mergeCell ref="M7:N7"/>
    <mergeCell ref="M8:N8"/>
    <mergeCell ref="J9:N9"/>
    <mergeCell ref="I10:N10"/>
    <mergeCell ref="I11:N11"/>
    <mergeCell ref="M3:N3"/>
    <mergeCell ref="A1:B1"/>
    <mergeCell ref="I1:N1"/>
    <mergeCell ref="O1:R1"/>
    <mergeCell ref="I2:N2"/>
    <mergeCell ref="O2:R2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1BBCE-A218-4764-8FAE-1C4964CA9534}">
  <dimension ref="A1:R51"/>
  <sheetViews>
    <sheetView topLeftCell="H1" zoomScaleNormal="100" workbookViewId="0">
      <selection activeCell="D33" sqref="D33"/>
    </sheetView>
  </sheetViews>
  <sheetFormatPr defaultColWidth="10.6328125" defaultRowHeight="18"/>
  <cols>
    <col min="1" max="1" width="5.90625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8" style="69" customWidth="1"/>
    <col min="7" max="7" width="7.90625" style="69" customWidth="1"/>
    <col min="8" max="8" width="12.453125" style="69" customWidth="1"/>
    <col min="9" max="14" width="11.453125" style="69" customWidth="1"/>
    <col min="15" max="16" width="7" style="69" customWidth="1"/>
    <col min="17" max="17" width="11.453125" style="69" customWidth="1"/>
    <col min="18" max="18" width="21" style="69" customWidth="1"/>
    <col min="19" max="16384" width="10.6328125" style="69"/>
  </cols>
  <sheetData>
    <row r="1" spans="1:18" ht="24" customHeight="1" thickTop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133" t="s">
        <v>463</v>
      </c>
      <c r="H1" s="220" t="s">
        <v>464</v>
      </c>
      <c r="I1" s="630" t="s">
        <v>248</v>
      </c>
      <c r="J1" s="630"/>
      <c r="K1" s="630"/>
      <c r="L1" s="630"/>
      <c r="M1" s="630"/>
      <c r="N1" s="630"/>
      <c r="O1" s="631" t="s">
        <v>642</v>
      </c>
      <c r="P1" s="632"/>
      <c r="Q1" s="632"/>
      <c r="R1" s="632"/>
    </row>
    <row r="2" spans="1:18" ht="30.9" customHeight="1" thickTop="1" thickBot="1">
      <c r="A2" s="176">
        <v>45474</v>
      </c>
      <c r="B2" s="177" t="s">
        <v>488</v>
      </c>
      <c r="C2" s="183">
        <v>314389</v>
      </c>
      <c r="D2" s="183">
        <v>189330</v>
      </c>
      <c r="E2" s="183">
        <f>C2-D2</f>
        <v>125059</v>
      </c>
      <c r="F2" s="183">
        <v>-241</v>
      </c>
      <c r="G2" s="183">
        <v>0</v>
      </c>
      <c r="H2" s="221">
        <f>E2+F2</f>
        <v>124818</v>
      </c>
      <c r="I2" s="630" t="s">
        <v>249</v>
      </c>
      <c r="J2" s="630"/>
      <c r="K2" s="630"/>
      <c r="L2" s="630"/>
      <c r="M2" s="630"/>
      <c r="N2" s="630"/>
      <c r="O2" s="627" t="s">
        <v>638</v>
      </c>
      <c r="P2" s="628"/>
      <c r="Q2" s="628"/>
      <c r="R2" s="628"/>
    </row>
    <row r="3" spans="1:18" ht="30.9" customHeight="1" thickTop="1" thickBot="1">
      <c r="A3" s="176">
        <v>45475</v>
      </c>
      <c r="B3" s="177" t="s">
        <v>489</v>
      </c>
      <c r="C3" s="183">
        <v>389267</v>
      </c>
      <c r="D3" s="183">
        <v>408296</v>
      </c>
      <c r="E3" s="183">
        <f t="shared" ref="E3:E31" si="0">C3-D3</f>
        <v>-19029</v>
      </c>
      <c r="F3" s="183">
        <v>-2</v>
      </c>
      <c r="G3" s="183">
        <v>0</v>
      </c>
      <c r="H3" s="221">
        <f>H2+E3+F3</f>
        <v>105787</v>
      </c>
      <c r="I3" s="223" t="s">
        <v>247</v>
      </c>
      <c r="J3" s="222" t="s">
        <v>251</v>
      </c>
      <c r="K3" s="222" t="s">
        <v>252</v>
      </c>
      <c r="L3" s="222" t="s">
        <v>449</v>
      </c>
      <c r="M3" s="630" t="s">
        <v>415</v>
      </c>
      <c r="N3" s="630"/>
      <c r="O3" s="246"/>
      <c r="P3" s="247"/>
      <c r="Q3" s="247"/>
      <c r="R3" s="247"/>
    </row>
    <row r="4" spans="1:18" ht="30.9" customHeight="1" thickTop="1" thickBot="1">
      <c r="A4" s="176">
        <v>45476</v>
      </c>
      <c r="B4" s="177" t="s">
        <v>490</v>
      </c>
      <c r="C4" s="183">
        <v>244820</v>
      </c>
      <c r="D4" s="183">
        <v>555286</v>
      </c>
      <c r="E4" s="183">
        <f t="shared" si="0"/>
        <v>-310466</v>
      </c>
      <c r="F4" s="183">
        <v>-47</v>
      </c>
      <c r="G4" s="183">
        <v>0</v>
      </c>
      <c r="H4" s="221">
        <f t="shared" ref="H4:H33" si="1">H3+E4+F4</f>
        <v>-204726</v>
      </c>
      <c r="I4" s="635">
        <f>C34</f>
        <v>15215209</v>
      </c>
      <c r="J4" s="224">
        <f>G34</f>
        <v>0</v>
      </c>
      <c r="K4" s="224"/>
      <c r="L4" s="224">
        <f>F34</f>
        <v>-7619</v>
      </c>
      <c r="M4" s="636">
        <v>11738</v>
      </c>
      <c r="N4" s="636"/>
      <c r="O4" s="249"/>
      <c r="P4" s="250"/>
      <c r="Q4" s="250"/>
      <c r="R4" s="250"/>
    </row>
    <row r="5" spans="1:18" ht="30.9" customHeight="1" thickTop="1" thickBot="1">
      <c r="A5" s="176">
        <v>45477</v>
      </c>
      <c r="B5" s="177" t="s">
        <v>491</v>
      </c>
      <c r="C5" s="183">
        <v>318846</v>
      </c>
      <c r="D5" s="183">
        <v>571956</v>
      </c>
      <c r="E5" s="183">
        <f t="shared" si="0"/>
        <v>-253110</v>
      </c>
      <c r="F5" s="183">
        <v>-787</v>
      </c>
      <c r="G5" s="183">
        <v>0</v>
      </c>
      <c r="H5" s="221">
        <f t="shared" si="1"/>
        <v>-458623</v>
      </c>
      <c r="I5" s="635"/>
      <c r="J5" s="225">
        <f>J4/I4</f>
        <v>0</v>
      </c>
      <c r="K5" s="225">
        <f>K4/I4</f>
        <v>0</v>
      </c>
      <c r="L5" s="226">
        <f>L4/I4</f>
        <v>-5.0074895454935912E-4</v>
      </c>
      <c r="M5" s="637">
        <f>M4/I4</f>
        <v>7.7146492039642707E-4</v>
      </c>
      <c r="N5" s="637"/>
      <c r="O5" s="654" t="s">
        <v>639</v>
      </c>
      <c r="P5" s="655"/>
      <c r="Q5" s="655"/>
      <c r="R5" s="655"/>
    </row>
    <row r="6" spans="1:18" ht="30.9" customHeight="1" thickTop="1" thickBot="1">
      <c r="A6" s="176">
        <v>45478</v>
      </c>
      <c r="B6" s="178" t="s">
        <v>485</v>
      </c>
      <c r="C6" s="183">
        <v>818101</v>
      </c>
      <c r="D6" s="183">
        <v>394671</v>
      </c>
      <c r="E6" s="183">
        <f t="shared" si="0"/>
        <v>423430</v>
      </c>
      <c r="F6" s="183">
        <v>21</v>
      </c>
      <c r="G6" s="183">
        <v>0</v>
      </c>
      <c r="H6" s="221">
        <f t="shared" si="1"/>
        <v>-35172</v>
      </c>
      <c r="I6" s="630" t="s">
        <v>250</v>
      </c>
      <c r="J6" s="630"/>
      <c r="K6" s="630"/>
      <c r="L6" s="630"/>
      <c r="M6" s="630"/>
      <c r="N6" s="630"/>
      <c r="O6" s="630" t="s">
        <v>231</v>
      </c>
      <c r="P6" s="630"/>
      <c r="Q6" s="490"/>
      <c r="R6" s="490"/>
    </row>
    <row r="7" spans="1:18" ht="30.9" customHeight="1" thickTop="1" thickBot="1">
      <c r="A7" s="176">
        <v>45479</v>
      </c>
      <c r="B7" s="178" t="s">
        <v>486</v>
      </c>
      <c r="C7" s="183">
        <v>525832</v>
      </c>
      <c r="D7" s="183">
        <v>388306</v>
      </c>
      <c r="E7" s="183">
        <f t="shared" si="0"/>
        <v>137526</v>
      </c>
      <c r="F7" s="183">
        <v>-574</v>
      </c>
      <c r="G7" s="183">
        <v>0</v>
      </c>
      <c r="H7" s="221">
        <f t="shared" si="1"/>
        <v>101780</v>
      </c>
      <c r="I7" s="222" t="s">
        <v>241</v>
      </c>
      <c r="J7" s="222" t="s">
        <v>253</v>
      </c>
      <c r="K7" s="227" t="s">
        <v>624</v>
      </c>
      <c r="L7" s="222"/>
      <c r="M7" s="638" t="s">
        <v>247</v>
      </c>
      <c r="N7" s="638"/>
      <c r="O7" s="242" t="s">
        <v>640</v>
      </c>
      <c r="P7" s="243">
        <v>250000</v>
      </c>
    </row>
    <row r="8" spans="1:18" ht="30.9" customHeight="1" thickTop="1" thickBot="1">
      <c r="A8" s="176">
        <v>45480</v>
      </c>
      <c r="B8" s="178" t="s">
        <v>487</v>
      </c>
      <c r="C8" s="183">
        <v>537601</v>
      </c>
      <c r="D8" s="183">
        <v>102926</v>
      </c>
      <c r="E8" s="183">
        <f t="shared" si="0"/>
        <v>434675</v>
      </c>
      <c r="F8" s="183">
        <v>-244</v>
      </c>
      <c r="G8" s="183">
        <v>0</v>
      </c>
      <c r="H8" s="221">
        <f t="shared" si="1"/>
        <v>536211</v>
      </c>
      <c r="I8" s="228">
        <f>D34</f>
        <v>12928037</v>
      </c>
      <c r="J8" s="229">
        <f>L16</f>
        <v>776600</v>
      </c>
      <c r="K8" s="230">
        <f>N19</f>
        <v>80004</v>
      </c>
      <c r="L8" s="229"/>
      <c r="M8" s="639">
        <f>SUM(I8:L8)</f>
        <v>13784641</v>
      </c>
      <c r="N8" s="639"/>
      <c r="O8" s="242" t="s">
        <v>641</v>
      </c>
      <c r="P8" s="243">
        <v>55000</v>
      </c>
    </row>
    <row r="9" spans="1:18" ht="30.9" customHeight="1" thickTop="1" thickBot="1">
      <c r="A9" s="176">
        <v>45481</v>
      </c>
      <c r="B9" s="177" t="s">
        <v>488</v>
      </c>
      <c r="C9" s="183">
        <v>215047</v>
      </c>
      <c r="D9" s="183">
        <v>528624</v>
      </c>
      <c r="E9" s="183">
        <f t="shared" si="0"/>
        <v>-313577</v>
      </c>
      <c r="F9" s="183">
        <v>0</v>
      </c>
      <c r="G9" s="183">
        <v>0</v>
      </c>
      <c r="H9" s="221">
        <f t="shared" si="1"/>
        <v>222634</v>
      </c>
      <c r="I9" s="231" t="s">
        <v>266</v>
      </c>
      <c r="J9" s="623">
        <f>I4-M8</f>
        <v>1430568</v>
      </c>
      <c r="K9" s="623"/>
      <c r="L9" s="623"/>
      <c r="M9" s="623"/>
      <c r="N9" s="623"/>
      <c r="O9" s="241" t="s">
        <v>495</v>
      </c>
      <c r="P9" s="243">
        <v>35000</v>
      </c>
    </row>
    <row r="10" spans="1:18" ht="30.9" customHeight="1" thickTop="1" thickBot="1">
      <c r="A10" s="176">
        <v>45482</v>
      </c>
      <c r="B10" s="177" t="s">
        <v>489</v>
      </c>
      <c r="C10" s="183">
        <v>296074</v>
      </c>
      <c r="D10" s="183">
        <v>420559</v>
      </c>
      <c r="E10" s="183">
        <f t="shared" si="0"/>
        <v>-124485</v>
      </c>
      <c r="F10" s="183">
        <v>-441</v>
      </c>
      <c r="G10" s="183">
        <v>0</v>
      </c>
      <c r="H10" s="221">
        <f t="shared" si="1"/>
        <v>97708</v>
      </c>
      <c r="I10" s="640" t="s">
        <v>257</v>
      </c>
      <c r="J10" s="640"/>
      <c r="K10" s="640"/>
      <c r="L10" s="640"/>
      <c r="M10" s="640"/>
      <c r="N10" s="640"/>
      <c r="O10" s="244" t="s">
        <v>73</v>
      </c>
      <c r="P10" s="245">
        <f>SUM(P7:P9)</f>
        <v>340000</v>
      </c>
      <c r="Q10" s="252"/>
      <c r="R10" s="252"/>
    </row>
    <row r="11" spans="1:18" ht="30.9" customHeight="1" thickTop="1" thickBot="1">
      <c r="A11" s="176">
        <v>45483</v>
      </c>
      <c r="B11" s="177" t="s">
        <v>490</v>
      </c>
      <c r="C11" s="183">
        <v>315719</v>
      </c>
      <c r="D11" s="183">
        <v>325585</v>
      </c>
      <c r="E11" s="183">
        <f t="shared" si="0"/>
        <v>-9866</v>
      </c>
      <c r="F11" s="183">
        <v>-748</v>
      </c>
      <c r="G11" s="183">
        <v>0</v>
      </c>
      <c r="H11" s="221">
        <f>H10+E11+F11</f>
        <v>87094</v>
      </c>
      <c r="I11" s="634" t="s">
        <v>477</v>
      </c>
      <c r="J11" s="634"/>
      <c r="K11" s="634"/>
      <c r="L11" s="634"/>
      <c r="M11" s="634"/>
      <c r="N11" s="651"/>
      <c r="O11" s="647" t="s">
        <v>643</v>
      </c>
      <c r="P11" s="647"/>
      <c r="Q11" s="647"/>
      <c r="R11" s="647"/>
    </row>
    <row r="12" spans="1:18" ht="30.9" customHeight="1" thickTop="1" thickBot="1">
      <c r="A12" s="176">
        <v>45484</v>
      </c>
      <c r="B12" s="177" t="s">
        <v>491</v>
      </c>
      <c r="C12" s="183">
        <v>570723</v>
      </c>
      <c r="D12" s="183">
        <v>350634</v>
      </c>
      <c r="E12" s="183">
        <f t="shared" si="0"/>
        <v>220089</v>
      </c>
      <c r="F12" s="183">
        <v>0</v>
      </c>
      <c r="G12" s="183">
        <v>0</v>
      </c>
      <c r="H12" s="221">
        <f t="shared" si="1"/>
        <v>307183</v>
      </c>
      <c r="I12" s="232" t="s">
        <v>478</v>
      </c>
      <c r="J12" s="229" t="s">
        <v>479</v>
      </c>
      <c r="K12" s="229" t="s">
        <v>480</v>
      </c>
      <c r="L12" s="229" t="s">
        <v>455</v>
      </c>
      <c r="M12" s="229" t="s">
        <v>468</v>
      </c>
      <c r="N12" s="258" t="s">
        <v>230</v>
      </c>
      <c r="O12" s="650" t="s">
        <v>644</v>
      </c>
      <c r="P12" s="650"/>
      <c r="Q12" s="650"/>
      <c r="R12" s="232"/>
    </row>
    <row r="13" spans="1:18" ht="30.9" customHeight="1" thickTop="1" thickBot="1">
      <c r="A13" s="176">
        <v>45485</v>
      </c>
      <c r="B13" s="178" t="s">
        <v>485</v>
      </c>
      <c r="C13" s="183">
        <v>859380</v>
      </c>
      <c r="D13" s="183">
        <v>413809</v>
      </c>
      <c r="E13" s="183">
        <f t="shared" si="0"/>
        <v>445571</v>
      </c>
      <c r="F13" s="183">
        <v>-874</v>
      </c>
      <c r="G13" s="183">
        <v>0</v>
      </c>
      <c r="H13" s="221">
        <f t="shared" si="1"/>
        <v>751880</v>
      </c>
      <c r="I13" s="233">
        <f>P10</f>
        <v>340000</v>
      </c>
      <c r="J13" s="229">
        <v>61000</v>
      </c>
      <c r="K13" s="229">
        <v>111500</v>
      </c>
      <c r="L13" s="229">
        <v>0</v>
      </c>
      <c r="M13" s="229">
        <v>45100</v>
      </c>
      <c r="N13" s="229">
        <v>219000</v>
      </c>
      <c r="O13" s="650" t="s">
        <v>645</v>
      </c>
      <c r="P13" s="650"/>
      <c r="Q13" s="261" t="s">
        <v>646</v>
      </c>
      <c r="R13" s="232"/>
    </row>
    <row r="14" spans="1:18" ht="30.9" customHeight="1" thickTop="1" thickBot="1">
      <c r="A14" s="176">
        <v>45486</v>
      </c>
      <c r="B14" s="178" t="s">
        <v>486</v>
      </c>
      <c r="C14" s="183">
        <v>1182813</v>
      </c>
      <c r="D14" s="183">
        <v>301035</v>
      </c>
      <c r="E14" s="183">
        <f t="shared" si="0"/>
        <v>881778</v>
      </c>
      <c r="F14" s="183">
        <v>-584</v>
      </c>
      <c r="G14" s="183">
        <v>0</v>
      </c>
      <c r="H14" s="221">
        <f t="shared" si="1"/>
        <v>1633074</v>
      </c>
      <c r="I14" s="634" t="s">
        <v>481</v>
      </c>
      <c r="J14" s="634"/>
      <c r="K14" s="634"/>
      <c r="L14" s="634"/>
      <c r="M14" s="634"/>
      <c r="N14" s="651"/>
      <c r="O14" s="650"/>
      <c r="P14" s="650"/>
      <c r="Q14" s="261" t="s">
        <v>647</v>
      </c>
      <c r="R14" s="232"/>
    </row>
    <row r="15" spans="1:18" ht="30.9" customHeight="1" thickTop="1" thickBot="1">
      <c r="A15" s="176">
        <v>45487</v>
      </c>
      <c r="B15" s="178" t="s">
        <v>487</v>
      </c>
      <c r="C15" s="183">
        <v>295368</v>
      </c>
      <c r="D15" s="183">
        <v>901751</v>
      </c>
      <c r="E15" s="183">
        <f t="shared" si="0"/>
        <v>-606383</v>
      </c>
      <c r="F15" s="183">
        <v>-254</v>
      </c>
      <c r="G15" s="183">
        <v>0</v>
      </c>
      <c r="H15" s="221">
        <f t="shared" si="1"/>
        <v>1026437</v>
      </c>
      <c r="I15" s="234">
        <v>0</v>
      </c>
      <c r="J15" s="234"/>
      <c r="K15" s="234"/>
      <c r="L15" s="234"/>
      <c r="M15" s="234"/>
      <c r="N15" s="260"/>
      <c r="O15" s="650" t="s">
        <v>648</v>
      </c>
      <c r="P15" s="650" t="s">
        <v>649</v>
      </c>
      <c r="Q15" s="650"/>
      <c r="R15" s="232"/>
    </row>
    <row r="16" spans="1:18" ht="30.9" customHeight="1" thickTop="1" thickBot="1">
      <c r="A16" s="176">
        <v>45488</v>
      </c>
      <c r="B16" s="177" t="s">
        <v>488</v>
      </c>
      <c r="C16" s="183">
        <v>451614</v>
      </c>
      <c r="D16" s="183">
        <v>650822</v>
      </c>
      <c r="E16" s="183">
        <f t="shared" si="0"/>
        <v>-199208</v>
      </c>
      <c r="F16" s="183">
        <v>0</v>
      </c>
      <c r="G16" s="183">
        <v>0</v>
      </c>
      <c r="H16" s="221">
        <f t="shared" si="1"/>
        <v>827229</v>
      </c>
      <c r="I16" s="641" t="s">
        <v>247</v>
      </c>
      <c r="J16" s="641"/>
      <c r="K16" s="641"/>
      <c r="L16" s="642">
        <f>SUM(I13:N13)+SUM(I15:N15)</f>
        <v>776600</v>
      </c>
      <c r="M16" s="642"/>
      <c r="N16" s="648"/>
      <c r="O16" s="650"/>
      <c r="P16" s="650" t="s">
        <v>650</v>
      </c>
      <c r="Q16" s="650"/>
      <c r="R16" s="232"/>
    </row>
    <row r="17" spans="1:18" ht="30.9" customHeight="1" thickTop="1" thickBot="1">
      <c r="A17" s="176">
        <v>45489</v>
      </c>
      <c r="B17" s="177" t="s">
        <v>489</v>
      </c>
      <c r="C17" s="183">
        <v>461987</v>
      </c>
      <c r="D17" s="183">
        <v>251535</v>
      </c>
      <c r="E17" s="183">
        <f t="shared" si="0"/>
        <v>210452</v>
      </c>
      <c r="F17" s="183">
        <v>-541</v>
      </c>
      <c r="G17" s="183">
        <v>0</v>
      </c>
      <c r="H17" s="221">
        <f t="shared" si="1"/>
        <v>1037140</v>
      </c>
      <c r="I17" s="643" t="s">
        <v>482</v>
      </c>
      <c r="J17" s="643"/>
      <c r="K17" s="643"/>
      <c r="L17" s="643"/>
      <c r="M17" s="643"/>
      <c r="N17" s="649"/>
      <c r="O17" s="261" t="s">
        <v>651</v>
      </c>
      <c r="P17" s="650" t="s">
        <v>652</v>
      </c>
      <c r="Q17" s="650"/>
      <c r="R17" s="232"/>
    </row>
    <row r="18" spans="1:18" ht="30.9" customHeight="1" thickTop="1" thickBot="1">
      <c r="A18" s="176">
        <v>45490</v>
      </c>
      <c r="B18" s="177" t="s">
        <v>490</v>
      </c>
      <c r="C18" s="183">
        <v>541338</v>
      </c>
      <c r="D18" s="183">
        <v>247347</v>
      </c>
      <c r="E18" s="183">
        <f t="shared" si="0"/>
        <v>293991</v>
      </c>
      <c r="F18" s="183">
        <v>0</v>
      </c>
      <c r="G18" s="183">
        <v>0</v>
      </c>
      <c r="H18" s="221">
        <f t="shared" si="1"/>
        <v>1331131</v>
      </c>
      <c r="I18" s="222"/>
      <c r="J18" s="235"/>
      <c r="K18" s="222"/>
      <c r="L18" s="222"/>
      <c r="M18" s="236" t="s">
        <v>498</v>
      </c>
      <c r="N18" s="256" t="s">
        <v>247</v>
      </c>
      <c r="O18" s="650" t="s">
        <v>653</v>
      </c>
      <c r="P18" s="650"/>
      <c r="Q18" s="650"/>
      <c r="R18" s="232"/>
    </row>
    <row r="19" spans="1:18" ht="30.9" customHeight="1" thickTop="1" thickBot="1">
      <c r="A19" s="176">
        <v>45491</v>
      </c>
      <c r="B19" s="177" t="s">
        <v>491</v>
      </c>
      <c r="C19" s="183">
        <v>382996</v>
      </c>
      <c r="D19" s="183">
        <v>465447</v>
      </c>
      <c r="E19" s="183">
        <f t="shared" si="0"/>
        <v>-82451</v>
      </c>
      <c r="F19" s="183">
        <v>-541</v>
      </c>
      <c r="G19" s="183">
        <v>0</v>
      </c>
      <c r="H19" s="221">
        <f>H18+E19+F19</f>
        <v>1248139</v>
      </c>
      <c r="I19" s="237"/>
      <c r="J19" s="237"/>
      <c r="K19" s="237"/>
      <c r="L19" s="237"/>
      <c r="M19" s="238">
        <f>N23</f>
        <v>80004</v>
      </c>
      <c r="N19" s="257">
        <f>SUM(I19:M19)</f>
        <v>80004</v>
      </c>
      <c r="O19" s="652" t="s">
        <v>654</v>
      </c>
      <c r="P19" s="652"/>
      <c r="Q19" s="652"/>
      <c r="R19" s="232"/>
    </row>
    <row r="20" spans="1:18" ht="30.9" customHeight="1" thickTop="1" thickBot="1">
      <c r="A20" s="176">
        <v>45492</v>
      </c>
      <c r="B20" s="178" t="s">
        <v>485</v>
      </c>
      <c r="C20" s="183">
        <v>695360</v>
      </c>
      <c r="D20" s="183">
        <v>449277</v>
      </c>
      <c r="E20" s="183">
        <f t="shared" si="0"/>
        <v>246083</v>
      </c>
      <c r="F20" s="183">
        <v>-47</v>
      </c>
      <c r="G20" s="183">
        <v>0</v>
      </c>
      <c r="H20" s="221">
        <f t="shared" si="1"/>
        <v>1494175</v>
      </c>
      <c r="I20" s="232"/>
      <c r="J20" s="232"/>
      <c r="K20" s="232"/>
      <c r="L20" s="232"/>
      <c r="M20" s="232"/>
      <c r="N20" s="232"/>
      <c r="O20" s="652" t="s">
        <v>655</v>
      </c>
      <c r="P20" s="652"/>
      <c r="Q20" s="652"/>
      <c r="R20" s="232"/>
    </row>
    <row r="21" spans="1:18" ht="30.9" customHeight="1" thickTop="1" thickBot="1">
      <c r="A21" s="176">
        <v>45493</v>
      </c>
      <c r="B21" s="178" t="s">
        <v>486</v>
      </c>
      <c r="C21" s="183">
        <v>560008</v>
      </c>
      <c r="D21" s="183">
        <v>387354</v>
      </c>
      <c r="E21" s="183">
        <f t="shared" si="0"/>
        <v>172654</v>
      </c>
      <c r="F21" s="183">
        <v>-41</v>
      </c>
      <c r="G21" s="183">
        <v>0</v>
      </c>
      <c r="H21" s="221">
        <f t="shared" si="1"/>
        <v>1666788</v>
      </c>
      <c r="I21" s="644" t="s">
        <v>497</v>
      </c>
      <c r="J21" s="644"/>
      <c r="K21" s="644"/>
      <c r="L21" s="644"/>
      <c r="M21" s="644"/>
      <c r="N21" s="644"/>
      <c r="O21" s="653" t="s">
        <v>247</v>
      </c>
      <c r="P21" s="653"/>
      <c r="Q21" s="653"/>
      <c r="R21" s="262">
        <f>SUM(R12:R20)</f>
        <v>0</v>
      </c>
    </row>
    <row r="22" spans="1:18" ht="30.9" customHeight="1" thickTop="1" thickBot="1">
      <c r="A22" s="176">
        <v>45494</v>
      </c>
      <c r="B22" s="178" t="s">
        <v>487</v>
      </c>
      <c r="C22" s="183">
        <v>373995</v>
      </c>
      <c r="D22" s="183">
        <v>401447</v>
      </c>
      <c r="E22" s="183">
        <f t="shared" si="0"/>
        <v>-27452</v>
      </c>
      <c r="F22" s="183">
        <v>-44</v>
      </c>
      <c r="G22" s="183">
        <v>0</v>
      </c>
      <c r="H22" s="221">
        <f t="shared" si="1"/>
        <v>1639292</v>
      </c>
      <c r="I22" s="235" t="s">
        <v>625</v>
      </c>
      <c r="J22" s="222" t="s">
        <v>664</v>
      </c>
      <c r="K22" s="222" t="s">
        <v>142</v>
      </c>
      <c r="L22" s="222" t="s">
        <v>638</v>
      </c>
      <c r="M22" s="222" t="s">
        <v>494</v>
      </c>
      <c r="N22" s="254" t="s">
        <v>247</v>
      </c>
      <c r="O22" s="661"/>
      <c r="P22" s="662"/>
      <c r="Q22" s="662"/>
      <c r="R22" s="662"/>
    </row>
    <row r="23" spans="1:18" ht="30.9" customHeight="1" thickTop="1" thickBot="1">
      <c r="A23" s="176">
        <v>45495</v>
      </c>
      <c r="B23" s="177" t="s">
        <v>488</v>
      </c>
      <c r="C23" s="183">
        <v>346489</v>
      </c>
      <c r="D23" s="183">
        <v>269217</v>
      </c>
      <c r="E23" s="183">
        <f t="shared" si="0"/>
        <v>77272</v>
      </c>
      <c r="F23" s="183">
        <v>0</v>
      </c>
      <c r="G23" s="183">
        <v>0</v>
      </c>
      <c r="H23" s="221">
        <f t="shared" si="1"/>
        <v>1716564</v>
      </c>
      <c r="I23" s="237">
        <v>0</v>
      </c>
      <c r="J23" s="237">
        <v>0</v>
      </c>
      <c r="K23" s="237">
        <v>5750</v>
      </c>
      <c r="L23" s="237">
        <v>10000</v>
      </c>
      <c r="M23" s="237">
        <v>64254</v>
      </c>
      <c r="N23" s="255">
        <f>SUM(J23:M23)</f>
        <v>80004</v>
      </c>
      <c r="O23" s="647" t="s">
        <v>665</v>
      </c>
      <c r="P23" s="647"/>
      <c r="Q23" s="647"/>
      <c r="R23" s="647"/>
    </row>
    <row r="24" spans="1:18" ht="30.9" customHeight="1" thickTop="1" thickBot="1">
      <c r="A24" s="176">
        <v>45496</v>
      </c>
      <c r="B24" s="177" t="s">
        <v>489</v>
      </c>
      <c r="C24" s="183">
        <v>244955</v>
      </c>
      <c r="D24" s="183">
        <v>342840</v>
      </c>
      <c r="E24" s="183">
        <f t="shared" si="0"/>
        <v>-97885</v>
      </c>
      <c r="F24" s="183">
        <v>0</v>
      </c>
      <c r="G24" s="183">
        <v>0</v>
      </c>
      <c r="H24" s="184">
        <f t="shared" si="1"/>
        <v>1618679</v>
      </c>
      <c r="O24" s="656" t="s">
        <v>666</v>
      </c>
      <c r="P24" s="658"/>
      <c r="Q24" s="657"/>
      <c r="R24" s="232"/>
    </row>
    <row r="25" spans="1:18" ht="30.9" customHeight="1" thickTop="1" thickBot="1">
      <c r="A25" s="176">
        <v>45497</v>
      </c>
      <c r="B25" s="177" t="s">
        <v>490</v>
      </c>
      <c r="C25" s="183">
        <v>230412</v>
      </c>
      <c r="D25" s="183">
        <v>502509</v>
      </c>
      <c r="E25" s="183">
        <f t="shared" si="0"/>
        <v>-272097</v>
      </c>
      <c r="F25" s="183">
        <v>47</v>
      </c>
      <c r="G25" s="183">
        <v>0</v>
      </c>
      <c r="H25" s="184">
        <f t="shared" si="1"/>
        <v>1346629</v>
      </c>
      <c r="O25" s="263"/>
      <c r="P25" s="656"/>
      <c r="Q25" s="657"/>
      <c r="R25" s="232"/>
    </row>
    <row r="26" spans="1:18" ht="30.9" customHeight="1" thickTop="1" thickBot="1">
      <c r="A26" s="176">
        <v>45498</v>
      </c>
      <c r="B26" s="177" t="s">
        <v>491</v>
      </c>
      <c r="C26" s="183">
        <v>632059</v>
      </c>
      <c r="D26" s="183">
        <v>375824</v>
      </c>
      <c r="E26" s="183">
        <f t="shared" si="0"/>
        <v>256235</v>
      </c>
      <c r="F26" s="183">
        <v>-87</v>
      </c>
      <c r="G26" s="183">
        <v>0</v>
      </c>
      <c r="H26" s="184">
        <f t="shared" si="1"/>
        <v>1602777</v>
      </c>
      <c r="O26" s="263"/>
      <c r="P26" s="656"/>
      <c r="Q26" s="657"/>
      <c r="R26" s="232"/>
    </row>
    <row r="27" spans="1:18" ht="30.9" customHeight="1" thickTop="1" thickBot="1">
      <c r="A27" s="176">
        <v>45499</v>
      </c>
      <c r="B27" s="178" t="s">
        <v>485</v>
      </c>
      <c r="C27" s="183">
        <v>887598</v>
      </c>
      <c r="D27" s="183">
        <v>244310</v>
      </c>
      <c r="E27" s="183">
        <f t="shared" si="0"/>
        <v>643288</v>
      </c>
      <c r="F27" s="183">
        <v>-644</v>
      </c>
      <c r="G27" s="183">
        <v>0</v>
      </c>
      <c r="H27" s="184">
        <f t="shared" si="1"/>
        <v>2245421</v>
      </c>
      <c r="O27" s="263"/>
      <c r="P27" s="656"/>
      <c r="Q27" s="657"/>
      <c r="R27" s="232"/>
    </row>
    <row r="28" spans="1:18" ht="30.9" customHeight="1" thickTop="1" thickBot="1">
      <c r="A28" s="176">
        <v>45500</v>
      </c>
      <c r="B28" s="178" t="s">
        <v>486</v>
      </c>
      <c r="C28" s="183">
        <v>973829</v>
      </c>
      <c r="D28" s="183">
        <v>329333</v>
      </c>
      <c r="E28" s="183">
        <f t="shared" si="0"/>
        <v>644496</v>
      </c>
      <c r="F28" s="183">
        <v>-474</v>
      </c>
      <c r="G28" s="183">
        <v>0</v>
      </c>
      <c r="H28" s="184">
        <f t="shared" si="1"/>
        <v>2889443</v>
      </c>
      <c r="O28" s="263"/>
      <c r="P28" s="656"/>
      <c r="Q28" s="657"/>
      <c r="R28" s="232"/>
    </row>
    <row r="29" spans="1:18" ht="30.9" customHeight="1" thickTop="1" thickBot="1">
      <c r="A29" s="176">
        <v>45501</v>
      </c>
      <c r="B29" s="178" t="s">
        <v>487</v>
      </c>
      <c r="C29" s="183">
        <v>396596</v>
      </c>
      <c r="D29" s="183">
        <v>647936</v>
      </c>
      <c r="E29" s="183">
        <f t="shared" si="0"/>
        <v>-251340</v>
      </c>
      <c r="F29" s="183">
        <v>-11</v>
      </c>
      <c r="G29" s="183">
        <v>0</v>
      </c>
      <c r="H29" s="184">
        <f t="shared" si="1"/>
        <v>2638092</v>
      </c>
      <c r="O29" s="656" t="s">
        <v>667</v>
      </c>
      <c r="P29" s="658"/>
      <c r="Q29" s="657"/>
      <c r="R29" s="232"/>
    </row>
    <row r="30" spans="1:18" ht="30.9" customHeight="1" thickTop="1" thickBot="1">
      <c r="A30" s="176">
        <v>45502</v>
      </c>
      <c r="B30" s="177" t="s">
        <v>488</v>
      </c>
      <c r="C30" s="183">
        <v>438785</v>
      </c>
      <c r="D30" s="183">
        <v>241385</v>
      </c>
      <c r="E30" s="183">
        <f t="shared" si="0"/>
        <v>197400</v>
      </c>
      <c r="F30" s="183">
        <v>0</v>
      </c>
      <c r="G30" s="183">
        <v>0</v>
      </c>
      <c r="H30" s="184">
        <f t="shared" si="1"/>
        <v>2835492</v>
      </c>
      <c r="O30" s="263"/>
      <c r="P30" s="656"/>
      <c r="Q30" s="657"/>
      <c r="R30" s="232"/>
    </row>
    <row r="31" spans="1:18" ht="30.9" customHeight="1" thickTop="1" thickBot="1">
      <c r="A31" s="176">
        <v>45503</v>
      </c>
      <c r="B31" s="177" t="s">
        <v>489</v>
      </c>
      <c r="C31" s="183">
        <v>361024</v>
      </c>
      <c r="D31" s="183">
        <v>211406</v>
      </c>
      <c r="E31" s="183">
        <f t="shared" si="0"/>
        <v>149618</v>
      </c>
      <c r="F31" s="183">
        <v>-47</v>
      </c>
      <c r="G31" s="183">
        <v>0</v>
      </c>
      <c r="H31" s="184">
        <f>H30+E31+F31</f>
        <v>2985063</v>
      </c>
      <c r="O31" s="232"/>
      <c r="P31" s="659"/>
      <c r="Q31" s="660"/>
      <c r="R31" s="232"/>
    </row>
    <row r="32" spans="1:18" ht="30.9" customHeight="1" thickTop="1" thickBot="1">
      <c r="A32" s="176">
        <v>45504</v>
      </c>
      <c r="B32" s="177" t="s">
        <v>490</v>
      </c>
      <c r="C32" s="183">
        <v>352184</v>
      </c>
      <c r="D32" s="183">
        <v>907280</v>
      </c>
      <c r="E32" s="183">
        <f>C32-D32</f>
        <v>-555096</v>
      </c>
      <c r="F32" s="183">
        <v>-414</v>
      </c>
      <c r="G32" s="183">
        <v>0</v>
      </c>
      <c r="H32" s="184">
        <f t="shared" si="1"/>
        <v>2429553</v>
      </c>
      <c r="O32" s="232"/>
      <c r="P32" s="659"/>
      <c r="Q32" s="660"/>
      <c r="R32" s="232"/>
    </row>
    <row r="33" spans="1:17" ht="30.9" customHeight="1" thickTop="1">
      <c r="A33" s="264"/>
      <c r="B33" s="265"/>
      <c r="C33" s="183">
        <v>0</v>
      </c>
      <c r="D33" s="183">
        <v>150000</v>
      </c>
      <c r="E33" s="183">
        <f>C33-D33</f>
        <v>-150000</v>
      </c>
      <c r="F33" s="183"/>
      <c r="G33" s="183"/>
      <c r="H33" s="184">
        <f t="shared" si="1"/>
        <v>2279553</v>
      </c>
      <c r="P33" s="81"/>
      <c r="Q33" s="81"/>
    </row>
    <row r="34" spans="1:17" ht="45" customHeight="1">
      <c r="A34" s="476" t="s">
        <v>247</v>
      </c>
      <c r="B34" s="477"/>
      <c r="C34" s="145">
        <f>SUM(C2:C33)</f>
        <v>15215209</v>
      </c>
      <c r="D34" s="145">
        <f>SUM(D2:D33)</f>
        <v>12928037</v>
      </c>
      <c r="E34" s="145">
        <f>SUM(E2:E32)</f>
        <v>2437172</v>
      </c>
      <c r="F34" s="145">
        <f>SUM(F2:F32)</f>
        <v>-7619</v>
      </c>
      <c r="G34" s="145">
        <f>SUM(G2:G32)</f>
        <v>0</v>
      </c>
      <c r="H34" s="145">
        <f>C34-D34</f>
        <v>2287172</v>
      </c>
    </row>
    <row r="35" spans="1:17">
      <c r="A35" s="69"/>
    </row>
    <row r="36" spans="1:17">
      <c r="A36" s="69"/>
    </row>
    <row r="37" spans="1:17">
      <c r="A37" s="69"/>
    </row>
    <row r="38" spans="1:17">
      <c r="A38" s="69"/>
    </row>
    <row r="39" spans="1:17">
      <c r="A39" s="69"/>
    </row>
    <row r="40" spans="1:17" ht="21" customHeight="1">
      <c r="A40" s="69"/>
    </row>
    <row r="41" spans="1:17" ht="23.1" customHeight="1">
      <c r="A41" s="69"/>
    </row>
    <row r="42" spans="1:17">
      <c r="A42" s="69"/>
    </row>
    <row r="43" spans="1:17" ht="29.1" customHeight="1">
      <c r="A43" s="69"/>
    </row>
    <row r="44" spans="1:17" ht="15" customHeight="1">
      <c r="A44" s="69"/>
    </row>
    <row r="45" spans="1:17">
      <c r="A45" s="69"/>
    </row>
    <row r="46" spans="1:17">
      <c r="A46" s="69"/>
    </row>
    <row r="47" spans="1:17">
      <c r="A47" s="69"/>
    </row>
    <row r="48" spans="1:17">
      <c r="A48" s="69"/>
    </row>
    <row r="49" spans="1:1">
      <c r="A49" s="69"/>
    </row>
    <row r="50" spans="1:1">
      <c r="A50" s="69"/>
    </row>
    <row r="51" spans="1:1" ht="18.899999999999999" customHeight="1">
      <c r="A51" s="69"/>
    </row>
  </sheetData>
  <mergeCells count="46">
    <mergeCell ref="P30:Q30"/>
    <mergeCell ref="P31:Q31"/>
    <mergeCell ref="P32:Q32"/>
    <mergeCell ref="A34:B34"/>
    <mergeCell ref="I17:N17"/>
    <mergeCell ref="P17:Q17"/>
    <mergeCell ref="O18:Q18"/>
    <mergeCell ref="O19:Q19"/>
    <mergeCell ref="O20:Q20"/>
    <mergeCell ref="I21:N21"/>
    <mergeCell ref="O21:Q21"/>
    <mergeCell ref="O23:R23"/>
    <mergeCell ref="O24:Q24"/>
    <mergeCell ref="P27:Q27"/>
    <mergeCell ref="P28:Q28"/>
    <mergeCell ref="O22:R22"/>
    <mergeCell ref="P25:Q25"/>
    <mergeCell ref="P26:Q26"/>
    <mergeCell ref="O29:Q29"/>
    <mergeCell ref="O12:Q12"/>
    <mergeCell ref="O13:P14"/>
    <mergeCell ref="I14:N14"/>
    <mergeCell ref="O15:O16"/>
    <mergeCell ref="P15:Q15"/>
    <mergeCell ref="I16:K16"/>
    <mergeCell ref="L16:N16"/>
    <mergeCell ref="P16:Q16"/>
    <mergeCell ref="O11:R11"/>
    <mergeCell ref="I4:I5"/>
    <mergeCell ref="M4:N4"/>
    <mergeCell ref="M5:N5"/>
    <mergeCell ref="O5:R5"/>
    <mergeCell ref="I6:N6"/>
    <mergeCell ref="O6:P6"/>
    <mergeCell ref="Q6:R6"/>
    <mergeCell ref="M7:N7"/>
    <mergeCell ref="M8:N8"/>
    <mergeCell ref="J9:N9"/>
    <mergeCell ref="I10:N10"/>
    <mergeCell ref="I11:N11"/>
    <mergeCell ref="M3:N3"/>
    <mergeCell ref="A1:B1"/>
    <mergeCell ref="I1:N1"/>
    <mergeCell ref="O1:R1"/>
    <mergeCell ref="I2:N2"/>
    <mergeCell ref="O2:R2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51355-7E3F-4C01-9597-A1761F1F1251}">
  <dimension ref="A1:R51"/>
  <sheetViews>
    <sheetView zoomScaleNormal="100" workbookViewId="0">
      <selection activeCell="J9" sqref="J9:N9"/>
    </sheetView>
  </sheetViews>
  <sheetFormatPr defaultColWidth="10.6328125" defaultRowHeight="18"/>
  <cols>
    <col min="1" max="1" width="5.90625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8" style="69" customWidth="1"/>
    <col min="7" max="7" width="7.90625" style="69" customWidth="1"/>
    <col min="8" max="8" width="12.453125" style="69" customWidth="1"/>
    <col min="9" max="14" width="11.453125" style="69" customWidth="1"/>
    <col min="15" max="16" width="7" style="69" customWidth="1"/>
    <col min="17" max="17" width="11.453125" style="69" customWidth="1"/>
    <col min="18" max="18" width="21" style="69" customWidth="1"/>
    <col min="19" max="16384" width="10.6328125" style="69"/>
  </cols>
  <sheetData>
    <row r="1" spans="1:18" ht="24" customHeight="1" thickTop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133" t="s">
        <v>463</v>
      </c>
      <c r="H1" s="220" t="s">
        <v>464</v>
      </c>
      <c r="I1" s="663" t="s">
        <v>669</v>
      </c>
      <c r="J1" s="663"/>
      <c r="K1" s="663"/>
      <c r="L1" s="663"/>
      <c r="M1" s="663"/>
      <c r="N1" s="663"/>
      <c r="O1" s="631" t="s">
        <v>642</v>
      </c>
      <c r="P1" s="632"/>
      <c r="Q1" s="632"/>
      <c r="R1" s="632"/>
    </row>
    <row r="2" spans="1:18" ht="30.9" customHeight="1" thickTop="1" thickBot="1">
      <c r="A2" s="176">
        <v>45505</v>
      </c>
      <c r="B2" s="177" t="s">
        <v>491</v>
      </c>
      <c r="C2" s="183">
        <v>241654</v>
      </c>
      <c r="D2" s="183">
        <v>512223</v>
      </c>
      <c r="E2" s="183">
        <f>C2-D2</f>
        <v>-270569</v>
      </c>
      <c r="F2" s="183">
        <v>-845</v>
      </c>
      <c r="G2" s="183">
        <v>0</v>
      </c>
      <c r="H2" s="221">
        <f>E2+F2</f>
        <v>-271414</v>
      </c>
      <c r="I2" s="630" t="s">
        <v>249</v>
      </c>
      <c r="J2" s="630"/>
      <c r="K2" s="630"/>
      <c r="L2" s="630"/>
      <c r="M2" s="630"/>
      <c r="N2" s="630"/>
      <c r="O2" s="627" t="s">
        <v>638</v>
      </c>
      <c r="P2" s="628"/>
      <c r="Q2" s="628"/>
      <c r="R2" s="628"/>
    </row>
    <row r="3" spans="1:18" ht="30.9" customHeight="1" thickTop="1" thickBot="1">
      <c r="A3" s="176">
        <v>45506</v>
      </c>
      <c r="B3" s="178" t="s">
        <v>485</v>
      </c>
      <c r="C3" s="183">
        <v>842537</v>
      </c>
      <c r="D3" s="183">
        <v>668272</v>
      </c>
      <c r="E3" s="183">
        <f t="shared" ref="E3:E31" si="0">C3-D3</f>
        <v>174265</v>
      </c>
      <c r="F3" s="183">
        <v>3</v>
      </c>
      <c r="G3" s="183">
        <v>0</v>
      </c>
      <c r="H3" s="221">
        <f>H2+E3+F3</f>
        <v>-97146</v>
      </c>
      <c r="I3" s="223" t="s">
        <v>247</v>
      </c>
      <c r="J3" s="222" t="s">
        <v>251</v>
      </c>
      <c r="K3" s="222" t="s">
        <v>252</v>
      </c>
      <c r="L3" s="222" t="s">
        <v>449</v>
      </c>
      <c r="M3" s="630" t="s">
        <v>415</v>
      </c>
      <c r="N3" s="630"/>
      <c r="O3" s="246"/>
      <c r="P3" s="247"/>
      <c r="Q3" s="247"/>
      <c r="R3" s="247"/>
    </row>
    <row r="4" spans="1:18" ht="30.9" customHeight="1" thickTop="1" thickBot="1">
      <c r="A4" s="176">
        <v>45507</v>
      </c>
      <c r="B4" s="178" t="s">
        <v>486</v>
      </c>
      <c r="C4" s="183">
        <v>638016</v>
      </c>
      <c r="D4" s="183">
        <v>556053</v>
      </c>
      <c r="E4" s="183">
        <f t="shared" si="0"/>
        <v>81963</v>
      </c>
      <c r="F4" s="183">
        <v>-8</v>
      </c>
      <c r="G4" s="183">
        <v>0</v>
      </c>
      <c r="H4" s="221">
        <f t="shared" ref="H4:H33" si="1">H3+E4+F4</f>
        <v>-15191</v>
      </c>
      <c r="I4" s="635">
        <f>C34</f>
        <v>15855146</v>
      </c>
      <c r="J4" s="224">
        <f>G34</f>
        <v>0</v>
      </c>
      <c r="K4" s="224"/>
      <c r="L4" s="224">
        <f>F34</f>
        <v>-1069</v>
      </c>
      <c r="M4" s="636">
        <v>9763</v>
      </c>
      <c r="N4" s="636"/>
      <c r="O4" s="249"/>
      <c r="P4" s="250"/>
      <c r="Q4" s="250"/>
      <c r="R4" s="250"/>
    </row>
    <row r="5" spans="1:18" ht="30.9" customHeight="1" thickTop="1" thickBot="1">
      <c r="A5" s="176">
        <v>45508</v>
      </c>
      <c r="B5" s="178" t="s">
        <v>487</v>
      </c>
      <c r="C5" s="183">
        <v>391360</v>
      </c>
      <c r="D5" s="183">
        <v>110052</v>
      </c>
      <c r="E5" s="183">
        <f t="shared" si="0"/>
        <v>281308</v>
      </c>
      <c r="F5" s="183">
        <v>-2</v>
      </c>
      <c r="G5" s="183">
        <v>0</v>
      </c>
      <c r="H5" s="221">
        <f t="shared" si="1"/>
        <v>266115</v>
      </c>
      <c r="I5" s="635"/>
      <c r="J5" s="225">
        <f>J4/I4</f>
        <v>0</v>
      </c>
      <c r="K5" s="225">
        <f>K4/I4</f>
        <v>0</v>
      </c>
      <c r="L5" s="226">
        <f>L4/I4</f>
        <v>-6.742290484111594E-5</v>
      </c>
      <c r="M5" s="637">
        <f>M4/I4</f>
        <v>6.1576222634594476E-4</v>
      </c>
      <c r="N5" s="637"/>
      <c r="O5" s="654" t="s">
        <v>639</v>
      </c>
      <c r="P5" s="655"/>
      <c r="Q5" s="655"/>
      <c r="R5" s="655"/>
    </row>
    <row r="6" spans="1:18" ht="30.9" customHeight="1" thickTop="1" thickBot="1">
      <c r="A6" s="176">
        <v>45509</v>
      </c>
      <c r="B6" s="177" t="s">
        <v>488</v>
      </c>
      <c r="C6" s="183">
        <v>9433</v>
      </c>
      <c r="D6" s="183">
        <v>33399</v>
      </c>
      <c r="E6" s="183">
        <f t="shared" si="0"/>
        <v>-23966</v>
      </c>
      <c r="F6" s="183">
        <v>0</v>
      </c>
      <c r="G6" s="183">
        <v>0</v>
      </c>
      <c r="H6" s="221">
        <f t="shared" si="1"/>
        <v>242149</v>
      </c>
      <c r="I6" s="630" t="s">
        <v>250</v>
      </c>
      <c r="J6" s="630"/>
      <c r="K6" s="630"/>
      <c r="L6" s="630"/>
      <c r="M6" s="630"/>
      <c r="N6" s="630"/>
      <c r="O6" s="630" t="s">
        <v>231</v>
      </c>
      <c r="P6" s="630"/>
      <c r="Q6" s="490"/>
      <c r="R6" s="490"/>
    </row>
    <row r="7" spans="1:18" ht="30.9" customHeight="1" thickTop="1" thickBot="1">
      <c r="A7" s="176">
        <v>45510</v>
      </c>
      <c r="B7" s="177" t="s">
        <v>489</v>
      </c>
      <c r="C7" s="183">
        <v>360808</v>
      </c>
      <c r="D7" s="183">
        <v>403902</v>
      </c>
      <c r="E7" s="183">
        <f t="shared" si="0"/>
        <v>-43094</v>
      </c>
      <c r="F7" s="183">
        <v>0</v>
      </c>
      <c r="G7" s="183">
        <v>0</v>
      </c>
      <c r="H7" s="221">
        <f t="shared" si="1"/>
        <v>199055</v>
      </c>
      <c r="I7" s="222" t="s">
        <v>241</v>
      </c>
      <c r="J7" s="222" t="s">
        <v>253</v>
      </c>
      <c r="K7" s="227" t="s">
        <v>624</v>
      </c>
      <c r="L7" s="222"/>
      <c r="M7" s="638" t="s">
        <v>247</v>
      </c>
      <c r="N7" s="638"/>
      <c r="O7" s="242" t="s">
        <v>640</v>
      </c>
      <c r="P7" s="243">
        <f>I13</f>
        <v>300000</v>
      </c>
    </row>
    <row r="8" spans="1:18" ht="30.9" customHeight="1" thickTop="1" thickBot="1">
      <c r="A8" s="176">
        <v>45511</v>
      </c>
      <c r="B8" s="177" t="s">
        <v>490</v>
      </c>
      <c r="C8" s="183">
        <v>321655</v>
      </c>
      <c r="D8" s="183">
        <v>694073</v>
      </c>
      <c r="E8" s="183">
        <f t="shared" si="0"/>
        <v>-372418</v>
      </c>
      <c r="F8" s="183">
        <v>-54</v>
      </c>
      <c r="G8" s="183">
        <v>0</v>
      </c>
      <c r="H8" s="221">
        <f t="shared" si="1"/>
        <v>-173417</v>
      </c>
      <c r="I8" s="228">
        <f>D34</f>
        <v>13948130</v>
      </c>
      <c r="J8" s="229">
        <f>L16</f>
        <v>858500</v>
      </c>
      <c r="K8" s="230">
        <f>N19</f>
        <v>95492</v>
      </c>
      <c r="L8" s="229"/>
      <c r="M8" s="639">
        <f>SUM(I8:L8)</f>
        <v>14902122</v>
      </c>
      <c r="N8" s="639"/>
      <c r="O8" s="242" t="s">
        <v>641</v>
      </c>
      <c r="P8" s="243">
        <v>55000</v>
      </c>
    </row>
    <row r="9" spans="1:18" ht="30.9" customHeight="1" thickTop="1" thickBot="1">
      <c r="A9" s="176">
        <v>45512</v>
      </c>
      <c r="B9" s="177" t="s">
        <v>491</v>
      </c>
      <c r="C9" s="183">
        <v>592359</v>
      </c>
      <c r="D9" s="183">
        <v>553004</v>
      </c>
      <c r="E9" s="183">
        <f t="shared" si="0"/>
        <v>39355</v>
      </c>
      <c r="F9" s="183">
        <v>-12</v>
      </c>
      <c r="G9" s="183">
        <v>0</v>
      </c>
      <c r="H9" s="221">
        <f t="shared" si="1"/>
        <v>-134074</v>
      </c>
      <c r="I9" s="231" t="s">
        <v>266</v>
      </c>
      <c r="J9" s="623">
        <f>I4-M8-M4+L4</f>
        <v>942192</v>
      </c>
      <c r="K9" s="623"/>
      <c r="L9" s="623"/>
      <c r="M9" s="623"/>
      <c r="N9" s="623"/>
      <c r="O9" s="241" t="s">
        <v>495</v>
      </c>
      <c r="P9" s="243">
        <v>35000</v>
      </c>
    </row>
    <row r="10" spans="1:18" ht="30.9" customHeight="1" thickTop="1" thickBot="1">
      <c r="A10" s="176">
        <v>45513</v>
      </c>
      <c r="B10" s="178" t="s">
        <v>485</v>
      </c>
      <c r="C10" s="183">
        <v>922656</v>
      </c>
      <c r="D10" s="183">
        <v>316092</v>
      </c>
      <c r="E10" s="183">
        <f t="shared" si="0"/>
        <v>606564</v>
      </c>
      <c r="F10" s="183">
        <v>0</v>
      </c>
      <c r="G10" s="183">
        <v>0</v>
      </c>
      <c r="H10" s="221">
        <f t="shared" si="1"/>
        <v>472490</v>
      </c>
      <c r="I10" s="640" t="s">
        <v>257</v>
      </c>
      <c r="J10" s="640"/>
      <c r="K10" s="640"/>
      <c r="L10" s="640"/>
      <c r="M10" s="640"/>
      <c r="N10" s="640"/>
      <c r="O10" s="244" t="s">
        <v>73</v>
      </c>
      <c r="P10" s="245">
        <f>SUM(P7:P9)</f>
        <v>390000</v>
      </c>
      <c r="Q10" s="252"/>
      <c r="R10" s="252"/>
    </row>
    <row r="11" spans="1:18" ht="30.9" customHeight="1" thickTop="1" thickBot="1">
      <c r="A11" s="176">
        <v>45514</v>
      </c>
      <c r="B11" s="178" t="s">
        <v>486</v>
      </c>
      <c r="C11" s="183">
        <v>990424</v>
      </c>
      <c r="D11" s="183">
        <v>506362</v>
      </c>
      <c r="E11" s="183">
        <f t="shared" si="0"/>
        <v>484062</v>
      </c>
      <c r="F11" s="183">
        <v>-12</v>
      </c>
      <c r="G11" s="183">
        <v>0</v>
      </c>
      <c r="H11" s="221">
        <f>H10+E11+F11</f>
        <v>956540</v>
      </c>
      <c r="I11" s="634" t="s">
        <v>477</v>
      </c>
      <c r="J11" s="634"/>
      <c r="K11" s="634"/>
      <c r="L11" s="634"/>
      <c r="M11" s="634"/>
      <c r="N11" s="651"/>
      <c r="O11" s="647" t="s">
        <v>643</v>
      </c>
      <c r="P11" s="647"/>
      <c r="Q11" s="647"/>
      <c r="R11" s="647"/>
    </row>
    <row r="12" spans="1:18" ht="30.9" customHeight="1" thickTop="1" thickBot="1">
      <c r="A12" s="176">
        <v>45515</v>
      </c>
      <c r="B12" s="178" t="s">
        <v>487</v>
      </c>
      <c r="C12" s="183">
        <v>568069</v>
      </c>
      <c r="D12" s="183">
        <v>908158</v>
      </c>
      <c r="E12" s="183">
        <f t="shared" si="0"/>
        <v>-340089</v>
      </c>
      <c r="F12" s="183">
        <v>4</v>
      </c>
      <c r="G12" s="183">
        <v>0</v>
      </c>
      <c r="H12" s="221">
        <f t="shared" si="1"/>
        <v>616455</v>
      </c>
      <c r="I12" s="232" t="s">
        <v>478</v>
      </c>
      <c r="J12" s="229" t="s">
        <v>479</v>
      </c>
      <c r="K12" s="229" t="s">
        <v>480</v>
      </c>
      <c r="L12" s="229" t="s">
        <v>455</v>
      </c>
      <c r="M12" s="229" t="s">
        <v>468</v>
      </c>
      <c r="N12" s="258" t="s">
        <v>230</v>
      </c>
      <c r="O12" s="650" t="s">
        <v>644</v>
      </c>
      <c r="P12" s="650"/>
      <c r="Q12" s="650"/>
      <c r="R12" s="232"/>
    </row>
    <row r="13" spans="1:18" ht="30.9" customHeight="1" thickTop="1" thickBot="1">
      <c r="A13" s="176">
        <v>45516</v>
      </c>
      <c r="B13" s="177" t="s">
        <v>488</v>
      </c>
      <c r="C13" s="183">
        <v>556491</v>
      </c>
      <c r="D13" s="183">
        <v>388598</v>
      </c>
      <c r="E13" s="183">
        <f t="shared" si="0"/>
        <v>167893</v>
      </c>
      <c r="F13" s="183">
        <v>-7</v>
      </c>
      <c r="G13" s="183">
        <v>0</v>
      </c>
      <c r="H13" s="221">
        <f t="shared" si="1"/>
        <v>784341</v>
      </c>
      <c r="I13" s="233">
        <v>300000</v>
      </c>
      <c r="J13" s="229">
        <v>74500</v>
      </c>
      <c r="K13" s="229">
        <v>137500</v>
      </c>
      <c r="L13" s="229">
        <v>0</v>
      </c>
      <c r="M13" s="229">
        <v>54500</v>
      </c>
      <c r="N13" s="229">
        <v>202000</v>
      </c>
      <c r="O13" s="650" t="s">
        <v>645</v>
      </c>
      <c r="P13" s="650"/>
      <c r="Q13" s="261" t="s">
        <v>646</v>
      </c>
      <c r="R13" s="232"/>
    </row>
    <row r="14" spans="1:18" ht="30.9" customHeight="1" thickTop="1" thickBot="1">
      <c r="A14" s="176">
        <v>45517</v>
      </c>
      <c r="B14" s="177" t="s">
        <v>489</v>
      </c>
      <c r="C14" s="183">
        <v>325783</v>
      </c>
      <c r="D14" s="183">
        <v>471128</v>
      </c>
      <c r="E14" s="183">
        <f t="shared" si="0"/>
        <v>-145345</v>
      </c>
      <c r="F14" s="183">
        <v>0</v>
      </c>
      <c r="G14" s="183">
        <v>0</v>
      </c>
      <c r="H14" s="221">
        <f t="shared" si="1"/>
        <v>638996</v>
      </c>
      <c r="I14" s="634" t="s">
        <v>481</v>
      </c>
      <c r="J14" s="634"/>
      <c r="K14" s="634"/>
      <c r="L14" s="634"/>
      <c r="M14" s="634"/>
      <c r="N14" s="651"/>
      <c r="O14" s="650"/>
      <c r="P14" s="650"/>
      <c r="Q14" s="261" t="s">
        <v>647</v>
      </c>
      <c r="R14" s="232"/>
    </row>
    <row r="15" spans="1:18" ht="30.9" customHeight="1" thickTop="1" thickBot="1">
      <c r="A15" s="176">
        <v>45518</v>
      </c>
      <c r="B15" s="177" t="s">
        <v>490</v>
      </c>
      <c r="C15" s="183">
        <v>624046</v>
      </c>
      <c r="D15" s="183">
        <v>401925</v>
      </c>
      <c r="E15" s="183">
        <f t="shared" si="0"/>
        <v>222121</v>
      </c>
      <c r="F15" s="183">
        <v>0</v>
      </c>
      <c r="G15" s="183">
        <v>0</v>
      </c>
      <c r="H15" s="221">
        <f t="shared" si="1"/>
        <v>861117</v>
      </c>
      <c r="I15" s="234">
        <v>0</v>
      </c>
      <c r="J15" s="234"/>
      <c r="K15" s="234"/>
      <c r="L15" s="234"/>
      <c r="M15" s="234"/>
      <c r="N15" s="260"/>
      <c r="O15" s="650" t="s">
        <v>648</v>
      </c>
      <c r="P15" s="650" t="s">
        <v>649</v>
      </c>
      <c r="Q15" s="650"/>
      <c r="R15" s="232"/>
    </row>
    <row r="16" spans="1:18" ht="30.9" customHeight="1" thickTop="1" thickBot="1">
      <c r="A16" s="176">
        <v>45519</v>
      </c>
      <c r="B16" s="177" t="s">
        <v>491</v>
      </c>
      <c r="C16" s="183">
        <v>476878</v>
      </c>
      <c r="D16" s="183">
        <v>398122</v>
      </c>
      <c r="E16" s="183">
        <f t="shared" si="0"/>
        <v>78756</v>
      </c>
      <c r="F16" s="183">
        <v>2</v>
      </c>
      <c r="G16" s="183">
        <v>0</v>
      </c>
      <c r="H16" s="221">
        <f t="shared" si="1"/>
        <v>939875</v>
      </c>
      <c r="I16" s="641" t="s">
        <v>247</v>
      </c>
      <c r="J16" s="641"/>
      <c r="K16" s="641"/>
      <c r="L16" s="642">
        <f>SUM(J13:N13)+SUM(I15:N15)+P10</f>
        <v>858500</v>
      </c>
      <c r="M16" s="642"/>
      <c r="N16" s="648"/>
      <c r="O16" s="650"/>
      <c r="P16" s="650" t="s">
        <v>650</v>
      </c>
      <c r="Q16" s="650"/>
      <c r="R16" s="232"/>
    </row>
    <row r="17" spans="1:18" ht="30.9" customHeight="1" thickTop="1" thickBot="1">
      <c r="A17" s="176">
        <v>45520</v>
      </c>
      <c r="B17" s="178" t="s">
        <v>485</v>
      </c>
      <c r="C17" s="183">
        <v>626962</v>
      </c>
      <c r="D17" s="183">
        <v>310764</v>
      </c>
      <c r="E17" s="183">
        <f t="shared" si="0"/>
        <v>316198</v>
      </c>
      <c r="F17" s="183">
        <v>-7</v>
      </c>
      <c r="G17" s="183">
        <v>0</v>
      </c>
      <c r="H17" s="221">
        <f t="shared" si="1"/>
        <v>1256066</v>
      </c>
      <c r="I17" s="643" t="s">
        <v>482</v>
      </c>
      <c r="J17" s="643"/>
      <c r="K17" s="643"/>
      <c r="L17" s="643"/>
      <c r="M17" s="643"/>
      <c r="N17" s="649"/>
      <c r="O17" s="261" t="s">
        <v>651</v>
      </c>
      <c r="P17" s="650" t="s">
        <v>652</v>
      </c>
      <c r="Q17" s="650"/>
      <c r="R17" s="232"/>
    </row>
    <row r="18" spans="1:18" ht="30.9" customHeight="1" thickTop="1" thickBot="1">
      <c r="A18" s="176">
        <v>45521</v>
      </c>
      <c r="B18" s="178" t="s">
        <v>486</v>
      </c>
      <c r="C18" s="183">
        <v>609664</v>
      </c>
      <c r="D18" s="183">
        <v>618543</v>
      </c>
      <c r="E18" s="183">
        <f t="shared" si="0"/>
        <v>-8879</v>
      </c>
      <c r="F18" s="183">
        <v>0</v>
      </c>
      <c r="G18" s="183">
        <v>0</v>
      </c>
      <c r="H18" s="221">
        <f t="shared" si="1"/>
        <v>1247187</v>
      </c>
      <c r="I18" s="222"/>
      <c r="J18" s="235"/>
      <c r="K18" s="222"/>
      <c r="L18" s="222"/>
      <c r="M18" s="236" t="s">
        <v>498</v>
      </c>
      <c r="N18" s="256" t="s">
        <v>247</v>
      </c>
      <c r="O18" s="650" t="s">
        <v>653</v>
      </c>
      <c r="P18" s="650"/>
      <c r="Q18" s="650"/>
      <c r="R18" s="232"/>
    </row>
    <row r="19" spans="1:18" ht="30.9" customHeight="1" thickTop="1" thickBot="1">
      <c r="A19" s="176">
        <v>45522</v>
      </c>
      <c r="B19" s="178" t="s">
        <v>487</v>
      </c>
      <c r="C19" s="183">
        <v>315979</v>
      </c>
      <c r="D19" s="183">
        <v>487796</v>
      </c>
      <c r="E19" s="183">
        <f t="shared" si="0"/>
        <v>-171817</v>
      </c>
      <c r="F19" s="183">
        <v>0</v>
      </c>
      <c r="G19" s="183">
        <v>0</v>
      </c>
      <c r="H19" s="221">
        <f>H18+E19+F19</f>
        <v>1075370</v>
      </c>
      <c r="I19" s="237"/>
      <c r="J19" s="237"/>
      <c r="K19" s="237"/>
      <c r="L19" s="237"/>
      <c r="M19" s="238">
        <f>N23</f>
        <v>95492</v>
      </c>
      <c r="N19" s="257">
        <f>SUM(I19:M19)</f>
        <v>95492</v>
      </c>
      <c r="O19" s="652" t="s">
        <v>654</v>
      </c>
      <c r="P19" s="652"/>
      <c r="Q19" s="652"/>
      <c r="R19" s="232"/>
    </row>
    <row r="20" spans="1:18" ht="30.9" customHeight="1" thickTop="1" thickBot="1">
      <c r="A20" s="176">
        <v>45523</v>
      </c>
      <c r="B20" s="177" t="s">
        <v>488</v>
      </c>
      <c r="C20" s="183">
        <v>323976</v>
      </c>
      <c r="D20" s="183">
        <v>465375</v>
      </c>
      <c r="E20" s="183">
        <f t="shared" si="0"/>
        <v>-141399</v>
      </c>
      <c r="F20" s="183">
        <v>0</v>
      </c>
      <c r="G20" s="183">
        <v>0</v>
      </c>
      <c r="H20" s="221">
        <f t="shared" si="1"/>
        <v>933971</v>
      </c>
      <c r="I20" s="232"/>
      <c r="J20" s="232"/>
      <c r="K20" s="232"/>
      <c r="L20" s="232"/>
      <c r="M20" s="232"/>
      <c r="N20" s="232"/>
      <c r="O20" s="652" t="s">
        <v>655</v>
      </c>
      <c r="P20" s="652"/>
      <c r="Q20" s="652"/>
      <c r="R20" s="232"/>
    </row>
    <row r="21" spans="1:18" ht="30.9" customHeight="1" thickTop="1" thickBot="1">
      <c r="A21" s="176">
        <v>45524</v>
      </c>
      <c r="B21" s="177" t="s">
        <v>489</v>
      </c>
      <c r="C21" s="183">
        <v>479823</v>
      </c>
      <c r="D21" s="183">
        <v>54511</v>
      </c>
      <c r="E21" s="183">
        <f t="shared" si="0"/>
        <v>425312</v>
      </c>
      <c r="F21" s="183">
        <v>-14</v>
      </c>
      <c r="G21" s="183">
        <v>0</v>
      </c>
      <c r="H21" s="221">
        <f t="shared" si="1"/>
        <v>1359269</v>
      </c>
      <c r="I21" s="644" t="s">
        <v>497</v>
      </c>
      <c r="J21" s="644"/>
      <c r="K21" s="644"/>
      <c r="L21" s="644"/>
      <c r="M21" s="644"/>
      <c r="N21" s="644"/>
      <c r="O21" s="653" t="s">
        <v>247</v>
      </c>
      <c r="P21" s="653"/>
      <c r="Q21" s="653"/>
      <c r="R21" s="262">
        <f>SUM(R12:R20)</f>
        <v>0</v>
      </c>
    </row>
    <row r="22" spans="1:18" ht="30.9" customHeight="1" thickTop="1" thickBot="1">
      <c r="A22" s="176">
        <v>45525</v>
      </c>
      <c r="B22" s="177" t="s">
        <v>490</v>
      </c>
      <c r="C22" s="183">
        <v>265350</v>
      </c>
      <c r="D22" s="183">
        <v>597168</v>
      </c>
      <c r="E22" s="183">
        <f t="shared" si="0"/>
        <v>-331818</v>
      </c>
      <c r="F22" s="183">
        <v>0</v>
      </c>
      <c r="G22" s="183">
        <v>0</v>
      </c>
      <c r="H22" s="221">
        <f t="shared" si="1"/>
        <v>1027451</v>
      </c>
      <c r="I22" s="235" t="s">
        <v>625</v>
      </c>
      <c r="J22" s="222" t="s">
        <v>664</v>
      </c>
      <c r="K22" s="222" t="s">
        <v>142</v>
      </c>
      <c r="L22" s="222" t="s">
        <v>638</v>
      </c>
      <c r="M22" s="222" t="s">
        <v>494</v>
      </c>
      <c r="N22" s="254" t="s">
        <v>247</v>
      </c>
      <c r="O22" s="661"/>
      <c r="P22" s="662"/>
      <c r="Q22" s="662"/>
      <c r="R22" s="662"/>
    </row>
    <row r="23" spans="1:18" ht="30.9" customHeight="1" thickTop="1" thickBot="1">
      <c r="A23" s="176">
        <v>45526</v>
      </c>
      <c r="B23" s="177" t="s">
        <v>491</v>
      </c>
      <c r="C23" s="183">
        <v>546590</v>
      </c>
      <c r="D23" s="183">
        <v>344122</v>
      </c>
      <c r="E23" s="183">
        <f t="shared" si="0"/>
        <v>202468</v>
      </c>
      <c r="F23" s="183">
        <v>0</v>
      </c>
      <c r="G23" s="183">
        <v>0</v>
      </c>
      <c r="H23" s="221">
        <f t="shared" si="1"/>
        <v>1229919</v>
      </c>
      <c r="I23" s="237">
        <v>0</v>
      </c>
      <c r="J23" s="237">
        <v>0</v>
      </c>
      <c r="K23" s="237">
        <v>5750</v>
      </c>
      <c r="L23" s="237">
        <v>10000</v>
      </c>
      <c r="M23" s="237">
        <v>79742</v>
      </c>
      <c r="N23" s="255">
        <f>SUM(J23:M23)</f>
        <v>95492</v>
      </c>
      <c r="O23" s="647" t="s">
        <v>665</v>
      </c>
      <c r="P23" s="647"/>
      <c r="Q23" s="647"/>
      <c r="R23" s="647"/>
    </row>
    <row r="24" spans="1:18" ht="30.9" customHeight="1" thickTop="1" thickBot="1">
      <c r="A24" s="176">
        <v>45527</v>
      </c>
      <c r="B24" s="178" t="s">
        <v>485</v>
      </c>
      <c r="C24" s="183">
        <v>990436</v>
      </c>
      <c r="D24" s="183">
        <v>445455</v>
      </c>
      <c r="E24" s="183">
        <f t="shared" si="0"/>
        <v>544981</v>
      </c>
      <c r="F24" s="183">
        <v>8</v>
      </c>
      <c r="G24" s="183">
        <v>0</v>
      </c>
      <c r="H24" s="184">
        <f t="shared" si="1"/>
        <v>1774908</v>
      </c>
      <c r="O24" s="656" t="s">
        <v>666</v>
      </c>
      <c r="P24" s="658"/>
      <c r="Q24" s="657"/>
      <c r="R24" s="232"/>
    </row>
    <row r="25" spans="1:18" ht="30.9" customHeight="1" thickTop="1" thickBot="1">
      <c r="A25" s="176">
        <v>45528</v>
      </c>
      <c r="B25" s="178" t="s">
        <v>486</v>
      </c>
      <c r="C25" s="183">
        <v>995391</v>
      </c>
      <c r="D25" s="183">
        <v>519691</v>
      </c>
      <c r="E25" s="183">
        <f t="shared" si="0"/>
        <v>475700</v>
      </c>
      <c r="F25" s="183">
        <v>0</v>
      </c>
      <c r="G25" s="183">
        <v>0</v>
      </c>
      <c r="H25" s="184">
        <f t="shared" si="1"/>
        <v>2250608</v>
      </c>
      <c r="O25" s="263"/>
      <c r="P25" s="656"/>
      <c r="Q25" s="657"/>
      <c r="R25" s="232"/>
    </row>
    <row r="26" spans="1:18" ht="30.9" customHeight="1" thickTop="1" thickBot="1">
      <c r="A26" s="176">
        <v>45529</v>
      </c>
      <c r="B26" s="178" t="s">
        <v>487</v>
      </c>
      <c r="C26" s="183">
        <v>312176</v>
      </c>
      <c r="D26" s="183">
        <v>250777</v>
      </c>
      <c r="E26" s="183">
        <f t="shared" si="0"/>
        <v>61399</v>
      </c>
      <c r="F26" s="183">
        <v>-84</v>
      </c>
      <c r="G26" s="183">
        <v>0</v>
      </c>
      <c r="H26" s="184">
        <f t="shared" si="1"/>
        <v>2311923</v>
      </c>
      <c r="O26" s="263"/>
      <c r="P26" s="656"/>
      <c r="Q26" s="657"/>
      <c r="R26" s="232"/>
    </row>
    <row r="27" spans="1:18" ht="30.9" customHeight="1" thickTop="1" thickBot="1">
      <c r="A27" s="176">
        <v>45530</v>
      </c>
      <c r="B27" s="177" t="s">
        <v>488</v>
      </c>
      <c r="C27" s="183">
        <v>319145</v>
      </c>
      <c r="D27" s="183">
        <v>360381</v>
      </c>
      <c r="E27" s="183">
        <f t="shared" si="0"/>
        <v>-41236</v>
      </c>
      <c r="F27" s="183">
        <v>0</v>
      </c>
      <c r="G27" s="183">
        <v>0</v>
      </c>
      <c r="H27" s="184">
        <f t="shared" si="1"/>
        <v>2270687</v>
      </c>
      <c r="O27" s="263"/>
      <c r="P27" s="656"/>
      <c r="Q27" s="657"/>
      <c r="R27" s="232"/>
    </row>
    <row r="28" spans="1:18" ht="30.9" customHeight="1" thickTop="1" thickBot="1">
      <c r="A28" s="176">
        <v>45531</v>
      </c>
      <c r="B28" s="177" t="s">
        <v>489</v>
      </c>
      <c r="C28" s="183">
        <v>342559</v>
      </c>
      <c r="D28" s="183">
        <v>888574</v>
      </c>
      <c r="E28" s="183">
        <f t="shared" si="0"/>
        <v>-546015</v>
      </c>
      <c r="F28" s="183">
        <v>0</v>
      </c>
      <c r="G28" s="183">
        <v>0</v>
      </c>
      <c r="H28" s="184">
        <f t="shared" si="1"/>
        <v>1724672</v>
      </c>
      <c r="O28" s="263"/>
      <c r="P28" s="656"/>
      <c r="Q28" s="657"/>
      <c r="R28" s="232"/>
    </row>
    <row r="29" spans="1:18" ht="30.9" customHeight="1" thickTop="1" thickBot="1">
      <c r="A29" s="176">
        <v>45532</v>
      </c>
      <c r="B29" s="177" t="s">
        <v>490</v>
      </c>
      <c r="C29" s="183">
        <v>382551</v>
      </c>
      <c r="D29" s="183">
        <v>629275</v>
      </c>
      <c r="E29" s="183">
        <f t="shared" si="0"/>
        <v>-246724</v>
      </c>
      <c r="F29" s="183">
        <v>0</v>
      </c>
      <c r="G29" s="183">
        <v>0</v>
      </c>
      <c r="H29" s="184">
        <f t="shared" si="1"/>
        <v>1477948</v>
      </c>
      <c r="O29" s="656" t="s">
        <v>667</v>
      </c>
      <c r="P29" s="658"/>
      <c r="Q29" s="657"/>
      <c r="R29" s="232"/>
    </row>
    <row r="30" spans="1:18" ht="30.9" customHeight="1" thickTop="1" thickBot="1">
      <c r="A30" s="176">
        <v>45533</v>
      </c>
      <c r="B30" s="177" t="s">
        <v>491</v>
      </c>
      <c r="C30" s="183">
        <v>6657</v>
      </c>
      <c r="D30" s="183">
        <v>0</v>
      </c>
      <c r="E30" s="183">
        <f t="shared" si="0"/>
        <v>6657</v>
      </c>
      <c r="F30" s="183">
        <v>0</v>
      </c>
      <c r="G30" s="183">
        <v>0</v>
      </c>
      <c r="H30" s="184">
        <f t="shared" si="1"/>
        <v>1484605</v>
      </c>
      <c r="O30" s="263"/>
      <c r="P30" s="656"/>
      <c r="Q30" s="657"/>
      <c r="R30" s="232"/>
    </row>
    <row r="31" spans="1:18" ht="30.9" customHeight="1" thickTop="1" thickBot="1">
      <c r="A31" s="176">
        <v>45534</v>
      </c>
      <c r="B31" s="178" t="s">
        <v>485</v>
      </c>
      <c r="C31" s="183">
        <v>679048</v>
      </c>
      <c r="D31" s="183">
        <v>244643</v>
      </c>
      <c r="E31" s="183">
        <f t="shared" si="0"/>
        <v>434405</v>
      </c>
      <c r="F31" s="183">
        <v>-17</v>
      </c>
      <c r="G31" s="183">
        <v>0</v>
      </c>
      <c r="H31" s="184">
        <f>H30+E31+F31</f>
        <v>1918993</v>
      </c>
      <c r="O31" s="232"/>
      <c r="P31" s="659"/>
      <c r="Q31" s="660"/>
      <c r="R31" s="232"/>
    </row>
    <row r="32" spans="1:18" ht="30.9" customHeight="1" thickTop="1" thickBot="1">
      <c r="A32" s="176">
        <v>45535</v>
      </c>
      <c r="B32" s="178" t="s">
        <v>486</v>
      </c>
      <c r="C32" s="183">
        <v>796670</v>
      </c>
      <c r="D32" s="183">
        <v>699692</v>
      </c>
      <c r="E32" s="183">
        <f>C32-D32</f>
        <v>96978</v>
      </c>
      <c r="F32" s="183">
        <v>-24</v>
      </c>
      <c r="G32" s="183">
        <v>0</v>
      </c>
      <c r="H32" s="184">
        <f t="shared" si="1"/>
        <v>2015947</v>
      </c>
      <c r="O32" s="232"/>
      <c r="P32" s="659"/>
      <c r="Q32" s="660"/>
      <c r="R32" s="232"/>
    </row>
    <row r="33" spans="1:17" ht="30.9" customHeight="1" thickTop="1">
      <c r="A33" s="264"/>
      <c r="B33" s="265"/>
      <c r="C33" s="183">
        <v>0</v>
      </c>
      <c r="D33" s="183">
        <v>110000</v>
      </c>
      <c r="E33" s="183">
        <f>C33-D33</f>
        <v>-110000</v>
      </c>
      <c r="F33" s="183"/>
      <c r="G33" s="183"/>
      <c r="H33" s="184">
        <f t="shared" si="1"/>
        <v>1905947</v>
      </c>
      <c r="P33" s="81"/>
      <c r="Q33" s="81"/>
    </row>
    <row r="34" spans="1:17" ht="45" customHeight="1">
      <c r="A34" s="476" t="s">
        <v>247</v>
      </c>
      <c r="B34" s="477"/>
      <c r="C34" s="145">
        <f>SUM(C2:C33)</f>
        <v>15855146</v>
      </c>
      <c r="D34" s="145">
        <f>SUM(D2:D33)</f>
        <v>13948130</v>
      </c>
      <c r="E34" s="145">
        <f>SUM(E2:E32)</f>
        <v>2017016</v>
      </c>
      <c r="F34" s="145">
        <f>SUM(F2:F32)</f>
        <v>-1069</v>
      </c>
      <c r="G34" s="145">
        <f>SUM(G2:G32)</f>
        <v>0</v>
      </c>
      <c r="H34" s="145">
        <f>C34-D34</f>
        <v>1907016</v>
      </c>
    </row>
    <row r="35" spans="1:17">
      <c r="A35" s="69"/>
    </row>
    <row r="36" spans="1:17">
      <c r="A36" s="69"/>
    </row>
    <row r="37" spans="1:17">
      <c r="A37" s="69"/>
    </row>
    <row r="38" spans="1:17">
      <c r="A38" s="69"/>
    </row>
    <row r="39" spans="1:17">
      <c r="A39" s="69"/>
    </row>
    <row r="40" spans="1:17" ht="21" customHeight="1">
      <c r="A40" s="69"/>
    </row>
    <row r="41" spans="1:17" ht="23.1" customHeight="1">
      <c r="A41" s="69"/>
    </row>
    <row r="42" spans="1:17">
      <c r="A42" s="69"/>
    </row>
    <row r="43" spans="1:17" ht="29.1" customHeight="1">
      <c r="A43" s="69"/>
    </row>
    <row r="44" spans="1:17" ht="15" customHeight="1">
      <c r="A44" s="69"/>
    </row>
    <row r="45" spans="1:17">
      <c r="A45" s="69"/>
    </row>
    <row r="46" spans="1:17">
      <c r="A46" s="69"/>
    </row>
    <row r="47" spans="1:17">
      <c r="A47" s="69"/>
    </row>
    <row r="48" spans="1:17">
      <c r="A48" s="69"/>
    </row>
    <row r="49" spans="1:1">
      <c r="A49" s="69"/>
    </row>
    <row r="50" spans="1:1">
      <c r="A50" s="69"/>
    </row>
    <row r="51" spans="1:1" ht="18.899999999999999" customHeight="1">
      <c r="A51" s="69"/>
    </row>
  </sheetData>
  <mergeCells count="46">
    <mergeCell ref="A34:B34"/>
    <mergeCell ref="O22:R22"/>
    <mergeCell ref="O23:R23"/>
    <mergeCell ref="O24:Q24"/>
    <mergeCell ref="P25:Q25"/>
    <mergeCell ref="P26:Q26"/>
    <mergeCell ref="P27:Q27"/>
    <mergeCell ref="P28:Q28"/>
    <mergeCell ref="O29:Q29"/>
    <mergeCell ref="P30:Q30"/>
    <mergeCell ref="P31:Q31"/>
    <mergeCell ref="P32:Q32"/>
    <mergeCell ref="I21:N21"/>
    <mergeCell ref="O21:Q21"/>
    <mergeCell ref="O12:Q12"/>
    <mergeCell ref="O13:P14"/>
    <mergeCell ref="I14:N14"/>
    <mergeCell ref="O15:O16"/>
    <mergeCell ref="P15:Q15"/>
    <mergeCell ref="I16:K16"/>
    <mergeCell ref="L16:N16"/>
    <mergeCell ref="P16:Q16"/>
    <mergeCell ref="I17:N17"/>
    <mergeCell ref="P17:Q17"/>
    <mergeCell ref="O18:Q18"/>
    <mergeCell ref="O19:Q19"/>
    <mergeCell ref="O20:Q20"/>
    <mergeCell ref="O11:R11"/>
    <mergeCell ref="I4:I5"/>
    <mergeCell ref="M4:N4"/>
    <mergeCell ref="M5:N5"/>
    <mergeCell ref="O5:R5"/>
    <mergeCell ref="I6:N6"/>
    <mergeCell ref="O6:P6"/>
    <mergeCell ref="Q6:R6"/>
    <mergeCell ref="M7:N7"/>
    <mergeCell ref="M8:N8"/>
    <mergeCell ref="J9:N9"/>
    <mergeCell ref="I10:N10"/>
    <mergeCell ref="I11:N11"/>
    <mergeCell ref="M3:N3"/>
    <mergeCell ref="A1:B1"/>
    <mergeCell ref="I1:N1"/>
    <mergeCell ref="O1:R1"/>
    <mergeCell ref="I2:N2"/>
    <mergeCell ref="O2:R2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E6AB3-BFF3-4945-ADC7-7E1FBF2EF3E7}">
  <dimension ref="A1:R51"/>
  <sheetViews>
    <sheetView topLeftCell="A22" zoomScale="95" zoomScaleNormal="95" workbookViewId="0">
      <selection activeCell="I1" sqref="I1:N1"/>
    </sheetView>
  </sheetViews>
  <sheetFormatPr defaultColWidth="10.6328125" defaultRowHeight="18"/>
  <cols>
    <col min="1" max="1" width="5.90625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8" style="69" customWidth="1"/>
    <col min="7" max="7" width="7.90625" style="69" customWidth="1"/>
    <col min="8" max="8" width="12.453125" style="69" customWidth="1"/>
    <col min="9" max="14" width="11.453125" style="69" customWidth="1"/>
    <col min="15" max="16" width="7" style="69" customWidth="1"/>
    <col min="17" max="17" width="11.453125" style="69" customWidth="1"/>
    <col min="18" max="18" width="21" style="69" customWidth="1"/>
    <col min="19" max="16384" width="10.6328125" style="69"/>
  </cols>
  <sheetData>
    <row r="1" spans="1:18" ht="24" customHeight="1" thickTop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133" t="s">
        <v>463</v>
      </c>
      <c r="H1" s="220" t="s">
        <v>464</v>
      </c>
      <c r="I1" s="663" t="s">
        <v>668</v>
      </c>
      <c r="J1" s="663"/>
      <c r="K1" s="663"/>
      <c r="L1" s="663"/>
      <c r="M1" s="663"/>
      <c r="N1" s="663"/>
      <c r="O1" s="631" t="s">
        <v>642</v>
      </c>
      <c r="P1" s="632"/>
      <c r="Q1" s="632"/>
      <c r="R1" s="632"/>
    </row>
    <row r="2" spans="1:18" ht="30.9" customHeight="1" thickTop="1" thickBot="1">
      <c r="A2" s="176">
        <v>45536</v>
      </c>
      <c r="B2" s="178" t="s">
        <v>487</v>
      </c>
      <c r="C2" s="183">
        <v>477797</v>
      </c>
      <c r="D2" s="183">
        <v>81068</v>
      </c>
      <c r="E2" s="183">
        <f>C2-D2</f>
        <v>396729</v>
      </c>
      <c r="F2" s="183">
        <v>-12</v>
      </c>
      <c r="G2" s="183">
        <v>0</v>
      </c>
      <c r="H2" s="221">
        <f>E2+F2</f>
        <v>396717</v>
      </c>
      <c r="I2" s="630" t="s">
        <v>249</v>
      </c>
      <c r="J2" s="630"/>
      <c r="K2" s="630"/>
      <c r="L2" s="630"/>
      <c r="M2" s="630"/>
      <c r="N2" s="630"/>
      <c r="O2" s="627" t="s">
        <v>638</v>
      </c>
      <c r="P2" s="628"/>
      <c r="Q2" s="628"/>
      <c r="R2" s="628"/>
    </row>
    <row r="3" spans="1:18" ht="30.9" customHeight="1" thickTop="1" thickBot="1">
      <c r="A3" s="176">
        <v>45537</v>
      </c>
      <c r="B3" s="177" t="s">
        <v>488</v>
      </c>
      <c r="C3" s="183">
        <v>388575</v>
      </c>
      <c r="D3" s="183">
        <v>180198</v>
      </c>
      <c r="E3" s="183">
        <f t="shared" ref="E3:E31" si="0">C3-D3</f>
        <v>208377</v>
      </c>
      <c r="F3" s="183">
        <v>0</v>
      </c>
      <c r="G3" s="183">
        <v>0</v>
      </c>
      <c r="H3" s="221">
        <f>H2+E3+F3</f>
        <v>605094</v>
      </c>
      <c r="I3" s="223" t="s">
        <v>247</v>
      </c>
      <c r="J3" s="222" t="s">
        <v>251</v>
      </c>
      <c r="K3" s="222" t="s">
        <v>252</v>
      </c>
      <c r="L3" s="222" t="s">
        <v>449</v>
      </c>
      <c r="M3" s="630" t="s">
        <v>415</v>
      </c>
      <c r="N3" s="630"/>
      <c r="O3" s="246"/>
      <c r="P3" s="247"/>
      <c r="Q3" s="247"/>
      <c r="R3" s="247"/>
    </row>
    <row r="4" spans="1:18" ht="30.9" customHeight="1" thickTop="1" thickBot="1">
      <c r="A4" s="176">
        <v>45538</v>
      </c>
      <c r="B4" s="177" t="s">
        <v>489</v>
      </c>
      <c r="C4" s="183">
        <v>442109</v>
      </c>
      <c r="D4" s="183">
        <v>623129</v>
      </c>
      <c r="E4" s="183">
        <f t="shared" si="0"/>
        <v>-181020</v>
      </c>
      <c r="F4" s="183">
        <v>0</v>
      </c>
      <c r="G4" s="183">
        <v>0</v>
      </c>
      <c r="H4" s="221">
        <f t="shared" ref="H4:H33" si="1">H3+E4+F4</f>
        <v>424074</v>
      </c>
      <c r="I4" s="635">
        <f>C34</f>
        <v>15487068</v>
      </c>
      <c r="J4" s="224">
        <f>G34</f>
        <v>0</v>
      </c>
      <c r="K4" s="224"/>
      <c r="L4" s="224">
        <f>F34</f>
        <v>-2648</v>
      </c>
      <c r="M4" s="636">
        <v>7787</v>
      </c>
      <c r="N4" s="636"/>
      <c r="O4" s="249"/>
      <c r="P4" s="250"/>
      <c r="Q4" s="250"/>
      <c r="R4" s="250"/>
    </row>
    <row r="5" spans="1:18" ht="30.9" customHeight="1" thickTop="1" thickBot="1">
      <c r="A5" s="176">
        <v>45539</v>
      </c>
      <c r="B5" s="177" t="s">
        <v>490</v>
      </c>
      <c r="C5" s="183">
        <v>299831</v>
      </c>
      <c r="D5" s="183">
        <v>510152</v>
      </c>
      <c r="E5" s="183">
        <f t="shared" si="0"/>
        <v>-210321</v>
      </c>
      <c r="F5" s="183">
        <v>0</v>
      </c>
      <c r="G5" s="183">
        <v>0</v>
      </c>
      <c r="H5" s="221">
        <f t="shared" si="1"/>
        <v>213753</v>
      </c>
      <c r="I5" s="635"/>
      <c r="J5" s="225">
        <f>J4/I4</f>
        <v>0</v>
      </c>
      <c r="K5" s="225">
        <f>K4/I4</f>
        <v>0</v>
      </c>
      <c r="L5" s="226">
        <f>L4/I4</f>
        <v>-1.7098136328968144E-4</v>
      </c>
      <c r="M5" s="637">
        <f>M4/I4</f>
        <v>5.02806599673999E-4</v>
      </c>
      <c r="N5" s="637"/>
      <c r="O5" s="654" t="s">
        <v>639</v>
      </c>
      <c r="P5" s="655"/>
      <c r="Q5" s="655"/>
      <c r="R5" s="655"/>
    </row>
    <row r="6" spans="1:18" ht="30.9" customHeight="1" thickTop="1" thickBot="1">
      <c r="A6" s="176">
        <v>45540</v>
      </c>
      <c r="B6" s="177" t="s">
        <v>491</v>
      </c>
      <c r="C6" s="183">
        <v>494740</v>
      </c>
      <c r="D6" s="183">
        <v>495862</v>
      </c>
      <c r="E6" s="183">
        <f t="shared" si="0"/>
        <v>-1122</v>
      </c>
      <c r="F6" s="183">
        <v>-871</v>
      </c>
      <c r="G6" s="183">
        <v>0</v>
      </c>
      <c r="H6" s="221">
        <f t="shared" si="1"/>
        <v>211760</v>
      </c>
      <c r="I6" s="630" t="s">
        <v>250</v>
      </c>
      <c r="J6" s="630"/>
      <c r="K6" s="630"/>
      <c r="L6" s="630"/>
      <c r="M6" s="630"/>
      <c r="N6" s="630"/>
      <c r="O6" s="630" t="s">
        <v>231</v>
      </c>
      <c r="P6" s="630"/>
      <c r="Q6" s="490"/>
      <c r="R6" s="490"/>
    </row>
    <row r="7" spans="1:18" ht="30.9" customHeight="1" thickTop="1" thickBot="1">
      <c r="A7" s="176">
        <v>45541</v>
      </c>
      <c r="B7" s="178" t="s">
        <v>485</v>
      </c>
      <c r="C7" s="183">
        <v>773487</v>
      </c>
      <c r="D7" s="183">
        <v>378731</v>
      </c>
      <c r="E7" s="183">
        <f t="shared" si="0"/>
        <v>394756</v>
      </c>
      <c r="F7" s="183">
        <v>0</v>
      </c>
      <c r="G7" s="183">
        <v>0</v>
      </c>
      <c r="H7" s="221">
        <f t="shared" si="1"/>
        <v>606516</v>
      </c>
      <c r="I7" s="222" t="s">
        <v>241</v>
      </c>
      <c r="J7" s="222" t="s">
        <v>253</v>
      </c>
      <c r="K7" s="227" t="s">
        <v>624</v>
      </c>
      <c r="L7" s="222"/>
      <c r="M7" s="638" t="s">
        <v>247</v>
      </c>
      <c r="N7" s="638"/>
      <c r="O7" s="242" t="s">
        <v>640</v>
      </c>
      <c r="P7" s="243">
        <f>I13</f>
        <v>300000</v>
      </c>
    </row>
    <row r="8" spans="1:18" ht="30.9" customHeight="1" thickTop="1" thickBot="1">
      <c r="A8" s="176">
        <v>45542</v>
      </c>
      <c r="B8" s="178" t="s">
        <v>486</v>
      </c>
      <c r="C8" s="183">
        <v>646028</v>
      </c>
      <c r="D8" s="183">
        <v>392520</v>
      </c>
      <c r="E8" s="183">
        <f t="shared" si="0"/>
        <v>253508</v>
      </c>
      <c r="F8" s="183">
        <v>-274</v>
      </c>
      <c r="G8" s="183">
        <v>0</v>
      </c>
      <c r="H8" s="221">
        <f t="shared" si="1"/>
        <v>859750</v>
      </c>
      <c r="I8" s="228">
        <f>D34</f>
        <v>13735791</v>
      </c>
      <c r="J8" s="229">
        <f>L16</f>
        <v>847500</v>
      </c>
      <c r="K8" s="230">
        <f>N19</f>
        <v>84130</v>
      </c>
      <c r="L8" s="229"/>
      <c r="M8" s="639">
        <f>SUM(I8:L8)</f>
        <v>14667421</v>
      </c>
      <c r="N8" s="639"/>
      <c r="O8" s="242" t="s">
        <v>641</v>
      </c>
      <c r="P8" s="243">
        <v>55000</v>
      </c>
    </row>
    <row r="9" spans="1:18" ht="30.9" customHeight="1" thickTop="1" thickBot="1">
      <c r="A9" s="176">
        <v>45543</v>
      </c>
      <c r="B9" s="178" t="s">
        <v>487</v>
      </c>
      <c r="C9" s="183">
        <v>368937</v>
      </c>
      <c r="D9" s="183">
        <v>622698</v>
      </c>
      <c r="E9" s="183">
        <f t="shared" si="0"/>
        <v>-253761</v>
      </c>
      <c r="F9" s="183">
        <v>0</v>
      </c>
      <c r="G9" s="183">
        <v>0</v>
      </c>
      <c r="H9" s="221">
        <f t="shared" si="1"/>
        <v>605989</v>
      </c>
      <c r="I9" s="231" t="s">
        <v>266</v>
      </c>
      <c r="J9" s="623">
        <f>I4-M8-M4+L4</f>
        <v>809212</v>
      </c>
      <c r="K9" s="623"/>
      <c r="L9" s="623"/>
      <c r="M9" s="623"/>
      <c r="N9" s="623"/>
      <c r="O9" s="241" t="s">
        <v>495</v>
      </c>
      <c r="P9" s="243">
        <v>35000</v>
      </c>
    </row>
    <row r="10" spans="1:18" ht="30.9" customHeight="1" thickTop="1" thickBot="1">
      <c r="A10" s="176">
        <v>45544</v>
      </c>
      <c r="B10" s="177" t="s">
        <v>488</v>
      </c>
      <c r="C10" s="183">
        <v>436320</v>
      </c>
      <c r="D10" s="183">
        <v>148886</v>
      </c>
      <c r="E10" s="183">
        <f t="shared" si="0"/>
        <v>287434</v>
      </c>
      <c r="F10" s="183">
        <v>-411</v>
      </c>
      <c r="G10" s="183">
        <v>0</v>
      </c>
      <c r="H10" s="221">
        <f t="shared" si="1"/>
        <v>893012</v>
      </c>
      <c r="I10" s="640" t="s">
        <v>257</v>
      </c>
      <c r="J10" s="640"/>
      <c r="K10" s="640"/>
      <c r="L10" s="640"/>
      <c r="M10" s="640"/>
      <c r="N10" s="640"/>
      <c r="O10" s="244" t="s">
        <v>73</v>
      </c>
      <c r="P10" s="245">
        <f>SUM(P7:P9)</f>
        <v>390000</v>
      </c>
      <c r="Q10" s="252"/>
      <c r="R10" s="252"/>
    </row>
    <row r="11" spans="1:18" ht="30.9" customHeight="1" thickTop="1" thickBot="1">
      <c r="A11" s="176">
        <v>45545</v>
      </c>
      <c r="B11" s="177" t="s">
        <v>489</v>
      </c>
      <c r="C11" s="183">
        <v>410008</v>
      </c>
      <c r="D11" s="183">
        <v>626100</v>
      </c>
      <c r="E11" s="183">
        <f t="shared" si="0"/>
        <v>-216092</v>
      </c>
      <c r="F11" s="183">
        <v>0</v>
      </c>
      <c r="G11" s="183">
        <v>0</v>
      </c>
      <c r="H11" s="221">
        <f>H10+E11+F11</f>
        <v>676920</v>
      </c>
      <c r="I11" s="634" t="s">
        <v>477</v>
      </c>
      <c r="J11" s="634"/>
      <c r="K11" s="634"/>
      <c r="L11" s="634"/>
      <c r="M11" s="634"/>
      <c r="N11" s="651"/>
      <c r="O11" s="647" t="s">
        <v>643</v>
      </c>
      <c r="P11" s="647"/>
      <c r="Q11" s="647"/>
      <c r="R11" s="647"/>
    </row>
    <row r="12" spans="1:18" ht="30.9" customHeight="1" thickTop="1" thickBot="1">
      <c r="A12" s="176">
        <v>45546</v>
      </c>
      <c r="B12" s="177" t="s">
        <v>490</v>
      </c>
      <c r="C12" s="183">
        <v>714027</v>
      </c>
      <c r="D12" s="183">
        <v>647399</v>
      </c>
      <c r="E12" s="183">
        <f t="shared" si="0"/>
        <v>66628</v>
      </c>
      <c r="F12" s="183">
        <v>-14</v>
      </c>
      <c r="G12" s="183">
        <v>0</v>
      </c>
      <c r="H12" s="221">
        <f t="shared" si="1"/>
        <v>743534</v>
      </c>
      <c r="I12" s="232" t="s">
        <v>478</v>
      </c>
      <c r="J12" s="229" t="s">
        <v>479</v>
      </c>
      <c r="K12" s="229" t="s">
        <v>480</v>
      </c>
      <c r="L12" s="229" t="s">
        <v>455</v>
      </c>
      <c r="M12" s="229" t="s">
        <v>468</v>
      </c>
      <c r="N12" s="258" t="s">
        <v>230</v>
      </c>
      <c r="O12" s="650" t="s">
        <v>644</v>
      </c>
      <c r="P12" s="650"/>
      <c r="Q12" s="650"/>
      <c r="R12" s="232"/>
    </row>
    <row r="13" spans="1:18" ht="30.9" customHeight="1" thickTop="1" thickBot="1">
      <c r="A13" s="176">
        <v>45547</v>
      </c>
      <c r="B13" s="177" t="s">
        <v>491</v>
      </c>
      <c r="C13" s="183">
        <v>590777</v>
      </c>
      <c r="D13" s="183">
        <v>694833</v>
      </c>
      <c r="E13" s="183">
        <f t="shared" si="0"/>
        <v>-104056</v>
      </c>
      <c r="F13" s="183">
        <v>2</v>
      </c>
      <c r="G13" s="183">
        <v>0</v>
      </c>
      <c r="H13" s="221">
        <f t="shared" si="1"/>
        <v>639480</v>
      </c>
      <c r="I13" s="233">
        <v>300000</v>
      </c>
      <c r="J13" s="229">
        <v>82000</v>
      </c>
      <c r="K13" s="229">
        <v>125000</v>
      </c>
      <c r="L13" s="229">
        <v>0</v>
      </c>
      <c r="M13" s="229">
        <v>53000</v>
      </c>
      <c r="N13" s="229">
        <v>197500</v>
      </c>
      <c r="O13" s="650" t="s">
        <v>645</v>
      </c>
      <c r="P13" s="650"/>
      <c r="Q13" s="261" t="s">
        <v>646</v>
      </c>
      <c r="R13" s="232"/>
    </row>
    <row r="14" spans="1:18" ht="30.9" customHeight="1" thickTop="1" thickBot="1">
      <c r="A14" s="176">
        <v>45548</v>
      </c>
      <c r="B14" s="178" t="s">
        <v>485</v>
      </c>
      <c r="C14" s="183">
        <v>854142</v>
      </c>
      <c r="D14" s="183">
        <v>527728</v>
      </c>
      <c r="E14" s="183">
        <f t="shared" si="0"/>
        <v>326414</v>
      </c>
      <c r="F14" s="183">
        <v>0</v>
      </c>
      <c r="G14" s="183">
        <v>0</v>
      </c>
      <c r="H14" s="221">
        <f t="shared" si="1"/>
        <v>965894</v>
      </c>
      <c r="I14" s="634" t="s">
        <v>481</v>
      </c>
      <c r="J14" s="634"/>
      <c r="K14" s="634"/>
      <c r="L14" s="634"/>
      <c r="M14" s="634"/>
      <c r="N14" s="651"/>
      <c r="O14" s="650"/>
      <c r="P14" s="650"/>
      <c r="Q14" s="261" t="s">
        <v>647</v>
      </c>
      <c r="R14" s="232"/>
    </row>
    <row r="15" spans="1:18" ht="30.9" customHeight="1" thickTop="1" thickBot="1">
      <c r="A15" s="176">
        <v>45549</v>
      </c>
      <c r="B15" s="178" t="s">
        <v>486</v>
      </c>
      <c r="C15" s="183">
        <v>836303</v>
      </c>
      <c r="D15" s="183">
        <v>496672</v>
      </c>
      <c r="E15" s="183">
        <f t="shared" si="0"/>
        <v>339631</v>
      </c>
      <c r="F15" s="183">
        <v>-8</v>
      </c>
      <c r="G15" s="183">
        <v>0</v>
      </c>
      <c r="H15" s="221">
        <f t="shared" si="1"/>
        <v>1305517</v>
      </c>
      <c r="I15" s="234">
        <v>0</v>
      </c>
      <c r="J15" s="234"/>
      <c r="K15" s="234"/>
      <c r="L15" s="234"/>
      <c r="M15" s="234"/>
      <c r="N15" s="260"/>
      <c r="O15" s="650" t="s">
        <v>648</v>
      </c>
      <c r="P15" s="650" t="s">
        <v>649</v>
      </c>
      <c r="Q15" s="650"/>
      <c r="R15" s="232"/>
    </row>
    <row r="16" spans="1:18" ht="30.9" customHeight="1" thickTop="1" thickBot="1">
      <c r="A16" s="176">
        <v>45550</v>
      </c>
      <c r="B16" s="178" t="s">
        <v>487</v>
      </c>
      <c r="C16" s="183">
        <v>409243</v>
      </c>
      <c r="D16" s="183">
        <v>523196</v>
      </c>
      <c r="E16" s="183">
        <f t="shared" si="0"/>
        <v>-113953</v>
      </c>
      <c r="F16" s="183">
        <v>0</v>
      </c>
      <c r="G16" s="183">
        <v>0</v>
      </c>
      <c r="H16" s="221">
        <f t="shared" si="1"/>
        <v>1191564</v>
      </c>
      <c r="I16" s="641" t="s">
        <v>247</v>
      </c>
      <c r="J16" s="641"/>
      <c r="K16" s="641"/>
      <c r="L16" s="642">
        <f>SUM(J13:N13)+SUM(I15:N15)+P10</f>
        <v>847500</v>
      </c>
      <c r="M16" s="642"/>
      <c r="N16" s="648"/>
      <c r="O16" s="650"/>
      <c r="P16" s="650" t="s">
        <v>650</v>
      </c>
      <c r="Q16" s="650"/>
      <c r="R16" s="232"/>
    </row>
    <row r="17" spans="1:18" ht="30.9" customHeight="1" thickTop="1" thickBot="1">
      <c r="A17" s="176">
        <v>45551</v>
      </c>
      <c r="B17" s="177" t="s">
        <v>488</v>
      </c>
      <c r="C17" s="183">
        <v>471921</v>
      </c>
      <c r="D17" s="183">
        <v>841696</v>
      </c>
      <c r="E17" s="183">
        <f t="shared" si="0"/>
        <v>-369775</v>
      </c>
      <c r="F17" s="183">
        <v>-471</v>
      </c>
      <c r="G17" s="183">
        <v>0</v>
      </c>
      <c r="H17" s="221">
        <f t="shared" si="1"/>
        <v>821318</v>
      </c>
      <c r="I17" s="643" t="s">
        <v>482</v>
      </c>
      <c r="J17" s="643"/>
      <c r="K17" s="643"/>
      <c r="L17" s="643"/>
      <c r="M17" s="643"/>
      <c r="N17" s="649"/>
      <c r="O17" s="261" t="s">
        <v>651</v>
      </c>
      <c r="P17" s="650" t="s">
        <v>652</v>
      </c>
      <c r="Q17" s="650"/>
      <c r="R17" s="232"/>
    </row>
    <row r="18" spans="1:18" ht="30.9" customHeight="1" thickTop="1" thickBot="1">
      <c r="A18" s="176">
        <v>45552</v>
      </c>
      <c r="B18" s="177" t="s">
        <v>489</v>
      </c>
      <c r="C18" s="183">
        <v>302688</v>
      </c>
      <c r="D18" s="183">
        <v>274871</v>
      </c>
      <c r="E18" s="183">
        <f t="shared" si="0"/>
        <v>27817</v>
      </c>
      <c r="F18" s="183">
        <v>-11</v>
      </c>
      <c r="G18" s="183">
        <v>0</v>
      </c>
      <c r="H18" s="221">
        <f t="shared" si="1"/>
        <v>849124</v>
      </c>
      <c r="I18" s="222"/>
      <c r="J18" s="235"/>
      <c r="K18" s="222"/>
      <c r="L18" s="222"/>
      <c r="M18" s="236" t="s">
        <v>498</v>
      </c>
      <c r="N18" s="256" t="s">
        <v>247</v>
      </c>
      <c r="O18" s="650" t="s">
        <v>653</v>
      </c>
      <c r="P18" s="650"/>
      <c r="Q18" s="650"/>
      <c r="R18" s="232"/>
    </row>
    <row r="19" spans="1:18" ht="30.9" customHeight="1" thickTop="1" thickBot="1">
      <c r="A19" s="176">
        <v>45553</v>
      </c>
      <c r="B19" s="177" t="s">
        <v>490</v>
      </c>
      <c r="C19" s="183">
        <v>457706</v>
      </c>
      <c r="D19" s="183">
        <v>251250</v>
      </c>
      <c r="E19" s="183">
        <f t="shared" si="0"/>
        <v>206456</v>
      </c>
      <c r="F19" s="183">
        <v>0</v>
      </c>
      <c r="G19" s="183">
        <v>0</v>
      </c>
      <c r="H19" s="221">
        <f>H18+E19+F19</f>
        <v>1055580</v>
      </c>
      <c r="I19" s="237"/>
      <c r="J19" s="237"/>
      <c r="K19" s="237"/>
      <c r="L19" s="237"/>
      <c r="M19" s="238">
        <f>N23</f>
        <v>84130</v>
      </c>
      <c r="N19" s="257">
        <f>SUM(I19:M19)</f>
        <v>84130</v>
      </c>
      <c r="O19" s="652" t="s">
        <v>654</v>
      </c>
      <c r="P19" s="652"/>
      <c r="Q19" s="652"/>
      <c r="R19" s="232"/>
    </row>
    <row r="20" spans="1:18" ht="30.9" customHeight="1" thickTop="1" thickBot="1">
      <c r="A20" s="176">
        <v>45554</v>
      </c>
      <c r="B20" s="177" t="s">
        <v>491</v>
      </c>
      <c r="C20" s="183">
        <v>382562</v>
      </c>
      <c r="D20" s="183">
        <v>342514</v>
      </c>
      <c r="E20" s="183">
        <f t="shared" si="0"/>
        <v>40048</v>
      </c>
      <c r="F20" s="183">
        <v>0</v>
      </c>
      <c r="G20" s="183">
        <v>0</v>
      </c>
      <c r="H20" s="221">
        <f t="shared" si="1"/>
        <v>1095628</v>
      </c>
      <c r="I20" s="232"/>
      <c r="J20" s="232"/>
      <c r="K20" s="232"/>
      <c r="L20" s="232"/>
      <c r="M20" s="232"/>
      <c r="N20" s="232"/>
      <c r="O20" s="652" t="s">
        <v>655</v>
      </c>
      <c r="P20" s="652"/>
      <c r="Q20" s="652"/>
      <c r="R20" s="232"/>
    </row>
    <row r="21" spans="1:18" ht="30.9" customHeight="1" thickTop="1" thickBot="1">
      <c r="A21" s="176">
        <v>45555</v>
      </c>
      <c r="B21" s="178" t="s">
        <v>485</v>
      </c>
      <c r="C21" s="183">
        <v>519011</v>
      </c>
      <c r="D21" s="183">
        <v>636196</v>
      </c>
      <c r="E21" s="183">
        <f t="shared" si="0"/>
        <v>-117185</v>
      </c>
      <c r="F21" s="183">
        <v>0</v>
      </c>
      <c r="G21" s="183">
        <v>0</v>
      </c>
      <c r="H21" s="221">
        <f t="shared" si="1"/>
        <v>978443</v>
      </c>
      <c r="I21" s="644" t="s">
        <v>497</v>
      </c>
      <c r="J21" s="644"/>
      <c r="K21" s="644"/>
      <c r="L21" s="644"/>
      <c r="M21" s="644"/>
      <c r="N21" s="644"/>
      <c r="O21" s="653" t="s">
        <v>247</v>
      </c>
      <c r="P21" s="653"/>
      <c r="Q21" s="653"/>
      <c r="R21" s="262">
        <f>SUM(R12:R20)</f>
        <v>0</v>
      </c>
    </row>
    <row r="22" spans="1:18" ht="30.9" customHeight="1" thickTop="1" thickBot="1">
      <c r="A22" s="176">
        <v>45556</v>
      </c>
      <c r="B22" s="178" t="s">
        <v>486</v>
      </c>
      <c r="C22" s="183">
        <v>526174</v>
      </c>
      <c r="D22" s="183">
        <v>388679</v>
      </c>
      <c r="E22" s="183">
        <f t="shared" si="0"/>
        <v>137495</v>
      </c>
      <c r="F22" s="183">
        <v>-71</v>
      </c>
      <c r="G22" s="183">
        <v>0</v>
      </c>
      <c r="H22" s="221">
        <f t="shared" si="1"/>
        <v>1115867</v>
      </c>
      <c r="I22" s="235" t="s">
        <v>625</v>
      </c>
      <c r="J22" s="222" t="s">
        <v>664</v>
      </c>
      <c r="K22" s="222" t="s">
        <v>142</v>
      </c>
      <c r="L22" s="222" t="s">
        <v>638</v>
      </c>
      <c r="M22" s="222" t="s">
        <v>494</v>
      </c>
      <c r="N22" s="254" t="s">
        <v>247</v>
      </c>
      <c r="O22" s="661"/>
      <c r="P22" s="662"/>
      <c r="Q22" s="662"/>
      <c r="R22" s="662"/>
    </row>
    <row r="23" spans="1:18" ht="30.9" customHeight="1" thickTop="1" thickBot="1">
      <c r="A23" s="176">
        <v>45557</v>
      </c>
      <c r="B23" s="178" t="s">
        <v>487</v>
      </c>
      <c r="C23" s="183">
        <v>417234</v>
      </c>
      <c r="D23" s="183">
        <v>354298</v>
      </c>
      <c r="E23" s="183">
        <f t="shared" si="0"/>
        <v>62936</v>
      </c>
      <c r="F23" s="183">
        <v>0</v>
      </c>
      <c r="G23" s="183">
        <v>0</v>
      </c>
      <c r="H23" s="221">
        <f t="shared" si="1"/>
        <v>1178803</v>
      </c>
      <c r="I23" s="237">
        <v>0</v>
      </c>
      <c r="J23" s="237">
        <v>0</v>
      </c>
      <c r="K23" s="237">
        <v>5750</v>
      </c>
      <c r="L23" s="237">
        <v>10000</v>
      </c>
      <c r="M23" s="237">
        <v>68380</v>
      </c>
      <c r="N23" s="255">
        <f>SUM(J23:M23)</f>
        <v>84130</v>
      </c>
      <c r="O23" s="647" t="s">
        <v>665</v>
      </c>
      <c r="P23" s="647"/>
      <c r="Q23" s="647"/>
      <c r="R23" s="647"/>
    </row>
    <row r="24" spans="1:18" ht="30.9" customHeight="1" thickTop="1" thickBot="1">
      <c r="A24" s="176">
        <v>45558</v>
      </c>
      <c r="B24" s="177" t="s">
        <v>488</v>
      </c>
      <c r="C24" s="183">
        <v>338801</v>
      </c>
      <c r="D24" s="183">
        <v>147823</v>
      </c>
      <c r="E24" s="183">
        <f t="shared" si="0"/>
        <v>190978</v>
      </c>
      <c r="F24" s="183">
        <v>-14</v>
      </c>
      <c r="G24" s="183">
        <v>0</v>
      </c>
      <c r="H24" s="184">
        <f t="shared" si="1"/>
        <v>1369767</v>
      </c>
      <c r="O24" s="656" t="s">
        <v>666</v>
      </c>
      <c r="P24" s="658"/>
      <c r="Q24" s="657"/>
      <c r="R24" s="232"/>
    </row>
    <row r="25" spans="1:18" ht="30.9" customHeight="1" thickTop="1" thickBot="1">
      <c r="A25" s="176">
        <v>45559</v>
      </c>
      <c r="B25" s="177" t="s">
        <v>489</v>
      </c>
      <c r="C25" s="183">
        <v>256706</v>
      </c>
      <c r="D25" s="183">
        <v>241029</v>
      </c>
      <c r="E25" s="183">
        <f t="shared" si="0"/>
        <v>15677</v>
      </c>
      <c r="F25" s="183">
        <v>-41</v>
      </c>
      <c r="G25" s="183">
        <v>0</v>
      </c>
      <c r="H25" s="184">
        <f t="shared" si="1"/>
        <v>1385403</v>
      </c>
      <c r="O25" s="263"/>
      <c r="P25" s="656"/>
      <c r="Q25" s="657"/>
      <c r="R25" s="232"/>
    </row>
    <row r="26" spans="1:18" ht="30.9" customHeight="1" thickTop="1" thickBot="1">
      <c r="A26" s="176">
        <v>45560</v>
      </c>
      <c r="B26" s="177" t="s">
        <v>490</v>
      </c>
      <c r="C26" s="183">
        <v>385921</v>
      </c>
      <c r="D26" s="183">
        <v>559891</v>
      </c>
      <c r="E26" s="183">
        <f t="shared" si="0"/>
        <v>-173970</v>
      </c>
      <c r="F26" s="183">
        <v>0</v>
      </c>
      <c r="G26" s="183">
        <v>0</v>
      </c>
      <c r="H26" s="184">
        <f t="shared" si="1"/>
        <v>1211433</v>
      </c>
      <c r="O26" s="263"/>
      <c r="P26" s="656"/>
      <c r="Q26" s="657"/>
      <c r="R26" s="232"/>
    </row>
    <row r="27" spans="1:18" ht="30.9" customHeight="1" thickTop="1" thickBot="1">
      <c r="A27" s="176">
        <v>45561</v>
      </c>
      <c r="B27" s="177" t="s">
        <v>491</v>
      </c>
      <c r="C27" s="183">
        <v>595613</v>
      </c>
      <c r="D27" s="183">
        <v>198064</v>
      </c>
      <c r="E27" s="183">
        <f t="shared" si="0"/>
        <v>397549</v>
      </c>
      <c r="F27" s="183">
        <v>-41</v>
      </c>
      <c r="G27" s="183">
        <v>0</v>
      </c>
      <c r="H27" s="184">
        <f t="shared" si="1"/>
        <v>1608941</v>
      </c>
      <c r="O27" s="263"/>
      <c r="P27" s="656"/>
      <c r="Q27" s="657"/>
      <c r="R27" s="232"/>
    </row>
    <row r="28" spans="1:18" ht="30.9" customHeight="1" thickTop="1" thickBot="1">
      <c r="A28" s="176">
        <v>45562</v>
      </c>
      <c r="B28" s="178" t="s">
        <v>485</v>
      </c>
      <c r="C28" s="183">
        <v>1130048</v>
      </c>
      <c r="D28" s="183">
        <v>324805</v>
      </c>
      <c r="E28" s="183">
        <f t="shared" si="0"/>
        <v>805243</v>
      </c>
      <c r="F28" s="183">
        <v>-411</v>
      </c>
      <c r="G28" s="183">
        <v>0</v>
      </c>
      <c r="H28" s="184">
        <f t="shared" si="1"/>
        <v>2413773</v>
      </c>
      <c r="O28" s="263"/>
      <c r="P28" s="656"/>
      <c r="Q28" s="657"/>
      <c r="R28" s="232"/>
    </row>
    <row r="29" spans="1:18" ht="30.9" customHeight="1" thickTop="1" thickBot="1">
      <c r="A29" s="176">
        <v>45563</v>
      </c>
      <c r="B29" s="178" t="s">
        <v>486</v>
      </c>
      <c r="C29" s="183">
        <v>797518</v>
      </c>
      <c r="D29" s="183">
        <v>374283</v>
      </c>
      <c r="E29" s="183">
        <f t="shared" si="0"/>
        <v>423235</v>
      </c>
      <c r="F29" s="183">
        <v>0</v>
      </c>
      <c r="G29" s="183">
        <v>0</v>
      </c>
      <c r="H29" s="184">
        <f t="shared" si="1"/>
        <v>2837008</v>
      </c>
      <c r="O29" s="656" t="s">
        <v>667</v>
      </c>
      <c r="P29" s="658"/>
      <c r="Q29" s="657"/>
      <c r="R29" s="232"/>
    </row>
    <row r="30" spans="1:18" ht="30.9" customHeight="1" thickTop="1" thickBot="1">
      <c r="A30" s="176">
        <v>45564</v>
      </c>
      <c r="B30" s="178" t="s">
        <v>487</v>
      </c>
      <c r="C30" s="183">
        <v>480377</v>
      </c>
      <c r="D30" s="183">
        <v>1098677</v>
      </c>
      <c r="E30" s="183">
        <f t="shared" si="0"/>
        <v>-618300</v>
      </c>
      <c r="F30" s="183">
        <v>0</v>
      </c>
      <c r="G30" s="183">
        <v>0</v>
      </c>
      <c r="H30" s="184">
        <f t="shared" si="1"/>
        <v>2218708</v>
      </c>
      <c r="O30" s="263"/>
      <c r="P30" s="656"/>
      <c r="Q30" s="657"/>
      <c r="R30" s="232"/>
    </row>
    <row r="31" spans="1:18" ht="30.9" customHeight="1" thickTop="1" thickBot="1">
      <c r="A31" s="176">
        <v>45565</v>
      </c>
      <c r="B31" s="177" t="s">
        <v>488</v>
      </c>
      <c r="C31" s="183">
        <v>282464</v>
      </c>
      <c r="D31" s="183">
        <v>682543</v>
      </c>
      <c r="E31" s="183">
        <f t="shared" si="0"/>
        <v>-400079</v>
      </c>
      <c r="F31" s="183">
        <v>0</v>
      </c>
      <c r="G31" s="183">
        <v>0</v>
      </c>
      <c r="H31" s="184">
        <f>H30+E31+F31</f>
        <v>1818629</v>
      </c>
      <c r="O31" s="232"/>
      <c r="P31" s="659"/>
      <c r="Q31" s="660"/>
      <c r="R31" s="232"/>
    </row>
    <row r="32" spans="1:18" ht="30.9" customHeight="1" thickTop="1" thickBot="1">
      <c r="A32" s="176"/>
      <c r="B32" s="177"/>
      <c r="C32" s="183"/>
      <c r="D32" s="183"/>
      <c r="E32" s="183">
        <f>C32-D32</f>
        <v>0</v>
      </c>
      <c r="F32" s="183"/>
      <c r="G32" s="183">
        <v>0</v>
      </c>
      <c r="H32" s="184">
        <f t="shared" si="1"/>
        <v>1818629</v>
      </c>
      <c r="O32" s="232"/>
      <c r="P32" s="659"/>
      <c r="Q32" s="660"/>
      <c r="R32" s="232"/>
    </row>
    <row r="33" spans="1:17" ht="30.9" customHeight="1" thickTop="1">
      <c r="A33" s="264"/>
      <c r="B33" s="265"/>
      <c r="C33" s="183">
        <v>0</v>
      </c>
      <c r="D33" s="183">
        <v>70000</v>
      </c>
      <c r="E33" s="183">
        <f>C33-D33</f>
        <v>-70000</v>
      </c>
      <c r="F33" s="183"/>
      <c r="G33" s="183"/>
      <c r="H33" s="184">
        <f t="shared" si="1"/>
        <v>1748629</v>
      </c>
      <c r="P33" s="81"/>
      <c r="Q33" s="81"/>
    </row>
    <row r="34" spans="1:17" ht="45" customHeight="1">
      <c r="A34" s="476" t="s">
        <v>247</v>
      </c>
      <c r="B34" s="477"/>
      <c r="C34" s="145">
        <f>SUM(C2:C33)</f>
        <v>15487068</v>
      </c>
      <c r="D34" s="145">
        <f>SUM(D2:D33)</f>
        <v>13735791</v>
      </c>
      <c r="E34" s="145">
        <f>SUM(E2:E32)</f>
        <v>1821277</v>
      </c>
      <c r="F34" s="145">
        <f>SUM(F2:F32)</f>
        <v>-2648</v>
      </c>
      <c r="G34" s="145">
        <f>SUM(G2:G32)</f>
        <v>0</v>
      </c>
      <c r="H34" s="145">
        <f>C34-D34</f>
        <v>1751277</v>
      </c>
    </row>
    <row r="35" spans="1:17">
      <c r="A35" s="69"/>
    </row>
    <row r="36" spans="1:17">
      <c r="A36" s="69"/>
    </row>
    <row r="37" spans="1:17">
      <c r="A37" s="69"/>
    </row>
    <row r="38" spans="1:17">
      <c r="A38" s="69"/>
    </row>
    <row r="39" spans="1:17">
      <c r="A39" s="69"/>
    </row>
    <row r="40" spans="1:17" ht="21" customHeight="1">
      <c r="A40" s="69"/>
    </row>
    <row r="41" spans="1:17" ht="23.1" customHeight="1">
      <c r="A41" s="69"/>
    </row>
    <row r="42" spans="1:17">
      <c r="A42" s="69"/>
    </row>
    <row r="43" spans="1:17" ht="29.1" customHeight="1">
      <c r="A43" s="69"/>
    </row>
    <row r="44" spans="1:17" ht="15" customHeight="1">
      <c r="A44" s="69"/>
    </row>
    <row r="45" spans="1:17">
      <c r="A45" s="69"/>
    </row>
    <row r="46" spans="1:17">
      <c r="A46" s="69"/>
    </row>
    <row r="47" spans="1:17">
      <c r="A47" s="69"/>
    </row>
    <row r="48" spans="1:17">
      <c r="A48" s="69"/>
    </row>
    <row r="49" spans="1:1">
      <c r="A49" s="69"/>
    </row>
    <row r="50" spans="1:1">
      <c r="A50" s="69"/>
    </row>
    <row r="51" spans="1:1" ht="18.899999999999999" customHeight="1">
      <c r="A51" s="69"/>
    </row>
  </sheetData>
  <mergeCells count="46">
    <mergeCell ref="A34:B34"/>
    <mergeCell ref="O22:R22"/>
    <mergeCell ref="O23:R23"/>
    <mergeCell ref="O24:Q24"/>
    <mergeCell ref="P25:Q25"/>
    <mergeCell ref="P26:Q26"/>
    <mergeCell ref="P27:Q27"/>
    <mergeCell ref="P28:Q28"/>
    <mergeCell ref="O29:Q29"/>
    <mergeCell ref="P30:Q30"/>
    <mergeCell ref="P31:Q31"/>
    <mergeCell ref="P32:Q32"/>
    <mergeCell ref="I21:N21"/>
    <mergeCell ref="O21:Q21"/>
    <mergeCell ref="O12:Q12"/>
    <mergeCell ref="O13:P14"/>
    <mergeCell ref="I14:N14"/>
    <mergeCell ref="O15:O16"/>
    <mergeCell ref="P15:Q15"/>
    <mergeCell ref="I16:K16"/>
    <mergeCell ref="L16:N16"/>
    <mergeCell ref="P16:Q16"/>
    <mergeCell ref="I17:N17"/>
    <mergeCell ref="P17:Q17"/>
    <mergeCell ref="O18:Q18"/>
    <mergeCell ref="O19:Q19"/>
    <mergeCell ref="O20:Q20"/>
    <mergeCell ref="O11:R11"/>
    <mergeCell ref="I4:I5"/>
    <mergeCell ref="M4:N4"/>
    <mergeCell ref="M5:N5"/>
    <mergeCell ref="O5:R5"/>
    <mergeCell ref="I6:N6"/>
    <mergeCell ref="O6:P6"/>
    <mergeCell ref="Q6:R6"/>
    <mergeCell ref="M7:N7"/>
    <mergeCell ref="M8:N8"/>
    <mergeCell ref="J9:N9"/>
    <mergeCell ref="I10:N10"/>
    <mergeCell ref="I11:N11"/>
    <mergeCell ref="M3:N3"/>
    <mergeCell ref="A1:B1"/>
    <mergeCell ref="I1:N1"/>
    <mergeCell ref="O1:R1"/>
    <mergeCell ref="I2:N2"/>
    <mergeCell ref="O2:R2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68191-467F-4F5C-815D-C0CF2B41DB75}">
  <dimension ref="A1:R51"/>
  <sheetViews>
    <sheetView topLeftCell="A19" zoomScale="98" zoomScaleNormal="98" workbookViewId="0">
      <selection activeCell="P7" sqref="P7:P9"/>
    </sheetView>
  </sheetViews>
  <sheetFormatPr defaultColWidth="10.6328125" defaultRowHeight="18"/>
  <cols>
    <col min="1" max="1" width="5.90625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8" style="69" customWidth="1"/>
    <col min="7" max="7" width="7.90625" style="69" customWidth="1"/>
    <col min="8" max="8" width="12.453125" style="69" customWidth="1"/>
    <col min="9" max="14" width="11.453125" style="69" customWidth="1"/>
    <col min="15" max="16" width="7" style="69" customWidth="1"/>
    <col min="17" max="17" width="11.453125" style="69" customWidth="1"/>
    <col min="18" max="18" width="21" style="69" customWidth="1"/>
    <col min="19" max="16384" width="10.6328125" style="69"/>
  </cols>
  <sheetData>
    <row r="1" spans="1:18" ht="24" customHeight="1" thickTop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133" t="s">
        <v>463</v>
      </c>
      <c r="H1" s="220" t="s">
        <v>464</v>
      </c>
      <c r="I1" s="663" t="s">
        <v>680</v>
      </c>
      <c r="J1" s="663"/>
      <c r="K1" s="663"/>
      <c r="L1" s="663"/>
      <c r="M1" s="663"/>
      <c r="N1" s="663"/>
      <c r="O1" s="631" t="s">
        <v>642</v>
      </c>
      <c r="P1" s="632"/>
      <c r="Q1" s="632"/>
      <c r="R1" s="632"/>
    </row>
    <row r="2" spans="1:18" ht="30.9" customHeight="1" thickTop="1" thickBot="1">
      <c r="A2" s="176">
        <v>45566</v>
      </c>
      <c r="B2" s="177" t="s">
        <v>489</v>
      </c>
      <c r="C2" s="183">
        <v>264920</v>
      </c>
      <c r="D2" s="183">
        <v>363443</v>
      </c>
      <c r="E2" s="183">
        <f>C2-D2</f>
        <v>-98523</v>
      </c>
      <c r="F2" s="183">
        <v>-254</v>
      </c>
      <c r="G2" s="183">
        <v>0</v>
      </c>
      <c r="H2" s="221">
        <f>E2+F2</f>
        <v>-98777</v>
      </c>
      <c r="I2" s="630" t="s">
        <v>249</v>
      </c>
      <c r="J2" s="630"/>
      <c r="K2" s="630"/>
      <c r="L2" s="630"/>
      <c r="M2" s="630"/>
      <c r="N2" s="630"/>
      <c r="O2" s="627" t="s">
        <v>638</v>
      </c>
      <c r="P2" s="628"/>
      <c r="Q2" s="628"/>
      <c r="R2" s="628"/>
    </row>
    <row r="3" spans="1:18" ht="30.9" customHeight="1" thickTop="1" thickBot="1">
      <c r="A3" s="176">
        <v>45567</v>
      </c>
      <c r="B3" s="177" t="s">
        <v>490</v>
      </c>
      <c r="C3" s="183">
        <v>380606</v>
      </c>
      <c r="D3" s="183">
        <v>259134</v>
      </c>
      <c r="E3" s="183">
        <f t="shared" ref="E3:E31" si="0">C3-D3</f>
        <v>121472</v>
      </c>
      <c r="F3" s="183">
        <v>0</v>
      </c>
      <c r="G3" s="183">
        <v>0</v>
      </c>
      <c r="H3" s="221">
        <f>H2+E3+F3</f>
        <v>22695</v>
      </c>
      <c r="I3" s="223" t="s">
        <v>247</v>
      </c>
      <c r="J3" s="222" t="s">
        <v>251</v>
      </c>
      <c r="K3" s="222" t="s">
        <v>252</v>
      </c>
      <c r="L3" s="222" t="s">
        <v>449</v>
      </c>
      <c r="M3" s="630" t="s">
        <v>415</v>
      </c>
      <c r="N3" s="630"/>
      <c r="O3" s="246"/>
      <c r="P3" s="247"/>
      <c r="Q3" s="247"/>
      <c r="R3" s="247"/>
    </row>
    <row r="4" spans="1:18" ht="30.9" customHeight="1" thickTop="1" thickBot="1">
      <c r="A4" s="176">
        <v>45568</v>
      </c>
      <c r="B4" s="177" t="s">
        <v>491</v>
      </c>
      <c r="C4" s="183">
        <v>521468</v>
      </c>
      <c r="D4" s="183">
        <v>397185</v>
      </c>
      <c r="E4" s="183">
        <f t="shared" si="0"/>
        <v>124283</v>
      </c>
      <c r="F4" s="183">
        <v>-415</v>
      </c>
      <c r="G4" s="183">
        <v>0</v>
      </c>
      <c r="H4" s="221">
        <f t="shared" ref="H4:H33" si="1">H3+E4+F4</f>
        <v>146563</v>
      </c>
      <c r="I4" s="635">
        <f>C34</f>
        <v>16255296</v>
      </c>
      <c r="J4" s="224">
        <f>G34</f>
        <v>0</v>
      </c>
      <c r="K4" s="224"/>
      <c r="L4" s="224">
        <f>F34</f>
        <v>-6386</v>
      </c>
      <c r="M4" s="636">
        <v>7926</v>
      </c>
      <c r="N4" s="636"/>
      <c r="O4" s="249"/>
      <c r="P4" s="250"/>
      <c r="Q4" s="250"/>
      <c r="R4" s="250"/>
    </row>
    <row r="5" spans="1:18" ht="30.9" customHeight="1" thickTop="1" thickBot="1">
      <c r="A5" s="176">
        <v>45569</v>
      </c>
      <c r="B5" s="178" t="s">
        <v>485</v>
      </c>
      <c r="C5" s="183">
        <v>724577</v>
      </c>
      <c r="D5" s="183">
        <v>561463</v>
      </c>
      <c r="E5" s="183">
        <f t="shared" si="0"/>
        <v>163114</v>
      </c>
      <c r="F5" s="183">
        <v>-582</v>
      </c>
      <c r="G5" s="183">
        <v>0</v>
      </c>
      <c r="H5" s="221">
        <f t="shared" si="1"/>
        <v>309095</v>
      </c>
      <c r="I5" s="635"/>
      <c r="J5" s="225">
        <f>J4/I4</f>
        <v>0</v>
      </c>
      <c r="K5" s="225">
        <f>K4/I4</f>
        <v>0</v>
      </c>
      <c r="L5" s="226">
        <f>L4/I4</f>
        <v>-3.928565804030883E-4</v>
      </c>
      <c r="M5" s="637">
        <f>M4/I4</f>
        <v>4.8759493521372975E-4</v>
      </c>
      <c r="N5" s="637"/>
      <c r="O5" s="654" t="s">
        <v>639</v>
      </c>
      <c r="P5" s="655"/>
      <c r="Q5" s="655"/>
      <c r="R5" s="655"/>
    </row>
    <row r="6" spans="1:18" ht="30.9" customHeight="1" thickTop="1" thickBot="1">
      <c r="A6" s="176">
        <v>45570</v>
      </c>
      <c r="B6" s="178" t="s">
        <v>486</v>
      </c>
      <c r="C6" s="183">
        <v>526124</v>
      </c>
      <c r="D6" s="183">
        <v>451465</v>
      </c>
      <c r="E6" s="183">
        <f t="shared" si="0"/>
        <v>74659</v>
      </c>
      <c r="F6" s="183">
        <v>-125</v>
      </c>
      <c r="G6" s="183">
        <v>0</v>
      </c>
      <c r="H6" s="221">
        <f t="shared" si="1"/>
        <v>383629</v>
      </c>
      <c r="I6" s="630" t="s">
        <v>250</v>
      </c>
      <c r="J6" s="630"/>
      <c r="K6" s="630"/>
      <c r="L6" s="630"/>
      <c r="M6" s="630"/>
      <c r="N6" s="630"/>
      <c r="O6" s="630" t="s">
        <v>231</v>
      </c>
      <c r="P6" s="630"/>
      <c r="Q6" s="490"/>
      <c r="R6" s="490"/>
    </row>
    <row r="7" spans="1:18" ht="30.9" customHeight="1" thickTop="1" thickBot="1">
      <c r="A7" s="176">
        <v>45571</v>
      </c>
      <c r="B7" s="178" t="s">
        <v>487</v>
      </c>
      <c r="C7" s="183">
        <v>439784</v>
      </c>
      <c r="D7" s="183">
        <v>356803</v>
      </c>
      <c r="E7" s="183">
        <f t="shared" si="0"/>
        <v>82981</v>
      </c>
      <c r="F7" s="183">
        <v>0</v>
      </c>
      <c r="G7" s="183">
        <v>0</v>
      </c>
      <c r="H7" s="221">
        <f t="shared" si="1"/>
        <v>466610</v>
      </c>
      <c r="I7" s="222" t="s">
        <v>241</v>
      </c>
      <c r="J7" s="222" t="s">
        <v>253</v>
      </c>
      <c r="K7" s="227" t="s">
        <v>624</v>
      </c>
      <c r="L7" s="222"/>
      <c r="M7" s="638" t="s">
        <v>247</v>
      </c>
      <c r="N7" s="638"/>
      <c r="O7" s="242" t="s">
        <v>640</v>
      </c>
      <c r="P7" s="243">
        <f>I13</f>
        <v>340000</v>
      </c>
    </row>
    <row r="8" spans="1:18" ht="30.9" customHeight="1" thickTop="1" thickBot="1">
      <c r="A8" s="176">
        <v>45572</v>
      </c>
      <c r="B8" s="177" t="s">
        <v>488</v>
      </c>
      <c r="C8" s="183">
        <v>262054</v>
      </c>
      <c r="D8" s="183">
        <v>147370</v>
      </c>
      <c r="E8" s="183">
        <f t="shared" si="0"/>
        <v>114684</v>
      </c>
      <c r="F8" s="183">
        <v>-441</v>
      </c>
      <c r="G8" s="183">
        <v>0</v>
      </c>
      <c r="H8" s="221">
        <f t="shared" si="1"/>
        <v>580853</v>
      </c>
      <c r="I8" s="228">
        <f>D34</f>
        <v>14036193</v>
      </c>
      <c r="J8" s="229">
        <f>L16</f>
        <v>957500</v>
      </c>
      <c r="K8" s="230">
        <f>N19</f>
        <v>126130</v>
      </c>
      <c r="L8" s="229"/>
      <c r="M8" s="639">
        <f>SUM(I8:L8)</f>
        <v>15119823</v>
      </c>
      <c r="N8" s="639"/>
      <c r="O8" s="242" t="s">
        <v>641</v>
      </c>
      <c r="P8" s="243">
        <v>55000</v>
      </c>
    </row>
    <row r="9" spans="1:18" ht="30.9" customHeight="1" thickTop="1" thickBot="1">
      <c r="A9" s="176">
        <v>45573</v>
      </c>
      <c r="B9" s="177" t="s">
        <v>489</v>
      </c>
      <c r="C9" s="183">
        <v>409882</v>
      </c>
      <c r="D9" s="183">
        <v>173762</v>
      </c>
      <c r="E9" s="183">
        <f t="shared" si="0"/>
        <v>236120</v>
      </c>
      <c r="F9" s="183">
        <v>-54</v>
      </c>
      <c r="G9" s="183">
        <v>0</v>
      </c>
      <c r="H9" s="221">
        <f t="shared" si="1"/>
        <v>816919</v>
      </c>
      <c r="I9" s="231" t="s">
        <v>266</v>
      </c>
      <c r="J9" s="623">
        <f>I4-M8-M4+L4</f>
        <v>1121161</v>
      </c>
      <c r="K9" s="623"/>
      <c r="L9" s="623"/>
      <c r="M9" s="623"/>
      <c r="N9" s="623"/>
      <c r="O9" s="241" t="s">
        <v>495</v>
      </c>
      <c r="P9" s="243">
        <v>35000</v>
      </c>
    </row>
    <row r="10" spans="1:18" ht="30.9" customHeight="1" thickTop="1" thickBot="1">
      <c r="A10" s="176">
        <v>45574</v>
      </c>
      <c r="B10" s="177" t="s">
        <v>490</v>
      </c>
      <c r="C10" s="183">
        <v>353721</v>
      </c>
      <c r="D10" s="183">
        <v>484111</v>
      </c>
      <c r="E10" s="183">
        <f t="shared" si="0"/>
        <v>-130390</v>
      </c>
      <c r="F10" s="183">
        <v>-574</v>
      </c>
      <c r="G10" s="183">
        <v>0</v>
      </c>
      <c r="H10" s="221">
        <f t="shared" si="1"/>
        <v>685955</v>
      </c>
      <c r="I10" s="640" t="s">
        <v>257</v>
      </c>
      <c r="J10" s="640"/>
      <c r="K10" s="640"/>
      <c r="L10" s="640"/>
      <c r="M10" s="640"/>
      <c r="N10" s="640"/>
      <c r="O10" s="244" t="s">
        <v>73</v>
      </c>
      <c r="P10" s="245">
        <f>SUM(P7:P9)</f>
        <v>430000</v>
      </c>
      <c r="Q10" s="252"/>
      <c r="R10" s="252"/>
    </row>
    <row r="11" spans="1:18" ht="30.9" customHeight="1" thickTop="1" thickBot="1">
      <c r="A11" s="176">
        <v>45575</v>
      </c>
      <c r="B11" s="177" t="s">
        <v>491</v>
      </c>
      <c r="C11" s="183">
        <v>658459</v>
      </c>
      <c r="D11" s="183">
        <v>516398</v>
      </c>
      <c r="E11" s="183">
        <f t="shared" si="0"/>
        <v>142061</v>
      </c>
      <c r="F11" s="183">
        <v>0</v>
      </c>
      <c r="G11" s="183">
        <v>0</v>
      </c>
      <c r="H11" s="221">
        <f>H10+E11+F11</f>
        <v>828016</v>
      </c>
      <c r="I11" s="634" t="s">
        <v>477</v>
      </c>
      <c r="J11" s="634"/>
      <c r="K11" s="634"/>
      <c r="L11" s="634"/>
      <c r="M11" s="634"/>
      <c r="N11" s="651"/>
      <c r="O11" s="647" t="s">
        <v>643</v>
      </c>
      <c r="P11" s="647"/>
      <c r="Q11" s="647"/>
      <c r="R11" s="647"/>
    </row>
    <row r="12" spans="1:18" ht="30.9" customHeight="1" thickTop="1" thickBot="1">
      <c r="A12" s="176">
        <v>45576</v>
      </c>
      <c r="B12" s="178" t="s">
        <v>485</v>
      </c>
      <c r="C12" s="183">
        <v>1096333</v>
      </c>
      <c r="D12" s="183">
        <v>428590</v>
      </c>
      <c r="E12" s="183">
        <f t="shared" si="0"/>
        <v>667743</v>
      </c>
      <c r="F12" s="183">
        <v>0</v>
      </c>
      <c r="G12" s="183">
        <v>0</v>
      </c>
      <c r="H12" s="221">
        <f t="shared" si="1"/>
        <v>1495759</v>
      </c>
      <c r="I12" s="232" t="s">
        <v>478</v>
      </c>
      <c r="J12" s="229" t="s">
        <v>479</v>
      </c>
      <c r="K12" s="229" t="s">
        <v>480</v>
      </c>
      <c r="L12" s="229" t="s">
        <v>455</v>
      </c>
      <c r="M12" s="229" t="s">
        <v>468</v>
      </c>
      <c r="N12" s="258" t="s">
        <v>230</v>
      </c>
      <c r="O12" s="650" t="s">
        <v>644</v>
      </c>
      <c r="P12" s="650"/>
      <c r="Q12" s="650"/>
      <c r="R12" s="232"/>
    </row>
    <row r="13" spans="1:18" ht="30.9" customHeight="1" thickTop="1" thickBot="1">
      <c r="A13" s="176">
        <v>45577</v>
      </c>
      <c r="B13" s="178" t="s">
        <v>486</v>
      </c>
      <c r="C13" s="183">
        <v>1111405</v>
      </c>
      <c r="D13" s="183">
        <v>410837</v>
      </c>
      <c r="E13" s="183">
        <f t="shared" si="0"/>
        <v>700568</v>
      </c>
      <c r="F13" s="183">
        <v>-454</v>
      </c>
      <c r="G13" s="183">
        <v>0</v>
      </c>
      <c r="H13" s="221">
        <f t="shared" si="1"/>
        <v>2195873</v>
      </c>
      <c r="I13" s="233">
        <v>340000</v>
      </c>
      <c r="J13" s="229">
        <v>51000</v>
      </c>
      <c r="K13" s="229">
        <v>125500</v>
      </c>
      <c r="L13" s="229">
        <v>28000</v>
      </c>
      <c r="M13" s="229">
        <v>55000</v>
      </c>
      <c r="N13" s="229">
        <v>220000</v>
      </c>
      <c r="O13" s="650" t="s">
        <v>645</v>
      </c>
      <c r="P13" s="650"/>
      <c r="Q13" s="261" t="s">
        <v>646</v>
      </c>
      <c r="R13" s="232"/>
    </row>
    <row r="14" spans="1:18" ht="30.9" customHeight="1" thickTop="1" thickBot="1">
      <c r="A14" s="176">
        <v>45578</v>
      </c>
      <c r="B14" s="178" t="s">
        <v>487</v>
      </c>
      <c r="C14" s="183">
        <v>360317</v>
      </c>
      <c r="D14" s="183">
        <v>767854</v>
      </c>
      <c r="E14" s="183">
        <f t="shared" si="0"/>
        <v>-407537</v>
      </c>
      <c r="F14" s="183">
        <v>-84</v>
      </c>
      <c r="G14" s="183">
        <v>0</v>
      </c>
      <c r="H14" s="221">
        <f t="shared" si="1"/>
        <v>1788252</v>
      </c>
      <c r="I14" s="634"/>
      <c r="J14" s="634"/>
      <c r="K14" s="634"/>
      <c r="L14" s="634"/>
      <c r="M14" s="634"/>
      <c r="N14" s="651"/>
      <c r="O14" s="650"/>
      <c r="P14" s="650"/>
      <c r="Q14" s="261" t="s">
        <v>647</v>
      </c>
      <c r="R14" s="232"/>
    </row>
    <row r="15" spans="1:18" ht="30.9" customHeight="1" thickTop="1" thickBot="1">
      <c r="A15" s="176">
        <v>45579</v>
      </c>
      <c r="B15" s="177" t="s">
        <v>488</v>
      </c>
      <c r="C15" s="183">
        <v>347179</v>
      </c>
      <c r="D15" s="183">
        <v>950660</v>
      </c>
      <c r="E15" s="183">
        <f t="shared" si="0"/>
        <v>-603481</v>
      </c>
      <c r="F15" s="183">
        <v>-74</v>
      </c>
      <c r="G15" s="183">
        <v>0</v>
      </c>
      <c r="H15" s="221">
        <f t="shared" si="1"/>
        <v>1184697</v>
      </c>
      <c r="I15" s="234">
        <v>0</v>
      </c>
      <c r="J15" s="234"/>
      <c r="K15" s="234"/>
      <c r="L15" s="234"/>
      <c r="M15" s="233" t="s">
        <v>670</v>
      </c>
      <c r="N15" s="229">
        <v>48000</v>
      </c>
      <c r="O15" s="650" t="s">
        <v>648</v>
      </c>
      <c r="P15" s="650" t="s">
        <v>649</v>
      </c>
      <c r="Q15" s="650"/>
      <c r="R15" s="232"/>
    </row>
    <row r="16" spans="1:18" ht="30.9" customHeight="1" thickTop="1" thickBot="1">
      <c r="A16" s="176">
        <v>45580</v>
      </c>
      <c r="B16" s="177" t="s">
        <v>489</v>
      </c>
      <c r="C16" s="183">
        <v>335378</v>
      </c>
      <c r="D16" s="183">
        <v>232331</v>
      </c>
      <c r="E16" s="183">
        <f t="shared" si="0"/>
        <v>103047</v>
      </c>
      <c r="F16" s="183">
        <v>0</v>
      </c>
      <c r="G16" s="183">
        <v>0</v>
      </c>
      <c r="H16" s="221">
        <f t="shared" si="1"/>
        <v>1287744</v>
      </c>
      <c r="I16" s="641" t="s">
        <v>247</v>
      </c>
      <c r="J16" s="641"/>
      <c r="K16" s="641"/>
      <c r="L16" s="642">
        <f>SUM(J13:N13)+SUM(I15:N15)+P10</f>
        <v>957500</v>
      </c>
      <c r="M16" s="642"/>
      <c r="N16" s="648"/>
      <c r="O16" s="650"/>
      <c r="P16" s="650" t="s">
        <v>650</v>
      </c>
      <c r="Q16" s="650"/>
      <c r="R16" s="232"/>
    </row>
    <row r="17" spans="1:18" ht="30.9" customHeight="1" thickTop="1" thickBot="1">
      <c r="A17" s="176">
        <v>45581</v>
      </c>
      <c r="B17" s="177" t="s">
        <v>490</v>
      </c>
      <c r="C17" s="183">
        <v>505920</v>
      </c>
      <c r="D17" s="183">
        <v>317061</v>
      </c>
      <c r="E17" s="183">
        <f t="shared" si="0"/>
        <v>188859</v>
      </c>
      <c r="F17" s="183">
        <v>-44</v>
      </c>
      <c r="G17" s="183">
        <v>0</v>
      </c>
      <c r="H17" s="221">
        <f t="shared" si="1"/>
        <v>1476559</v>
      </c>
      <c r="I17" s="643" t="s">
        <v>482</v>
      </c>
      <c r="J17" s="643"/>
      <c r="K17" s="643"/>
      <c r="L17" s="643"/>
      <c r="M17" s="643"/>
      <c r="N17" s="649"/>
      <c r="O17" s="261" t="s">
        <v>651</v>
      </c>
      <c r="P17" s="650" t="s">
        <v>652</v>
      </c>
      <c r="Q17" s="650"/>
      <c r="R17" s="232"/>
    </row>
    <row r="18" spans="1:18" ht="30.9" customHeight="1" thickTop="1" thickBot="1">
      <c r="A18" s="176">
        <v>45582</v>
      </c>
      <c r="B18" s="177" t="s">
        <v>491</v>
      </c>
      <c r="C18" s="183">
        <v>508020</v>
      </c>
      <c r="D18" s="183">
        <v>890689</v>
      </c>
      <c r="E18" s="183">
        <f t="shared" si="0"/>
        <v>-382669</v>
      </c>
      <c r="F18" s="183">
        <v>-74</v>
      </c>
      <c r="G18" s="183">
        <v>0</v>
      </c>
      <c r="H18" s="221">
        <f t="shared" si="1"/>
        <v>1093816</v>
      </c>
      <c r="I18" s="222"/>
      <c r="J18" s="235"/>
      <c r="K18" s="222"/>
      <c r="L18" s="222"/>
      <c r="M18" s="236" t="s">
        <v>498</v>
      </c>
      <c r="N18" s="256" t="s">
        <v>247</v>
      </c>
      <c r="O18" s="650" t="s">
        <v>653</v>
      </c>
      <c r="P18" s="650"/>
      <c r="Q18" s="650"/>
      <c r="R18" s="232"/>
    </row>
    <row r="19" spans="1:18" ht="30.9" customHeight="1" thickTop="1" thickBot="1">
      <c r="A19" s="176">
        <v>45583</v>
      </c>
      <c r="B19" s="178" t="s">
        <v>485</v>
      </c>
      <c r="C19" s="183">
        <v>623337</v>
      </c>
      <c r="D19" s="183">
        <v>863742</v>
      </c>
      <c r="E19" s="183">
        <f t="shared" si="0"/>
        <v>-240405</v>
      </c>
      <c r="F19" s="183">
        <v>0</v>
      </c>
      <c r="G19" s="183">
        <v>0</v>
      </c>
      <c r="H19" s="221">
        <f>H18+E19+F19</f>
        <v>853411</v>
      </c>
      <c r="I19" s="237"/>
      <c r="J19" s="237"/>
      <c r="K19" s="237"/>
      <c r="L19" s="237"/>
      <c r="M19" s="238">
        <f>N23</f>
        <v>126130</v>
      </c>
      <c r="N19" s="257">
        <f>SUM(I19:M19)</f>
        <v>126130</v>
      </c>
      <c r="O19" s="652" t="s">
        <v>654</v>
      </c>
      <c r="P19" s="652"/>
      <c r="Q19" s="652"/>
      <c r="R19" s="232"/>
    </row>
    <row r="20" spans="1:18" ht="30.9" customHeight="1" thickTop="1" thickBot="1">
      <c r="A20" s="176">
        <v>45584</v>
      </c>
      <c r="B20" s="178" t="s">
        <v>486</v>
      </c>
      <c r="C20" s="183">
        <v>407209</v>
      </c>
      <c r="D20" s="183">
        <v>443904</v>
      </c>
      <c r="E20" s="183">
        <f t="shared" si="0"/>
        <v>-36695</v>
      </c>
      <c r="F20" s="183">
        <v>0</v>
      </c>
      <c r="G20" s="183">
        <v>0</v>
      </c>
      <c r="H20" s="221">
        <f t="shared" si="1"/>
        <v>816716</v>
      </c>
      <c r="I20" s="232"/>
      <c r="J20" s="232"/>
      <c r="K20" s="232"/>
      <c r="L20" s="232"/>
      <c r="M20" s="232"/>
      <c r="N20" s="232"/>
      <c r="O20" s="652" t="s">
        <v>655</v>
      </c>
      <c r="P20" s="652"/>
      <c r="Q20" s="652"/>
      <c r="R20" s="232"/>
    </row>
    <row r="21" spans="1:18" ht="30.9" customHeight="1" thickTop="1" thickBot="1">
      <c r="A21" s="176">
        <v>45585</v>
      </c>
      <c r="B21" s="178" t="s">
        <v>487</v>
      </c>
      <c r="C21" s="183">
        <v>374751</v>
      </c>
      <c r="D21" s="183">
        <v>73699</v>
      </c>
      <c r="E21" s="183">
        <f t="shared" si="0"/>
        <v>301052</v>
      </c>
      <c r="F21" s="183">
        <v>-741</v>
      </c>
      <c r="G21" s="183">
        <v>0</v>
      </c>
      <c r="H21" s="221">
        <f t="shared" si="1"/>
        <v>1117027</v>
      </c>
      <c r="I21" s="644" t="s">
        <v>497</v>
      </c>
      <c r="J21" s="644"/>
      <c r="K21" s="644"/>
      <c r="L21" s="644"/>
      <c r="M21" s="644"/>
      <c r="N21" s="644"/>
      <c r="O21" s="653" t="s">
        <v>247</v>
      </c>
      <c r="P21" s="653"/>
      <c r="Q21" s="653"/>
      <c r="R21" s="262">
        <f>SUM(R12:R20)</f>
        <v>0</v>
      </c>
    </row>
    <row r="22" spans="1:18" ht="30.9" customHeight="1" thickTop="1" thickBot="1">
      <c r="A22" s="176">
        <v>45586</v>
      </c>
      <c r="B22" s="177" t="s">
        <v>488</v>
      </c>
      <c r="C22" s="183">
        <v>336788</v>
      </c>
      <c r="D22" s="183">
        <v>102019</v>
      </c>
      <c r="E22" s="183">
        <f t="shared" si="0"/>
        <v>234769</v>
      </c>
      <c r="F22" s="183">
        <v>-584</v>
      </c>
      <c r="G22" s="183">
        <v>0</v>
      </c>
      <c r="H22" s="221">
        <f t="shared" si="1"/>
        <v>1351212</v>
      </c>
      <c r="I22" s="235" t="s">
        <v>625</v>
      </c>
      <c r="J22" s="222" t="s">
        <v>664</v>
      </c>
      <c r="K22" s="222" t="s">
        <v>142</v>
      </c>
      <c r="L22" s="222" t="s">
        <v>638</v>
      </c>
      <c r="M22" s="222" t="s">
        <v>494</v>
      </c>
      <c r="N22" s="254" t="s">
        <v>247</v>
      </c>
      <c r="O22" s="661"/>
      <c r="P22" s="662"/>
      <c r="Q22" s="662"/>
      <c r="R22" s="662"/>
    </row>
    <row r="23" spans="1:18" ht="30.9" customHeight="1" thickTop="1" thickBot="1">
      <c r="A23" s="176">
        <v>45587</v>
      </c>
      <c r="B23" s="177" t="s">
        <v>489</v>
      </c>
      <c r="C23" s="183">
        <v>303088</v>
      </c>
      <c r="D23" s="183">
        <v>269685</v>
      </c>
      <c r="E23" s="183">
        <f t="shared" si="0"/>
        <v>33403</v>
      </c>
      <c r="F23" s="183">
        <v>0</v>
      </c>
      <c r="G23" s="183">
        <v>0</v>
      </c>
      <c r="H23" s="221">
        <f t="shared" si="1"/>
        <v>1384615</v>
      </c>
      <c r="I23" s="237">
        <v>0</v>
      </c>
      <c r="J23" s="237">
        <v>0</v>
      </c>
      <c r="K23" s="237">
        <v>5750</v>
      </c>
      <c r="L23" s="237">
        <v>22000</v>
      </c>
      <c r="M23" s="237">
        <v>98380</v>
      </c>
      <c r="N23" s="255">
        <f>SUM(J23:M23)</f>
        <v>126130</v>
      </c>
      <c r="O23" s="647" t="s">
        <v>665</v>
      </c>
      <c r="P23" s="647"/>
      <c r="Q23" s="647"/>
      <c r="R23" s="647"/>
    </row>
    <row r="24" spans="1:18" ht="30.9" customHeight="1" thickTop="1" thickBot="1">
      <c r="A24" s="176">
        <v>45588</v>
      </c>
      <c r="B24" s="177" t="s">
        <v>490</v>
      </c>
      <c r="C24" s="183">
        <v>248407</v>
      </c>
      <c r="D24" s="183">
        <v>195332</v>
      </c>
      <c r="E24" s="183">
        <f t="shared" si="0"/>
        <v>53075</v>
      </c>
      <c r="F24" s="183">
        <v>-85</v>
      </c>
      <c r="G24" s="183">
        <v>0</v>
      </c>
      <c r="H24" s="184">
        <f t="shared" si="1"/>
        <v>1437605</v>
      </c>
      <c r="O24" s="656" t="s">
        <v>666</v>
      </c>
      <c r="P24" s="658"/>
      <c r="Q24" s="657"/>
      <c r="R24" s="232"/>
    </row>
    <row r="25" spans="1:18" ht="30.9" customHeight="1" thickTop="1" thickBot="1">
      <c r="A25" s="176">
        <v>45589</v>
      </c>
      <c r="B25" s="177" t="s">
        <v>491</v>
      </c>
      <c r="C25" s="183">
        <v>492265</v>
      </c>
      <c r="D25" s="183">
        <v>187161</v>
      </c>
      <c r="E25" s="183">
        <f t="shared" si="0"/>
        <v>305104</v>
      </c>
      <c r="F25" s="183">
        <v>0</v>
      </c>
      <c r="G25" s="183">
        <v>0</v>
      </c>
      <c r="H25" s="184">
        <f t="shared" si="1"/>
        <v>1742709</v>
      </c>
      <c r="O25" s="263"/>
      <c r="P25" s="656"/>
      <c r="Q25" s="657"/>
      <c r="R25" s="232"/>
    </row>
    <row r="26" spans="1:18" ht="30.9" customHeight="1" thickTop="1" thickBot="1">
      <c r="A26" s="176">
        <v>45590</v>
      </c>
      <c r="B26" s="178" t="s">
        <v>485</v>
      </c>
      <c r="C26" s="183">
        <v>1234567</v>
      </c>
      <c r="D26" s="183">
        <v>402678</v>
      </c>
      <c r="E26" s="183">
        <f t="shared" si="0"/>
        <v>831889</v>
      </c>
      <c r="F26" s="183">
        <v>-74</v>
      </c>
      <c r="G26" s="183">
        <v>0</v>
      </c>
      <c r="H26" s="184">
        <f t="shared" si="1"/>
        <v>2574524</v>
      </c>
      <c r="O26" s="263"/>
      <c r="P26" s="656"/>
      <c r="Q26" s="657"/>
      <c r="R26" s="232"/>
    </row>
    <row r="27" spans="1:18" ht="30.9" customHeight="1" thickTop="1" thickBot="1">
      <c r="A27" s="176">
        <v>45591</v>
      </c>
      <c r="B27" s="178" t="s">
        <v>486</v>
      </c>
      <c r="C27" s="183">
        <v>1192480</v>
      </c>
      <c r="D27" s="183">
        <v>376538</v>
      </c>
      <c r="E27" s="183">
        <f t="shared" si="0"/>
        <v>815942</v>
      </c>
      <c r="F27" s="183">
        <v>1</v>
      </c>
      <c r="G27" s="183">
        <v>0</v>
      </c>
      <c r="H27" s="184">
        <f t="shared" si="1"/>
        <v>3390467</v>
      </c>
      <c r="O27" s="263"/>
      <c r="P27" s="656"/>
      <c r="Q27" s="657"/>
      <c r="R27" s="232"/>
    </row>
    <row r="28" spans="1:18" ht="30.9" customHeight="1" thickTop="1" thickBot="1">
      <c r="A28" s="176">
        <v>45592</v>
      </c>
      <c r="B28" s="178" t="s">
        <v>487</v>
      </c>
      <c r="C28" s="183">
        <v>492084</v>
      </c>
      <c r="D28" s="183">
        <v>654425</v>
      </c>
      <c r="E28" s="183">
        <f t="shared" si="0"/>
        <v>-162341</v>
      </c>
      <c r="F28" s="183">
        <v>-77</v>
      </c>
      <c r="G28" s="183">
        <v>0</v>
      </c>
      <c r="H28" s="184">
        <f t="shared" si="1"/>
        <v>3228049</v>
      </c>
      <c r="O28" s="263"/>
      <c r="P28" s="656"/>
      <c r="Q28" s="657"/>
      <c r="R28" s="232"/>
    </row>
    <row r="29" spans="1:18" ht="30.9" customHeight="1" thickTop="1" thickBot="1">
      <c r="A29" s="176">
        <v>45593</v>
      </c>
      <c r="B29" s="177" t="s">
        <v>488</v>
      </c>
      <c r="C29" s="183">
        <v>475211</v>
      </c>
      <c r="D29" s="183">
        <v>773466</v>
      </c>
      <c r="E29" s="183">
        <f t="shared" si="0"/>
        <v>-298255</v>
      </c>
      <c r="F29" s="183">
        <v>-456</v>
      </c>
      <c r="G29" s="183">
        <v>0</v>
      </c>
      <c r="H29" s="184">
        <f t="shared" si="1"/>
        <v>2929338</v>
      </c>
      <c r="O29" s="656" t="s">
        <v>667</v>
      </c>
      <c r="P29" s="658"/>
      <c r="Q29" s="657"/>
      <c r="R29" s="232"/>
    </row>
    <row r="30" spans="1:18" ht="30.9" customHeight="1" thickTop="1" thickBot="1">
      <c r="A30" s="176">
        <v>45594</v>
      </c>
      <c r="B30" s="177" t="s">
        <v>489</v>
      </c>
      <c r="C30" s="183">
        <v>383715</v>
      </c>
      <c r="D30" s="183">
        <v>417729</v>
      </c>
      <c r="E30" s="183">
        <f t="shared" si="0"/>
        <v>-34014</v>
      </c>
      <c r="F30" s="183">
        <v>-754</v>
      </c>
      <c r="G30" s="183">
        <v>0</v>
      </c>
      <c r="H30" s="184">
        <f t="shared" si="1"/>
        <v>2894570</v>
      </c>
      <c r="O30" s="263"/>
      <c r="P30" s="656"/>
      <c r="Q30" s="657"/>
      <c r="R30" s="232"/>
    </row>
    <row r="31" spans="1:18" ht="30.9" customHeight="1" thickTop="1" thickBot="1">
      <c r="A31" s="176">
        <v>45595</v>
      </c>
      <c r="B31" s="177" t="s">
        <v>490</v>
      </c>
      <c r="C31" s="183">
        <v>399969</v>
      </c>
      <c r="D31" s="183">
        <v>373887</v>
      </c>
      <c r="E31" s="183">
        <f t="shared" si="0"/>
        <v>26082</v>
      </c>
      <c r="F31" s="183">
        <v>0</v>
      </c>
      <c r="G31" s="183">
        <v>0</v>
      </c>
      <c r="H31" s="184">
        <f>H30+E31+F31</f>
        <v>2920652</v>
      </c>
      <c r="O31" s="232"/>
      <c r="P31" s="659"/>
      <c r="Q31" s="660"/>
      <c r="R31" s="232"/>
    </row>
    <row r="32" spans="1:18" ht="30.9" customHeight="1" thickTop="1" thickBot="1">
      <c r="A32" s="176">
        <v>45596</v>
      </c>
      <c r="B32" s="177" t="s">
        <v>491</v>
      </c>
      <c r="C32" s="183">
        <v>485278</v>
      </c>
      <c r="D32" s="183">
        <v>542772</v>
      </c>
      <c r="E32" s="183">
        <f>C32-D32</f>
        <v>-57494</v>
      </c>
      <c r="F32" s="183">
        <v>-441</v>
      </c>
      <c r="G32" s="183">
        <v>0</v>
      </c>
      <c r="H32" s="184">
        <f t="shared" si="1"/>
        <v>2862717</v>
      </c>
      <c r="O32" s="232"/>
      <c r="P32" s="659"/>
      <c r="Q32" s="660"/>
      <c r="R32" s="232"/>
    </row>
    <row r="33" spans="1:17" ht="30.9" customHeight="1" thickTop="1">
      <c r="A33" s="264"/>
      <c r="B33" s="265"/>
      <c r="C33" s="183">
        <v>0</v>
      </c>
      <c r="D33" s="183">
        <f>300000+150000+200000</f>
        <v>650000</v>
      </c>
      <c r="E33" s="183">
        <f>C33-D33</f>
        <v>-650000</v>
      </c>
      <c r="F33" s="183"/>
      <c r="G33" s="183"/>
      <c r="H33" s="184">
        <f t="shared" si="1"/>
        <v>2212717</v>
      </c>
      <c r="P33" s="81"/>
      <c r="Q33" s="81"/>
    </row>
    <row r="34" spans="1:17" ht="45" customHeight="1">
      <c r="A34" s="476" t="s">
        <v>247</v>
      </c>
      <c r="B34" s="477"/>
      <c r="C34" s="145">
        <f>SUM(C2:C33)</f>
        <v>16255296</v>
      </c>
      <c r="D34" s="145">
        <f>SUM(D2:D33)</f>
        <v>14036193</v>
      </c>
      <c r="E34" s="145">
        <f>SUM(E2:E32)</f>
        <v>2869103</v>
      </c>
      <c r="F34" s="145">
        <f>SUM(F2:F32)</f>
        <v>-6386</v>
      </c>
      <c r="G34" s="145">
        <f>SUM(G2:G32)</f>
        <v>0</v>
      </c>
      <c r="H34" s="145">
        <f>C34-D34</f>
        <v>2219103</v>
      </c>
    </row>
    <row r="35" spans="1:17">
      <c r="A35" s="69"/>
    </row>
    <row r="36" spans="1:17">
      <c r="A36" s="69"/>
    </row>
    <row r="37" spans="1:17">
      <c r="A37" s="69"/>
    </row>
    <row r="38" spans="1:17">
      <c r="A38" s="69"/>
    </row>
    <row r="39" spans="1:17">
      <c r="A39" s="69"/>
    </row>
    <row r="40" spans="1:17" ht="21" customHeight="1">
      <c r="A40" s="69"/>
    </row>
    <row r="41" spans="1:17" ht="23.1" customHeight="1">
      <c r="A41" s="69"/>
    </row>
    <row r="42" spans="1:17">
      <c r="A42" s="69"/>
    </row>
    <row r="43" spans="1:17" ht="29.1" customHeight="1">
      <c r="A43" s="69"/>
    </row>
    <row r="44" spans="1:17" ht="15" customHeight="1">
      <c r="A44" s="69"/>
    </row>
    <row r="45" spans="1:17">
      <c r="A45" s="69"/>
    </row>
    <row r="46" spans="1:17">
      <c r="A46" s="69"/>
    </row>
    <row r="47" spans="1:17">
      <c r="A47" s="69"/>
    </row>
    <row r="48" spans="1:17">
      <c r="A48" s="69"/>
    </row>
    <row r="49" spans="1:1">
      <c r="A49" s="69"/>
    </row>
    <row r="50" spans="1:1">
      <c r="A50" s="69"/>
    </row>
    <row r="51" spans="1:1" ht="18.899999999999999" customHeight="1">
      <c r="A51" s="69"/>
    </row>
  </sheetData>
  <mergeCells count="46">
    <mergeCell ref="A34:B34"/>
    <mergeCell ref="O22:R22"/>
    <mergeCell ref="O23:R23"/>
    <mergeCell ref="O24:Q24"/>
    <mergeCell ref="P25:Q25"/>
    <mergeCell ref="P26:Q26"/>
    <mergeCell ref="P27:Q27"/>
    <mergeCell ref="P28:Q28"/>
    <mergeCell ref="O29:Q29"/>
    <mergeCell ref="P30:Q30"/>
    <mergeCell ref="P31:Q31"/>
    <mergeCell ref="P32:Q32"/>
    <mergeCell ref="I21:N21"/>
    <mergeCell ref="O21:Q21"/>
    <mergeCell ref="O12:Q12"/>
    <mergeCell ref="O13:P14"/>
    <mergeCell ref="I14:N14"/>
    <mergeCell ref="O15:O16"/>
    <mergeCell ref="P15:Q15"/>
    <mergeCell ref="I16:K16"/>
    <mergeCell ref="L16:N16"/>
    <mergeCell ref="P16:Q16"/>
    <mergeCell ref="I17:N17"/>
    <mergeCell ref="P17:Q17"/>
    <mergeCell ref="O18:Q18"/>
    <mergeCell ref="O19:Q19"/>
    <mergeCell ref="O20:Q20"/>
    <mergeCell ref="O11:R11"/>
    <mergeCell ref="I4:I5"/>
    <mergeCell ref="M4:N4"/>
    <mergeCell ref="M5:N5"/>
    <mergeCell ref="O5:R5"/>
    <mergeCell ref="I6:N6"/>
    <mergeCell ref="O6:P6"/>
    <mergeCell ref="Q6:R6"/>
    <mergeCell ref="M7:N7"/>
    <mergeCell ref="M8:N8"/>
    <mergeCell ref="J9:N9"/>
    <mergeCell ref="I10:N10"/>
    <mergeCell ref="I11:N11"/>
    <mergeCell ref="M3:N3"/>
    <mergeCell ref="A1:B1"/>
    <mergeCell ref="I1:N1"/>
    <mergeCell ref="O1:R1"/>
    <mergeCell ref="I2:N2"/>
    <mergeCell ref="O2:R2"/>
  </mergeCells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85E5C-9B0C-448B-9F4C-85F1FCEA5803}">
  <dimension ref="A1:R51"/>
  <sheetViews>
    <sheetView zoomScale="95" zoomScaleNormal="95" workbookViewId="0">
      <selection activeCell="I1" sqref="I1:N1"/>
    </sheetView>
  </sheetViews>
  <sheetFormatPr defaultColWidth="10.6328125" defaultRowHeight="18"/>
  <cols>
    <col min="1" max="1" width="5.90625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8" style="69" customWidth="1"/>
    <col min="7" max="7" width="7.90625" style="69" customWidth="1"/>
    <col min="8" max="8" width="12.453125" style="69" customWidth="1"/>
    <col min="9" max="14" width="11.453125" style="69" customWidth="1"/>
    <col min="15" max="16" width="7" style="69" customWidth="1"/>
    <col min="17" max="17" width="11.453125" style="69" customWidth="1"/>
    <col min="18" max="18" width="21" style="69" customWidth="1"/>
    <col min="19" max="16384" width="10.6328125" style="69"/>
  </cols>
  <sheetData>
    <row r="1" spans="1:18" ht="24" customHeight="1" thickTop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133" t="s">
        <v>463</v>
      </c>
      <c r="H1" s="220" t="s">
        <v>464</v>
      </c>
      <c r="I1" s="663" t="s">
        <v>684</v>
      </c>
      <c r="J1" s="663"/>
      <c r="K1" s="663"/>
      <c r="L1" s="663"/>
      <c r="M1" s="663"/>
      <c r="N1" s="663"/>
      <c r="O1" s="631" t="s">
        <v>642</v>
      </c>
      <c r="P1" s="632"/>
      <c r="Q1" s="632"/>
      <c r="R1" s="632"/>
    </row>
    <row r="2" spans="1:18" ht="30.9" customHeight="1" thickTop="1" thickBot="1">
      <c r="A2" s="176">
        <v>45597</v>
      </c>
      <c r="B2" s="178" t="s">
        <v>485</v>
      </c>
      <c r="C2" s="183">
        <v>1015447</v>
      </c>
      <c r="D2" s="183">
        <v>780873</v>
      </c>
      <c r="E2" s="183">
        <f>C2-D2</f>
        <v>234574</v>
      </c>
      <c r="F2" s="183">
        <v>-14</v>
      </c>
      <c r="G2" s="183">
        <v>0</v>
      </c>
      <c r="H2" s="221">
        <f>E2+F2</f>
        <v>234560</v>
      </c>
      <c r="I2" s="630" t="s">
        <v>249</v>
      </c>
      <c r="J2" s="630"/>
      <c r="K2" s="630"/>
      <c r="L2" s="630"/>
      <c r="M2" s="630"/>
      <c r="N2" s="630"/>
      <c r="O2" s="627" t="s">
        <v>638</v>
      </c>
      <c r="P2" s="628"/>
      <c r="Q2" s="628"/>
      <c r="R2" s="628"/>
    </row>
    <row r="3" spans="1:18" ht="30.9" customHeight="1" thickTop="1" thickBot="1">
      <c r="A3" s="176">
        <v>45598</v>
      </c>
      <c r="B3" s="178" t="s">
        <v>486</v>
      </c>
      <c r="C3" s="183">
        <v>747841</v>
      </c>
      <c r="D3" s="183">
        <v>572699</v>
      </c>
      <c r="E3" s="183">
        <f t="shared" ref="E3:E31" si="0">C3-D3</f>
        <v>175142</v>
      </c>
      <c r="F3" s="183">
        <v>-447</v>
      </c>
      <c r="G3" s="183">
        <v>0</v>
      </c>
      <c r="H3" s="221">
        <f>H2+E3+F3</f>
        <v>409255</v>
      </c>
      <c r="I3" s="223" t="s">
        <v>247</v>
      </c>
      <c r="J3" s="222" t="s">
        <v>251</v>
      </c>
      <c r="K3" s="222" t="s">
        <v>252</v>
      </c>
      <c r="L3" s="222" t="s">
        <v>449</v>
      </c>
      <c r="M3" s="630" t="s">
        <v>415</v>
      </c>
      <c r="N3" s="630"/>
      <c r="O3" s="246"/>
      <c r="P3" s="247"/>
      <c r="Q3" s="247"/>
      <c r="R3" s="247"/>
    </row>
    <row r="4" spans="1:18" ht="30.9" customHeight="1" thickTop="1" thickBot="1">
      <c r="A4" s="176">
        <v>45599</v>
      </c>
      <c r="B4" s="178" t="s">
        <v>487</v>
      </c>
      <c r="C4" s="183">
        <v>577165</v>
      </c>
      <c r="D4" s="183">
        <v>213082</v>
      </c>
      <c r="E4" s="183">
        <f t="shared" si="0"/>
        <v>364083</v>
      </c>
      <c r="F4" s="183">
        <v>0</v>
      </c>
      <c r="G4" s="183">
        <v>0</v>
      </c>
      <c r="H4" s="221">
        <f t="shared" ref="H4:H33" si="1">H3+E4+F4</f>
        <v>773338</v>
      </c>
      <c r="I4" s="635">
        <f>C34</f>
        <v>17425659</v>
      </c>
      <c r="J4" s="224">
        <f>G34</f>
        <v>0</v>
      </c>
      <c r="K4" s="224"/>
      <c r="L4" s="224">
        <f>F34</f>
        <v>-4217</v>
      </c>
      <c r="M4" s="636">
        <v>20234</v>
      </c>
      <c r="N4" s="636"/>
      <c r="O4" s="249"/>
      <c r="P4" s="250"/>
      <c r="Q4" s="250"/>
      <c r="R4" s="250"/>
    </row>
    <row r="5" spans="1:18" ht="30.9" customHeight="1" thickTop="1" thickBot="1">
      <c r="A5" s="176">
        <v>45600</v>
      </c>
      <c r="B5" s="177" t="s">
        <v>488</v>
      </c>
      <c r="C5" s="183">
        <v>443530</v>
      </c>
      <c r="D5" s="183">
        <v>475990</v>
      </c>
      <c r="E5" s="183">
        <f t="shared" si="0"/>
        <v>-32460</v>
      </c>
      <c r="F5" s="183">
        <v>0</v>
      </c>
      <c r="G5" s="183">
        <v>0</v>
      </c>
      <c r="H5" s="221">
        <f t="shared" si="1"/>
        <v>740878</v>
      </c>
      <c r="I5" s="635"/>
      <c r="J5" s="225">
        <f>J4/I4</f>
        <v>0</v>
      </c>
      <c r="K5" s="225">
        <f>K4/I4</f>
        <v>0</v>
      </c>
      <c r="L5" s="226">
        <f>L4/I4</f>
        <v>-2.4199945608943685E-4</v>
      </c>
      <c r="M5" s="637">
        <f>M4/I4</f>
        <v>1.1611612507739307E-3</v>
      </c>
      <c r="N5" s="637"/>
      <c r="O5" s="654" t="s">
        <v>639</v>
      </c>
      <c r="P5" s="655"/>
      <c r="Q5" s="655"/>
      <c r="R5" s="655"/>
    </row>
    <row r="6" spans="1:18" ht="30.9" customHeight="1" thickTop="1" thickBot="1">
      <c r="A6" s="176">
        <v>45601</v>
      </c>
      <c r="B6" s="177" t="s">
        <v>489</v>
      </c>
      <c r="C6" s="183">
        <v>406374</v>
      </c>
      <c r="D6" s="183">
        <v>544677</v>
      </c>
      <c r="E6" s="183">
        <f t="shared" si="0"/>
        <v>-138303</v>
      </c>
      <c r="F6" s="183">
        <v>-74</v>
      </c>
      <c r="G6" s="183">
        <v>0</v>
      </c>
      <c r="H6" s="221">
        <f t="shared" si="1"/>
        <v>602501</v>
      </c>
      <c r="I6" s="630" t="s">
        <v>250</v>
      </c>
      <c r="J6" s="630"/>
      <c r="K6" s="630"/>
      <c r="L6" s="630"/>
      <c r="M6" s="630"/>
      <c r="N6" s="630"/>
      <c r="O6" s="630" t="s">
        <v>231</v>
      </c>
      <c r="P6" s="630"/>
      <c r="Q6" s="490"/>
      <c r="R6" s="490"/>
    </row>
    <row r="7" spans="1:18" ht="30.9" customHeight="1" thickTop="1" thickBot="1">
      <c r="A7" s="176">
        <v>45602</v>
      </c>
      <c r="B7" s="177" t="s">
        <v>490</v>
      </c>
      <c r="C7" s="183">
        <v>290616</v>
      </c>
      <c r="D7" s="183">
        <v>431521</v>
      </c>
      <c r="E7" s="183">
        <f t="shared" si="0"/>
        <v>-140905</v>
      </c>
      <c r="F7" s="183">
        <v>-41</v>
      </c>
      <c r="G7" s="183">
        <v>0</v>
      </c>
      <c r="H7" s="221">
        <f t="shared" si="1"/>
        <v>461555</v>
      </c>
      <c r="I7" s="222" t="s">
        <v>241</v>
      </c>
      <c r="J7" s="222" t="s">
        <v>253</v>
      </c>
      <c r="K7" s="227" t="s">
        <v>624</v>
      </c>
      <c r="L7" s="222"/>
      <c r="M7" s="638" t="s">
        <v>247</v>
      </c>
      <c r="N7" s="638"/>
      <c r="O7" s="242" t="s">
        <v>640</v>
      </c>
      <c r="P7" s="243">
        <f>I13</f>
        <v>340000</v>
      </c>
    </row>
    <row r="8" spans="1:18" ht="30.9" customHeight="1" thickTop="1" thickBot="1">
      <c r="A8" s="176">
        <v>45603</v>
      </c>
      <c r="B8" s="177" t="s">
        <v>491</v>
      </c>
      <c r="C8" s="183">
        <v>381785</v>
      </c>
      <c r="D8" s="183">
        <v>326166</v>
      </c>
      <c r="E8" s="183">
        <f t="shared" si="0"/>
        <v>55619</v>
      </c>
      <c r="F8" s="183">
        <v>-411</v>
      </c>
      <c r="G8" s="183">
        <v>0</v>
      </c>
      <c r="H8" s="221">
        <f t="shared" si="1"/>
        <v>516763</v>
      </c>
      <c r="I8" s="228">
        <f>D34</f>
        <v>15441818</v>
      </c>
      <c r="J8" s="229">
        <f>L16</f>
        <v>986930</v>
      </c>
      <c r="K8" s="230">
        <f>N19</f>
        <v>116004</v>
      </c>
      <c r="L8" s="229"/>
      <c r="M8" s="639">
        <f>SUM(I8:L8)</f>
        <v>16544752</v>
      </c>
      <c r="N8" s="639"/>
      <c r="O8" s="242" t="s">
        <v>641</v>
      </c>
      <c r="P8" s="243">
        <v>55000</v>
      </c>
    </row>
    <row r="9" spans="1:18" ht="30.9" customHeight="1" thickTop="1" thickBot="1">
      <c r="A9" s="176">
        <v>45604</v>
      </c>
      <c r="B9" s="178" t="s">
        <v>485</v>
      </c>
      <c r="C9" s="183">
        <v>764937</v>
      </c>
      <c r="D9" s="183">
        <v>441049</v>
      </c>
      <c r="E9" s="183">
        <f t="shared" si="0"/>
        <v>323888</v>
      </c>
      <c r="F9" s="183">
        <v>0</v>
      </c>
      <c r="G9" s="183">
        <v>0</v>
      </c>
      <c r="H9" s="221">
        <f t="shared" si="1"/>
        <v>840651</v>
      </c>
      <c r="I9" s="231" t="s">
        <v>266</v>
      </c>
      <c r="J9" s="623">
        <f>I4-M8-M4+L4</f>
        <v>856456</v>
      </c>
      <c r="K9" s="623"/>
      <c r="L9" s="623"/>
      <c r="M9" s="623"/>
      <c r="N9" s="623"/>
      <c r="O9" s="241" t="s">
        <v>495</v>
      </c>
      <c r="P9" s="243">
        <v>35000</v>
      </c>
    </row>
    <row r="10" spans="1:18" ht="30.9" customHeight="1" thickTop="1" thickBot="1">
      <c r="A10" s="176">
        <v>45605</v>
      </c>
      <c r="B10" s="178" t="s">
        <v>486</v>
      </c>
      <c r="C10" s="183">
        <v>726422</v>
      </c>
      <c r="D10" s="183">
        <v>616898</v>
      </c>
      <c r="E10" s="183">
        <f t="shared" si="0"/>
        <v>109524</v>
      </c>
      <c r="F10" s="183">
        <v>0</v>
      </c>
      <c r="G10" s="183">
        <v>0</v>
      </c>
      <c r="H10" s="221">
        <f t="shared" si="1"/>
        <v>950175</v>
      </c>
      <c r="I10" s="640" t="s">
        <v>257</v>
      </c>
      <c r="J10" s="640"/>
      <c r="K10" s="640"/>
      <c r="L10" s="640"/>
      <c r="M10" s="640"/>
      <c r="N10" s="640"/>
      <c r="O10" s="244" t="s">
        <v>73</v>
      </c>
      <c r="P10" s="245">
        <f>SUM(P7:P9)</f>
        <v>430000</v>
      </c>
      <c r="Q10" s="252"/>
      <c r="R10" s="252"/>
    </row>
    <row r="11" spans="1:18" ht="30.9" customHeight="1" thickTop="1" thickBot="1">
      <c r="A11" s="176">
        <v>45606</v>
      </c>
      <c r="B11" s="178" t="s">
        <v>487</v>
      </c>
      <c r="C11" s="183">
        <v>320632</v>
      </c>
      <c r="D11" s="183">
        <v>485994</v>
      </c>
      <c r="E11" s="183">
        <f t="shared" si="0"/>
        <v>-165362</v>
      </c>
      <c r="F11" s="183">
        <v>-44</v>
      </c>
      <c r="G11" s="183">
        <v>0</v>
      </c>
      <c r="H11" s="221">
        <f>H10+E11+F11</f>
        <v>784769</v>
      </c>
      <c r="I11" s="634" t="s">
        <v>477</v>
      </c>
      <c r="J11" s="634"/>
      <c r="K11" s="634"/>
      <c r="L11" s="634"/>
      <c r="M11" s="634"/>
      <c r="N11" s="651"/>
      <c r="O11" s="647" t="s">
        <v>643</v>
      </c>
      <c r="P11" s="647"/>
      <c r="Q11" s="647"/>
      <c r="R11" s="647"/>
    </row>
    <row r="12" spans="1:18" ht="30.9" customHeight="1" thickTop="1" thickBot="1">
      <c r="A12" s="176">
        <v>45607</v>
      </c>
      <c r="B12" s="177" t="s">
        <v>488</v>
      </c>
      <c r="C12" s="183">
        <v>482556</v>
      </c>
      <c r="D12" s="183">
        <v>217684</v>
      </c>
      <c r="E12" s="183">
        <f t="shared" si="0"/>
        <v>264872</v>
      </c>
      <c r="F12" s="183">
        <v>-741</v>
      </c>
      <c r="G12" s="183">
        <v>0</v>
      </c>
      <c r="H12" s="221">
        <f t="shared" si="1"/>
        <v>1048900</v>
      </c>
      <c r="I12" s="232" t="s">
        <v>478</v>
      </c>
      <c r="J12" s="229" t="s">
        <v>479</v>
      </c>
      <c r="K12" s="229" t="s">
        <v>480</v>
      </c>
      <c r="L12" s="229" t="s">
        <v>455</v>
      </c>
      <c r="M12" s="229" t="s">
        <v>468</v>
      </c>
      <c r="N12" s="258" t="s">
        <v>230</v>
      </c>
      <c r="O12" s="650" t="s">
        <v>644</v>
      </c>
      <c r="P12" s="650"/>
      <c r="Q12" s="650"/>
      <c r="R12" s="232"/>
    </row>
    <row r="13" spans="1:18" ht="30.9" customHeight="1" thickTop="1" thickBot="1">
      <c r="A13" s="176">
        <v>45608</v>
      </c>
      <c r="B13" s="177" t="s">
        <v>489</v>
      </c>
      <c r="C13" s="183">
        <v>563304</v>
      </c>
      <c r="D13" s="183">
        <v>471159</v>
      </c>
      <c r="E13" s="183">
        <f t="shared" si="0"/>
        <v>92145</v>
      </c>
      <c r="F13" s="183">
        <v>0</v>
      </c>
      <c r="G13" s="183">
        <v>0</v>
      </c>
      <c r="H13" s="221">
        <f t="shared" si="1"/>
        <v>1141045</v>
      </c>
      <c r="I13" s="233">
        <v>340000</v>
      </c>
      <c r="J13" s="229">
        <v>59500</v>
      </c>
      <c r="K13" s="229">
        <v>125000</v>
      </c>
      <c r="L13" s="229">
        <v>48000</v>
      </c>
      <c r="M13" s="229">
        <v>52000</v>
      </c>
      <c r="N13" s="229">
        <v>227000</v>
      </c>
      <c r="O13" s="650" t="s">
        <v>645</v>
      </c>
      <c r="P13" s="650"/>
      <c r="Q13" s="261" t="s">
        <v>646</v>
      </c>
      <c r="R13" s="232"/>
    </row>
    <row r="14" spans="1:18" ht="30.9" customHeight="1" thickTop="1" thickBot="1">
      <c r="A14" s="176">
        <v>45609</v>
      </c>
      <c r="B14" s="177" t="s">
        <v>490</v>
      </c>
      <c r="C14" s="183">
        <v>560878</v>
      </c>
      <c r="D14" s="183">
        <v>634492</v>
      </c>
      <c r="E14" s="183">
        <f t="shared" si="0"/>
        <v>-73614</v>
      </c>
      <c r="F14" s="183">
        <v>0</v>
      </c>
      <c r="G14" s="183">
        <v>0</v>
      </c>
      <c r="H14" s="221">
        <f t="shared" si="1"/>
        <v>1067431</v>
      </c>
      <c r="I14" s="634"/>
      <c r="J14" s="634"/>
      <c r="K14" s="634"/>
      <c r="L14" s="634"/>
      <c r="M14" s="634"/>
      <c r="N14" s="651"/>
      <c r="O14" s="650"/>
      <c r="P14" s="650"/>
      <c r="Q14" s="261" t="s">
        <v>647</v>
      </c>
      <c r="R14" s="232"/>
    </row>
    <row r="15" spans="1:18" ht="30.9" customHeight="1" thickTop="1" thickBot="1">
      <c r="A15" s="176">
        <v>45610</v>
      </c>
      <c r="B15" s="177" t="s">
        <v>491</v>
      </c>
      <c r="C15" s="183">
        <v>654239</v>
      </c>
      <c r="D15" s="183">
        <v>413732</v>
      </c>
      <c r="E15" s="183">
        <f t="shared" si="0"/>
        <v>240507</v>
      </c>
      <c r="F15" s="183">
        <v>-415</v>
      </c>
      <c r="G15" s="183">
        <v>0</v>
      </c>
      <c r="H15" s="221">
        <f t="shared" si="1"/>
        <v>1307523</v>
      </c>
      <c r="I15" s="234">
        <v>0</v>
      </c>
      <c r="J15" s="234"/>
      <c r="K15" s="234"/>
      <c r="L15" s="234"/>
      <c r="M15" s="233" t="s">
        <v>683</v>
      </c>
      <c r="N15" s="259">
        <v>45430</v>
      </c>
      <c r="O15" s="650" t="s">
        <v>648</v>
      </c>
      <c r="P15" s="650" t="s">
        <v>649</v>
      </c>
      <c r="Q15" s="650"/>
      <c r="R15" s="232"/>
    </row>
    <row r="16" spans="1:18" ht="30.9" customHeight="1" thickTop="1" thickBot="1">
      <c r="A16" s="176">
        <v>45611</v>
      </c>
      <c r="B16" s="178" t="s">
        <v>485</v>
      </c>
      <c r="C16" s="183">
        <v>900529</v>
      </c>
      <c r="D16" s="183">
        <v>784182</v>
      </c>
      <c r="E16" s="183">
        <f t="shared" si="0"/>
        <v>116347</v>
      </c>
      <c r="F16" s="183">
        <v>0</v>
      </c>
      <c r="G16" s="183">
        <v>0</v>
      </c>
      <c r="H16" s="221">
        <f t="shared" si="1"/>
        <v>1423870</v>
      </c>
      <c r="I16" s="641" t="s">
        <v>247</v>
      </c>
      <c r="J16" s="641"/>
      <c r="K16" s="641"/>
      <c r="L16" s="642">
        <f>SUM(J13:N13)+SUM(I15:N15)+P10</f>
        <v>986930</v>
      </c>
      <c r="M16" s="642"/>
      <c r="N16" s="648"/>
      <c r="O16" s="650"/>
      <c r="P16" s="650" t="s">
        <v>650</v>
      </c>
      <c r="Q16" s="650"/>
      <c r="R16" s="232"/>
    </row>
    <row r="17" spans="1:18" ht="30.9" customHeight="1" thickTop="1" thickBot="1">
      <c r="A17" s="176">
        <v>45612</v>
      </c>
      <c r="B17" s="178" t="s">
        <v>486</v>
      </c>
      <c r="C17" s="183">
        <v>968344</v>
      </c>
      <c r="D17" s="183">
        <v>654125</v>
      </c>
      <c r="E17" s="183">
        <f t="shared" si="0"/>
        <v>314219</v>
      </c>
      <c r="F17" s="183">
        <v>0</v>
      </c>
      <c r="G17" s="183">
        <v>0</v>
      </c>
      <c r="H17" s="221">
        <f t="shared" si="1"/>
        <v>1738089</v>
      </c>
      <c r="I17" s="643" t="s">
        <v>482</v>
      </c>
      <c r="J17" s="643"/>
      <c r="K17" s="643"/>
      <c r="L17" s="643"/>
      <c r="M17" s="643"/>
      <c r="N17" s="649"/>
      <c r="O17" s="261" t="s">
        <v>651</v>
      </c>
      <c r="P17" s="650" t="s">
        <v>652</v>
      </c>
      <c r="Q17" s="650"/>
      <c r="R17" s="232"/>
    </row>
    <row r="18" spans="1:18" ht="30.9" customHeight="1" thickTop="1" thickBot="1">
      <c r="A18" s="176">
        <v>45613</v>
      </c>
      <c r="B18" s="178" t="s">
        <v>487</v>
      </c>
      <c r="C18" s="183">
        <v>454298</v>
      </c>
      <c r="D18" s="183">
        <v>304207</v>
      </c>
      <c r="E18" s="183">
        <f t="shared" si="0"/>
        <v>150091</v>
      </c>
      <c r="F18" s="183">
        <v>-711</v>
      </c>
      <c r="G18" s="183">
        <v>0</v>
      </c>
      <c r="H18" s="221">
        <f t="shared" si="1"/>
        <v>1887469</v>
      </c>
      <c r="I18" s="222"/>
      <c r="J18" s="235"/>
      <c r="K18" s="222"/>
      <c r="L18" s="222"/>
      <c r="M18" s="236" t="s">
        <v>498</v>
      </c>
      <c r="N18" s="256" t="s">
        <v>247</v>
      </c>
      <c r="O18" s="650" t="s">
        <v>653</v>
      </c>
      <c r="P18" s="650"/>
      <c r="Q18" s="650"/>
      <c r="R18" s="232"/>
    </row>
    <row r="19" spans="1:18" ht="30.9" customHeight="1" thickTop="1" thickBot="1">
      <c r="A19" s="176">
        <v>45614</v>
      </c>
      <c r="B19" s="177" t="s">
        <v>488</v>
      </c>
      <c r="C19" s="183">
        <v>251395</v>
      </c>
      <c r="D19" s="183">
        <v>164710</v>
      </c>
      <c r="E19" s="183">
        <f t="shared" si="0"/>
        <v>86685</v>
      </c>
      <c r="F19" s="183">
        <v>-11</v>
      </c>
      <c r="G19" s="183">
        <v>0</v>
      </c>
      <c r="H19" s="221">
        <f>H18+E19+F19</f>
        <v>1974143</v>
      </c>
      <c r="I19" s="237"/>
      <c r="J19" s="237"/>
      <c r="K19" s="237"/>
      <c r="L19" s="237"/>
      <c r="M19" s="238">
        <f>N23</f>
        <v>116004</v>
      </c>
      <c r="N19" s="257">
        <f>SUM(I19:M19)</f>
        <v>116004</v>
      </c>
      <c r="O19" s="652" t="s">
        <v>654</v>
      </c>
      <c r="P19" s="652"/>
      <c r="Q19" s="652"/>
      <c r="R19" s="232"/>
    </row>
    <row r="20" spans="1:18" ht="30.9" customHeight="1" thickTop="1" thickBot="1">
      <c r="A20" s="176">
        <v>45615</v>
      </c>
      <c r="B20" s="177" t="s">
        <v>489</v>
      </c>
      <c r="C20" s="183">
        <v>275603</v>
      </c>
      <c r="D20" s="183">
        <v>493638</v>
      </c>
      <c r="E20" s="183">
        <f t="shared" si="0"/>
        <v>-218035</v>
      </c>
      <c r="F20" s="183">
        <v>0</v>
      </c>
      <c r="G20" s="183">
        <v>0</v>
      </c>
      <c r="H20" s="221">
        <f t="shared" si="1"/>
        <v>1756108</v>
      </c>
      <c r="I20" s="232"/>
      <c r="J20" s="232"/>
      <c r="K20" s="232"/>
      <c r="L20" s="232"/>
      <c r="M20" s="232"/>
      <c r="N20" s="232"/>
      <c r="O20" s="652" t="s">
        <v>655</v>
      </c>
      <c r="P20" s="652"/>
      <c r="Q20" s="652"/>
      <c r="R20" s="232"/>
    </row>
    <row r="21" spans="1:18" ht="30.9" customHeight="1" thickTop="1" thickBot="1">
      <c r="A21" s="176">
        <v>45616</v>
      </c>
      <c r="B21" s="177" t="s">
        <v>490</v>
      </c>
      <c r="C21" s="183">
        <v>369401</v>
      </c>
      <c r="D21" s="183">
        <v>1262082</v>
      </c>
      <c r="E21" s="183">
        <f t="shared" si="0"/>
        <v>-892681</v>
      </c>
      <c r="F21" s="183">
        <v>-451</v>
      </c>
      <c r="G21" s="183">
        <v>0</v>
      </c>
      <c r="H21" s="221">
        <f t="shared" si="1"/>
        <v>862976</v>
      </c>
      <c r="I21" s="644" t="s">
        <v>497</v>
      </c>
      <c r="J21" s="644"/>
      <c r="K21" s="644"/>
      <c r="L21" s="644"/>
      <c r="M21" s="644"/>
      <c r="N21" s="644"/>
      <c r="O21" s="653" t="s">
        <v>247</v>
      </c>
      <c r="P21" s="653"/>
      <c r="Q21" s="653"/>
      <c r="R21" s="262">
        <f>SUM(R12:R20)</f>
        <v>0</v>
      </c>
    </row>
    <row r="22" spans="1:18" ht="30.9" customHeight="1" thickTop="1" thickBot="1">
      <c r="A22" s="176">
        <v>45617</v>
      </c>
      <c r="B22" s="177" t="s">
        <v>491</v>
      </c>
      <c r="C22" s="183">
        <v>466645</v>
      </c>
      <c r="D22" s="183">
        <v>575456</v>
      </c>
      <c r="E22" s="183">
        <f t="shared" si="0"/>
        <v>-108811</v>
      </c>
      <c r="F22" s="183">
        <v>0</v>
      </c>
      <c r="G22" s="183">
        <v>0</v>
      </c>
      <c r="H22" s="221">
        <f t="shared" si="1"/>
        <v>754165</v>
      </c>
      <c r="I22" s="235" t="s">
        <v>625</v>
      </c>
      <c r="J22" s="222" t="s">
        <v>664</v>
      </c>
      <c r="K22" s="222" t="s">
        <v>142</v>
      </c>
      <c r="L22" s="222" t="s">
        <v>638</v>
      </c>
      <c r="M22" s="222" t="s">
        <v>494</v>
      </c>
      <c r="N22" s="254" t="s">
        <v>247</v>
      </c>
      <c r="O22" s="661"/>
      <c r="P22" s="662"/>
      <c r="Q22" s="662"/>
      <c r="R22" s="662"/>
    </row>
    <row r="23" spans="1:18" ht="30.9" customHeight="1" thickTop="1" thickBot="1">
      <c r="A23" s="176">
        <v>45618</v>
      </c>
      <c r="B23" s="178" t="s">
        <v>485</v>
      </c>
      <c r="C23" s="183">
        <v>765428</v>
      </c>
      <c r="D23" s="183">
        <v>174140</v>
      </c>
      <c r="E23" s="183">
        <f t="shared" si="0"/>
        <v>591288</v>
      </c>
      <c r="F23" s="183">
        <v>0</v>
      </c>
      <c r="G23" s="183">
        <v>0</v>
      </c>
      <c r="H23" s="221">
        <f t="shared" si="1"/>
        <v>1345453</v>
      </c>
      <c r="I23" s="237">
        <v>0</v>
      </c>
      <c r="J23" s="237">
        <v>0</v>
      </c>
      <c r="K23" s="237">
        <v>5750</v>
      </c>
      <c r="L23" s="237">
        <v>22000</v>
      </c>
      <c r="M23" s="237">
        <v>88254</v>
      </c>
      <c r="N23" s="255">
        <f>SUM(J23:M23)</f>
        <v>116004</v>
      </c>
      <c r="O23" s="647" t="s">
        <v>665</v>
      </c>
      <c r="P23" s="647"/>
      <c r="Q23" s="647"/>
      <c r="R23" s="647"/>
    </row>
    <row r="24" spans="1:18" ht="30.9" customHeight="1" thickTop="1" thickBot="1">
      <c r="A24" s="176">
        <v>45619</v>
      </c>
      <c r="B24" s="178" t="s">
        <v>486</v>
      </c>
      <c r="C24" s="183">
        <v>673161</v>
      </c>
      <c r="D24" s="183">
        <v>593968</v>
      </c>
      <c r="E24" s="183">
        <f t="shared" si="0"/>
        <v>79193</v>
      </c>
      <c r="F24" s="183">
        <v>-454</v>
      </c>
      <c r="G24" s="183">
        <v>0</v>
      </c>
      <c r="H24" s="184">
        <f t="shared" si="1"/>
        <v>1424192</v>
      </c>
      <c r="O24" s="656" t="s">
        <v>666</v>
      </c>
      <c r="P24" s="658"/>
      <c r="Q24" s="657"/>
      <c r="R24" s="232"/>
    </row>
    <row r="25" spans="1:18" ht="30.9" customHeight="1" thickTop="1" thickBot="1">
      <c r="A25" s="176">
        <v>45620</v>
      </c>
      <c r="B25" s="178" t="s">
        <v>487</v>
      </c>
      <c r="C25" s="183">
        <v>355205</v>
      </c>
      <c r="D25" s="183">
        <v>248300</v>
      </c>
      <c r="E25" s="183">
        <f t="shared" si="0"/>
        <v>106905</v>
      </c>
      <c r="F25" s="183">
        <v>-11</v>
      </c>
      <c r="G25" s="183">
        <v>0</v>
      </c>
      <c r="H25" s="184">
        <f t="shared" si="1"/>
        <v>1531086</v>
      </c>
      <c r="O25" s="263"/>
      <c r="P25" s="656"/>
      <c r="Q25" s="657"/>
      <c r="R25" s="232"/>
    </row>
    <row r="26" spans="1:18" ht="30.9" customHeight="1" thickTop="1" thickBot="1">
      <c r="A26" s="176">
        <v>45621</v>
      </c>
      <c r="B26" s="177" t="s">
        <v>488</v>
      </c>
      <c r="C26" s="183">
        <v>530791</v>
      </c>
      <c r="D26" s="183">
        <v>541044</v>
      </c>
      <c r="E26" s="183">
        <f t="shared" si="0"/>
        <v>-10253</v>
      </c>
      <c r="F26" s="183">
        <v>0</v>
      </c>
      <c r="G26" s="183">
        <v>0</v>
      </c>
      <c r="H26" s="184">
        <f t="shared" si="1"/>
        <v>1520833</v>
      </c>
      <c r="O26" s="263"/>
      <c r="P26" s="656"/>
      <c r="Q26" s="657"/>
      <c r="R26" s="232"/>
    </row>
    <row r="27" spans="1:18" ht="30.9" customHeight="1" thickTop="1" thickBot="1">
      <c r="A27" s="176">
        <v>45622</v>
      </c>
      <c r="B27" s="177" t="s">
        <v>489</v>
      </c>
      <c r="C27" s="183">
        <v>466738</v>
      </c>
      <c r="D27" s="183">
        <v>165795</v>
      </c>
      <c r="E27" s="183">
        <f t="shared" si="0"/>
        <v>300943</v>
      </c>
      <c r="F27" s="183">
        <v>-45</v>
      </c>
      <c r="G27" s="183">
        <v>0</v>
      </c>
      <c r="H27" s="184">
        <f t="shared" si="1"/>
        <v>1821731</v>
      </c>
      <c r="O27" s="263"/>
      <c r="P27" s="656"/>
      <c r="Q27" s="657"/>
      <c r="R27" s="232"/>
    </row>
    <row r="28" spans="1:18" ht="30.9" customHeight="1" thickTop="1" thickBot="1">
      <c r="A28" s="176">
        <v>45623</v>
      </c>
      <c r="B28" s="177" t="s">
        <v>490</v>
      </c>
      <c r="C28" s="183">
        <v>586790</v>
      </c>
      <c r="D28" s="183">
        <v>1098396</v>
      </c>
      <c r="E28" s="183">
        <f t="shared" si="0"/>
        <v>-511606</v>
      </c>
      <c r="F28" s="183">
        <v>-48</v>
      </c>
      <c r="G28" s="183">
        <v>0</v>
      </c>
      <c r="H28" s="184">
        <f t="shared" si="1"/>
        <v>1310077</v>
      </c>
      <c r="O28" s="263"/>
      <c r="P28" s="656"/>
      <c r="Q28" s="657"/>
      <c r="R28" s="232"/>
    </row>
    <row r="29" spans="1:18" ht="30.9" customHeight="1" thickTop="1" thickBot="1">
      <c r="A29" s="176">
        <v>45624</v>
      </c>
      <c r="B29" s="177" t="s">
        <v>491</v>
      </c>
      <c r="C29" s="183">
        <v>651765</v>
      </c>
      <c r="D29" s="183">
        <v>344575</v>
      </c>
      <c r="E29" s="183">
        <f t="shared" si="0"/>
        <v>307190</v>
      </c>
      <c r="F29" s="183">
        <v>-221</v>
      </c>
      <c r="G29" s="183">
        <v>0</v>
      </c>
      <c r="H29" s="184">
        <f t="shared" si="1"/>
        <v>1617046</v>
      </c>
      <c r="O29" s="656" t="s">
        <v>667</v>
      </c>
      <c r="P29" s="658"/>
      <c r="Q29" s="657"/>
      <c r="R29" s="232"/>
    </row>
    <row r="30" spans="1:18" ht="30.9" customHeight="1" thickTop="1" thickBot="1">
      <c r="A30" s="176">
        <v>45625</v>
      </c>
      <c r="B30" s="178" t="s">
        <v>485</v>
      </c>
      <c r="C30" s="183">
        <v>971341</v>
      </c>
      <c r="D30" s="183">
        <v>531706</v>
      </c>
      <c r="E30" s="183">
        <f t="shared" si="0"/>
        <v>439635</v>
      </c>
      <c r="F30" s="183">
        <v>0</v>
      </c>
      <c r="G30" s="183">
        <v>0</v>
      </c>
      <c r="H30" s="184">
        <f t="shared" si="1"/>
        <v>2056681</v>
      </c>
      <c r="O30" s="263"/>
      <c r="P30" s="656"/>
      <c r="Q30" s="657"/>
      <c r="R30" s="232"/>
    </row>
    <row r="31" spans="1:18" ht="30.9" customHeight="1" thickTop="1" thickBot="1">
      <c r="A31" s="176">
        <v>45626</v>
      </c>
      <c r="B31" s="178" t="s">
        <v>486</v>
      </c>
      <c r="C31" s="183">
        <v>802499</v>
      </c>
      <c r="D31" s="183">
        <v>269478</v>
      </c>
      <c r="E31" s="183">
        <f t="shared" si="0"/>
        <v>533021</v>
      </c>
      <c r="F31" s="183">
        <v>-78</v>
      </c>
      <c r="G31" s="183">
        <v>0</v>
      </c>
      <c r="H31" s="184">
        <f>H30+E31+F31</f>
        <v>2589624</v>
      </c>
      <c r="O31" s="232"/>
      <c r="P31" s="659"/>
      <c r="Q31" s="660"/>
      <c r="R31" s="232"/>
    </row>
    <row r="32" spans="1:18" ht="30.9" customHeight="1" thickTop="1" thickBot="1">
      <c r="A32" s="176"/>
      <c r="B32" s="177"/>
      <c r="C32" s="183"/>
      <c r="D32" s="183">
        <f>360000+100000+150000</f>
        <v>610000</v>
      </c>
      <c r="E32" s="183">
        <f>C32-D32</f>
        <v>-610000</v>
      </c>
      <c r="F32" s="183"/>
      <c r="G32" s="183">
        <v>0</v>
      </c>
      <c r="H32" s="184">
        <f t="shared" si="1"/>
        <v>1979624</v>
      </c>
      <c r="O32" s="232"/>
      <c r="P32" s="659"/>
      <c r="Q32" s="660"/>
      <c r="R32" s="232"/>
    </row>
    <row r="33" spans="1:17" ht="30.9" customHeight="1" thickTop="1">
      <c r="A33" s="264"/>
      <c r="B33" s="265"/>
      <c r="C33" s="183"/>
      <c r="D33" s="183"/>
      <c r="E33" s="183">
        <f>C33-D33</f>
        <v>0</v>
      </c>
      <c r="F33" s="183"/>
      <c r="G33" s="183"/>
      <c r="H33" s="184">
        <f t="shared" si="1"/>
        <v>1979624</v>
      </c>
      <c r="P33" s="81"/>
      <c r="Q33" s="81"/>
    </row>
    <row r="34" spans="1:17" ht="45" customHeight="1">
      <c r="A34" s="476" t="s">
        <v>247</v>
      </c>
      <c r="B34" s="477"/>
      <c r="C34" s="145">
        <f>SUM(C2:C33)</f>
        <v>17425659</v>
      </c>
      <c r="D34" s="145">
        <f>SUM(D2:D33)</f>
        <v>15441818</v>
      </c>
      <c r="E34" s="145">
        <f>SUM(E2:E32)</f>
        <v>1983841</v>
      </c>
      <c r="F34" s="145">
        <f>SUM(F2:F32)</f>
        <v>-4217</v>
      </c>
      <c r="G34" s="145">
        <f>SUM(G2:G32)</f>
        <v>0</v>
      </c>
      <c r="H34" s="145">
        <f>C34-D34</f>
        <v>1983841</v>
      </c>
    </row>
    <row r="35" spans="1:17">
      <c r="A35" s="69"/>
    </row>
    <row r="36" spans="1:17">
      <c r="A36" s="69"/>
    </row>
    <row r="37" spans="1:17">
      <c r="A37" s="69"/>
    </row>
    <row r="38" spans="1:17">
      <c r="A38" s="69"/>
    </row>
    <row r="39" spans="1:17">
      <c r="A39" s="69"/>
    </row>
    <row r="40" spans="1:17" ht="21" customHeight="1">
      <c r="A40" s="69"/>
    </row>
    <row r="41" spans="1:17" ht="23.1" customHeight="1">
      <c r="A41" s="69"/>
    </row>
    <row r="42" spans="1:17">
      <c r="A42" s="69"/>
    </row>
    <row r="43" spans="1:17" ht="29.1" customHeight="1">
      <c r="A43" s="69"/>
    </row>
    <row r="44" spans="1:17" ht="15" customHeight="1">
      <c r="A44" s="69"/>
    </row>
    <row r="45" spans="1:17">
      <c r="A45" s="69"/>
    </row>
    <row r="46" spans="1:17">
      <c r="A46" s="69"/>
    </row>
    <row r="47" spans="1:17">
      <c r="A47" s="69"/>
    </row>
    <row r="48" spans="1:17">
      <c r="A48" s="69"/>
    </row>
    <row r="49" spans="1:1">
      <c r="A49" s="69"/>
    </row>
    <row r="50" spans="1:1">
      <c r="A50" s="69"/>
    </row>
    <row r="51" spans="1:1" ht="18.899999999999999" customHeight="1">
      <c r="A51" s="69"/>
    </row>
  </sheetData>
  <mergeCells count="46">
    <mergeCell ref="A34:B34"/>
    <mergeCell ref="O22:R22"/>
    <mergeCell ref="O23:R23"/>
    <mergeCell ref="O24:Q24"/>
    <mergeCell ref="P25:Q25"/>
    <mergeCell ref="P26:Q26"/>
    <mergeCell ref="P27:Q27"/>
    <mergeCell ref="P28:Q28"/>
    <mergeCell ref="O29:Q29"/>
    <mergeCell ref="P30:Q30"/>
    <mergeCell ref="P31:Q31"/>
    <mergeCell ref="P32:Q32"/>
    <mergeCell ref="I21:N21"/>
    <mergeCell ref="O21:Q21"/>
    <mergeCell ref="O12:Q12"/>
    <mergeCell ref="O13:P14"/>
    <mergeCell ref="I14:N14"/>
    <mergeCell ref="O15:O16"/>
    <mergeCell ref="P15:Q15"/>
    <mergeCell ref="I16:K16"/>
    <mergeCell ref="L16:N16"/>
    <mergeCell ref="P16:Q16"/>
    <mergeCell ref="I17:N17"/>
    <mergeCell ref="P17:Q17"/>
    <mergeCell ref="O18:Q18"/>
    <mergeCell ref="O19:Q19"/>
    <mergeCell ref="O20:Q20"/>
    <mergeCell ref="O11:R11"/>
    <mergeCell ref="I4:I5"/>
    <mergeCell ref="M4:N4"/>
    <mergeCell ref="M5:N5"/>
    <mergeCell ref="O5:R5"/>
    <mergeCell ref="I6:N6"/>
    <mergeCell ref="O6:P6"/>
    <mergeCell ref="Q6:R6"/>
    <mergeCell ref="M7:N7"/>
    <mergeCell ref="M8:N8"/>
    <mergeCell ref="J9:N9"/>
    <mergeCell ref="I10:N10"/>
    <mergeCell ref="I11:N11"/>
    <mergeCell ref="M3:N3"/>
    <mergeCell ref="A1:B1"/>
    <mergeCell ref="I1:N1"/>
    <mergeCell ref="O1:R1"/>
    <mergeCell ref="I2:N2"/>
    <mergeCell ref="O2:R2"/>
  </mergeCells>
  <pageMargins left="0.7" right="0.7" top="0.75" bottom="0.75" header="0.3" footer="0.3"/>
  <pageSetup paperSize="9"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1961-0131-4330-8321-8C5E47E6EB5B}">
  <dimension ref="A1:R51"/>
  <sheetViews>
    <sheetView zoomScale="96" zoomScaleNormal="96" workbookViewId="0">
      <selection activeCell="I4" sqref="I4:I5"/>
    </sheetView>
  </sheetViews>
  <sheetFormatPr defaultColWidth="10.6328125" defaultRowHeight="18"/>
  <cols>
    <col min="1" max="1" width="5.90625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8" style="69" customWidth="1"/>
    <col min="7" max="7" width="7.90625" style="69" customWidth="1"/>
    <col min="8" max="8" width="12.453125" style="69" customWidth="1"/>
    <col min="9" max="14" width="11.453125" style="69" customWidth="1"/>
    <col min="15" max="16" width="7" style="69" customWidth="1"/>
    <col min="17" max="17" width="11.453125" style="69" customWidth="1"/>
    <col min="18" max="18" width="21" style="69" customWidth="1"/>
    <col min="19" max="16384" width="10.6328125" style="69"/>
  </cols>
  <sheetData>
    <row r="1" spans="1:18" ht="24" customHeight="1" thickTop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133" t="s">
        <v>463</v>
      </c>
      <c r="H1" s="220" t="s">
        <v>464</v>
      </c>
      <c r="I1" s="663" t="s">
        <v>671</v>
      </c>
      <c r="J1" s="663"/>
      <c r="K1" s="663"/>
      <c r="L1" s="663"/>
      <c r="M1" s="663"/>
      <c r="N1" s="663"/>
      <c r="O1" s="631" t="s">
        <v>642</v>
      </c>
      <c r="P1" s="632"/>
      <c r="Q1" s="632"/>
      <c r="R1" s="632"/>
    </row>
    <row r="2" spans="1:18" ht="30.9" customHeight="1" thickTop="1" thickBot="1">
      <c r="A2" s="176">
        <v>45627</v>
      </c>
      <c r="B2" s="178" t="s">
        <v>487</v>
      </c>
      <c r="C2" s="183">
        <v>511249</v>
      </c>
      <c r="D2" s="183">
        <v>280489</v>
      </c>
      <c r="E2" s="183">
        <f>C2-D2</f>
        <v>230760</v>
      </c>
      <c r="F2" s="183">
        <v>-1414</v>
      </c>
      <c r="G2" s="183">
        <v>0</v>
      </c>
      <c r="H2" s="221">
        <f>E2+F2</f>
        <v>229346</v>
      </c>
      <c r="I2" s="630" t="s">
        <v>249</v>
      </c>
      <c r="J2" s="630"/>
      <c r="K2" s="630"/>
      <c r="L2" s="630"/>
      <c r="M2" s="630"/>
      <c r="N2" s="630"/>
      <c r="O2" s="627" t="s">
        <v>638</v>
      </c>
      <c r="P2" s="628"/>
      <c r="Q2" s="628"/>
      <c r="R2" s="628"/>
    </row>
    <row r="3" spans="1:18" ht="30.9" customHeight="1" thickTop="1" thickBot="1">
      <c r="A3" s="176">
        <v>45628</v>
      </c>
      <c r="B3" s="177" t="s">
        <v>488</v>
      </c>
      <c r="C3" s="183">
        <v>288805</v>
      </c>
      <c r="D3" s="183">
        <v>455905</v>
      </c>
      <c r="E3" s="183">
        <f t="shared" ref="E3:E31" si="0">C3-D3</f>
        <v>-167100</v>
      </c>
      <c r="F3" s="183">
        <v>0</v>
      </c>
      <c r="G3" s="183">
        <v>0</v>
      </c>
      <c r="H3" s="221">
        <f>H2+E3+F3</f>
        <v>62246</v>
      </c>
      <c r="I3" s="223" t="s">
        <v>247</v>
      </c>
      <c r="J3" s="222" t="s">
        <v>251</v>
      </c>
      <c r="K3" s="222" t="s">
        <v>252</v>
      </c>
      <c r="L3" s="222" t="s">
        <v>449</v>
      </c>
      <c r="M3" s="630" t="s">
        <v>415</v>
      </c>
      <c r="N3" s="630"/>
      <c r="O3" s="246"/>
      <c r="P3" s="247"/>
      <c r="Q3" s="247"/>
      <c r="R3" s="247"/>
    </row>
    <row r="4" spans="1:18" ht="30.9" customHeight="1" thickTop="1" thickBot="1">
      <c r="A4" s="176">
        <v>45629</v>
      </c>
      <c r="B4" s="177" t="s">
        <v>489</v>
      </c>
      <c r="C4" s="183">
        <v>317032</v>
      </c>
      <c r="D4" s="183">
        <v>143215</v>
      </c>
      <c r="E4" s="183">
        <f t="shared" si="0"/>
        <v>173817</v>
      </c>
      <c r="F4" s="183">
        <v>-441</v>
      </c>
      <c r="G4" s="183">
        <v>0</v>
      </c>
      <c r="H4" s="221">
        <f t="shared" ref="H4:H33" si="1">H3+E4+F4</f>
        <v>235622</v>
      </c>
      <c r="I4" s="635">
        <f>C34</f>
        <v>21151544</v>
      </c>
      <c r="J4" s="224">
        <f>G34</f>
        <v>0</v>
      </c>
      <c r="K4" s="224"/>
      <c r="L4" s="224">
        <f>F34</f>
        <v>-16279</v>
      </c>
      <c r="M4" s="636">
        <v>16261</v>
      </c>
      <c r="N4" s="636"/>
      <c r="O4" s="249"/>
      <c r="P4" s="250"/>
      <c r="Q4" s="250"/>
      <c r="R4" s="250"/>
    </row>
    <row r="5" spans="1:18" ht="30.9" customHeight="1" thickTop="1" thickBot="1">
      <c r="A5" s="176">
        <v>45630</v>
      </c>
      <c r="B5" s="177" t="s">
        <v>490</v>
      </c>
      <c r="C5" s="183">
        <v>346091</v>
      </c>
      <c r="D5" s="183">
        <v>1316378</v>
      </c>
      <c r="E5" s="183">
        <f t="shared" si="0"/>
        <v>-970287</v>
      </c>
      <c r="F5" s="183">
        <v>0</v>
      </c>
      <c r="G5" s="183">
        <v>0</v>
      </c>
      <c r="H5" s="221">
        <f t="shared" si="1"/>
        <v>-734665</v>
      </c>
      <c r="I5" s="635"/>
      <c r="J5" s="225">
        <f>J4/I4</f>
        <v>0</v>
      </c>
      <c r="K5" s="225">
        <f>K4/I4</f>
        <v>0</v>
      </c>
      <c r="L5" s="226">
        <f>L4/I4</f>
        <v>-7.6963648611184129E-4</v>
      </c>
      <c r="M5" s="637">
        <f>M4/I4</f>
        <v>7.6878548440719027E-4</v>
      </c>
      <c r="N5" s="637"/>
      <c r="O5" s="654" t="s">
        <v>639</v>
      </c>
      <c r="P5" s="655"/>
      <c r="Q5" s="655"/>
      <c r="R5" s="655"/>
    </row>
    <row r="6" spans="1:18" ht="30.9" customHeight="1" thickTop="1" thickBot="1">
      <c r="A6" s="176">
        <v>45631</v>
      </c>
      <c r="B6" s="177" t="s">
        <v>491</v>
      </c>
      <c r="C6" s="183">
        <v>448768</v>
      </c>
      <c r="D6" s="183">
        <v>686540</v>
      </c>
      <c r="E6" s="183">
        <f t="shared" si="0"/>
        <v>-237772</v>
      </c>
      <c r="F6" s="183">
        <v>-574</v>
      </c>
      <c r="G6" s="183">
        <v>0</v>
      </c>
      <c r="H6" s="221">
        <f t="shared" si="1"/>
        <v>-973011</v>
      </c>
      <c r="I6" s="630" t="s">
        <v>250</v>
      </c>
      <c r="J6" s="630"/>
      <c r="K6" s="630"/>
      <c r="L6" s="630"/>
      <c r="M6" s="630"/>
      <c r="N6" s="630"/>
      <c r="O6" s="630" t="s">
        <v>231</v>
      </c>
      <c r="P6" s="630"/>
      <c r="Q6" s="490"/>
      <c r="R6" s="490"/>
    </row>
    <row r="7" spans="1:18" ht="30.9" customHeight="1" thickTop="1" thickBot="1">
      <c r="A7" s="176">
        <v>45632</v>
      </c>
      <c r="B7" s="178" t="s">
        <v>485</v>
      </c>
      <c r="C7" s="183">
        <v>949171</v>
      </c>
      <c r="D7" s="183">
        <v>400794</v>
      </c>
      <c r="E7" s="183">
        <f t="shared" si="0"/>
        <v>548377</v>
      </c>
      <c r="F7" s="183">
        <v>-741</v>
      </c>
      <c r="G7" s="183">
        <v>0</v>
      </c>
      <c r="H7" s="221">
        <f t="shared" si="1"/>
        <v>-425375</v>
      </c>
      <c r="I7" s="222" t="s">
        <v>241</v>
      </c>
      <c r="J7" s="222" t="s">
        <v>253</v>
      </c>
      <c r="K7" s="227" t="s">
        <v>624</v>
      </c>
      <c r="L7" s="222"/>
      <c r="M7" s="638" t="s">
        <v>247</v>
      </c>
      <c r="N7" s="638"/>
      <c r="O7" s="242" t="s">
        <v>640</v>
      </c>
      <c r="P7" s="243">
        <v>350000</v>
      </c>
    </row>
    <row r="8" spans="1:18" ht="30.9" customHeight="1" thickTop="1" thickBot="1">
      <c r="A8" s="176">
        <v>45633</v>
      </c>
      <c r="B8" s="178" t="s">
        <v>486</v>
      </c>
      <c r="C8" s="183">
        <v>740016</v>
      </c>
      <c r="D8" s="183">
        <v>435484</v>
      </c>
      <c r="E8" s="183">
        <f t="shared" si="0"/>
        <v>304532</v>
      </c>
      <c r="F8" s="183">
        <v>-424</v>
      </c>
      <c r="G8" s="183">
        <v>0</v>
      </c>
      <c r="H8" s="221">
        <f t="shared" si="1"/>
        <v>-121267</v>
      </c>
      <c r="I8" s="228">
        <f>D34</f>
        <v>18943520</v>
      </c>
      <c r="J8" s="229">
        <f>L16</f>
        <v>1093110</v>
      </c>
      <c r="K8" s="230">
        <f>N19</f>
        <v>108474</v>
      </c>
      <c r="L8" s="229"/>
      <c r="M8" s="639">
        <f>SUM(I8:L8)</f>
        <v>20145104</v>
      </c>
      <c r="N8" s="639"/>
      <c r="O8" s="242" t="s">
        <v>641</v>
      </c>
      <c r="P8" s="243">
        <v>55000</v>
      </c>
    </row>
    <row r="9" spans="1:18" ht="30.9" customHeight="1" thickTop="1" thickBot="1">
      <c r="A9" s="176">
        <v>45634</v>
      </c>
      <c r="B9" s="178" t="s">
        <v>487</v>
      </c>
      <c r="C9" s="183">
        <v>437032</v>
      </c>
      <c r="D9" s="183">
        <v>292120</v>
      </c>
      <c r="E9" s="183">
        <f t="shared" si="0"/>
        <v>144912</v>
      </c>
      <c r="F9" s="183">
        <v>0</v>
      </c>
      <c r="G9" s="183">
        <v>0</v>
      </c>
      <c r="H9" s="221">
        <f t="shared" si="1"/>
        <v>23645</v>
      </c>
      <c r="I9" s="231" t="s">
        <v>266</v>
      </c>
      <c r="J9" s="623">
        <f>H34-J8-K8-M4</f>
        <v>973900</v>
      </c>
      <c r="K9" s="623"/>
      <c r="L9" s="623"/>
      <c r="M9" s="623"/>
      <c r="N9" s="623"/>
      <c r="O9" s="241" t="s">
        <v>495</v>
      </c>
      <c r="P9" s="243">
        <v>35000</v>
      </c>
    </row>
    <row r="10" spans="1:18" ht="30.9" customHeight="1" thickTop="1" thickBot="1">
      <c r="A10" s="176">
        <v>45635</v>
      </c>
      <c r="B10" s="177" t="s">
        <v>488</v>
      </c>
      <c r="C10" s="183">
        <v>383892</v>
      </c>
      <c r="D10" s="183">
        <v>136602</v>
      </c>
      <c r="E10" s="183">
        <f t="shared" si="0"/>
        <v>247290</v>
      </c>
      <c r="F10" s="183">
        <v>-41</v>
      </c>
      <c r="G10" s="183">
        <v>0</v>
      </c>
      <c r="H10" s="221">
        <f t="shared" si="1"/>
        <v>270894</v>
      </c>
      <c r="I10" s="640" t="s">
        <v>257</v>
      </c>
      <c r="J10" s="640"/>
      <c r="K10" s="640"/>
      <c r="L10" s="640"/>
      <c r="M10" s="640"/>
      <c r="N10" s="640"/>
      <c r="O10" s="244" t="s">
        <v>73</v>
      </c>
      <c r="P10" s="245">
        <f>SUM(P7:P9)</f>
        <v>440000</v>
      </c>
      <c r="Q10" s="252"/>
      <c r="R10" s="252"/>
    </row>
    <row r="11" spans="1:18" ht="30.9" customHeight="1" thickTop="1" thickBot="1">
      <c r="A11" s="176">
        <v>45636</v>
      </c>
      <c r="B11" s="177" t="s">
        <v>489</v>
      </c>
      <c r="C11" s="183">
        <v>560498</v>
      </c>
      <c r="D11" s="183">
        <v>321539</v>
      </c>
      <c r="E11" s="183">
        <f t="shared" si="0"/>
        <v>238959</v>
      </c>
      <c r="F11" s="183">
        <v>0</v>
      </c>
      <c r="G11" s="183">
        <v>0</v>
      </c>
      <c r="H11" s="221">
        <f>H10+E11+F11</f>
        <v>509853</v>
      </c>
      <c r="I11" s="634" t="s">
        <v>477</v>
      </c>
      <c r="J11" s="634"/>
      <c r="K11" s="634"/>
      <c r="L11" s="634"/>
      <c r="M11" s="634"/>
      <c r="N11" s="651"/>
      <c r="O11" s="647" t="s">
        <v>643</v>
      </c>
      <c r="P11" s="647"/>
      <c r="Q11" s="647"/>
      <c r="R11" s="647"/>
    </row>
    <row r="12" spans="1:18" ht="30.9" customHeight="1" thickTop="1" thickBot="1">
      <c r="A12" s="176">
        <v>45637</v>
      </c>
      <c r="B12" s="177" t="s">
        <v>490</v>
      </c>
      <c r="C12" s="183">
        <v>404361</v>
      </c>
      <c r="D12" s="183">
        <v>706182</v>
      </c>
      <c r="E12" s="183">
        <f t="shared" si="0"/>
        <v>-301821</v>
      </c>
      <c r="F12" s="183">
        <v>-54</v>
      </c>
      <c r="G12" s="183">
        <v>0</v>
      </c>
      <c r="H12" s="221">
        <f t="shared" si="1"/>
        <v>207978</v>
      </c>
      <c r="I12" s="232" t="s">
        <v>478</v>
      </c>
      <c r="J12" s="229" t="s">
        <v>479</v>
      </c>
      <c r="K12" s="229" t="s">
        <v>480</v>
      </c>
      <c r="L12" s="229" t="s">
        <v>455</v>
      </c>
      <c r="M12" s="229" t="s">
        <v>468</v>
      </c>
      <c r="N12" s="258" t="s">
        <v>230</v>
      </c>
      <c r="O12" s="650" t="s">
        <v>644</v>
      </c>
      <c r="P12" s="650"/>
      <c r="Q12" s="650"/>
      <c r="R12" s="229">
        <v>0</v>
      </c>
    </row>
    <row r="13" spans="1:18" ht="30.9" customHeight="1" thickTop="1" thickBot="1">
      <c r="A13" s="176">
        <v>45638</v>
      </c>
      <c r="B13" s="177" t="s">
        <v>491</v>
      </c>
      <c r="C13" s="183">
        <v>605782</v>
      </c>
      <c r="D13" s="183">
        <v>916821</v>
      </c>
      <c r="E13" s="183">
        <f t="shared" si="0"/>
        <v>-311039</v>
      </c>
      <c r="F13" s="183">
        <v>-765</v>
      </c>
      <c r="G13" s="183">
        <v>0</v>
      </c>
      <c r="H13" s="221">
        <f t="shared" si="1"/>
        <v>-103826</v>
      </c>
      <c r="I13" s="233">
        <f>P7</f>
        <v>350000</v>
      </c>
      <c r="J13" s="229">
        <v>56500</v>
      </c>
      <c r="K13" s="229">
        <v>161000</v>
      </c>
      <c r="L13" s="229">
        <v>30800</v>
      </c>
      <c r="M13" s="229">
        <v>74800</v>
      </c>
      <c r="N13" s="229">
        <v>232000</v>
      </c>
      <c r="O13" s="650" t="s">
        <v>645</v>
      </c>
      <c r="P13" s="650"/>
      <c r="Q13" s="261" t="s">
        <v>646</v>
      </c>
      <c r="R13" s="229">
        <v>0</v>
      </c>
    </row>
    <row r="14" spans="1:18" ht="30.9" customHeight="1" thickTop="1" thickBot="1">
      <c r="A14" s="176">
        <v>45639</v>
      </c>
      <c r="B14" s="178" t="s">
        <v>485</v>
      </c>
      <c r="C14" s="183">
        <v>835130</v>
      </c>
      <c r="D14" s="183">
        <v>177790</v>
      </c>
      <c r="E14" s="183">
        <f t="shared" si="0"/>
        <v>657340</v>
      </c>
      <c r="F14" s="183">
        <v>-498</v>
      </c>
      <c r="G14" s="183">
        <v>0</v>
      </c>
      <c r="H14" s="221">
        <f t="shared" si="1"/>
        <v>553016</v>
      </c>
      <c r="I14" s="634" t="s">
        <v>481</v>
      </c>
      <c r="J14" s="634"/>
      <c r="K14" s="634"/>
      <c r="L14" s="634"/>
      <c r="M14" s="634"/>
      <c r="N14" s="651"/>
      <c r="O14" s="650"/>
      <c r="P14" s="650"/>
      <c r="Q14" s="261" t="s">
        <v>647</v>
      </c>
      <c r="R14" s="232"/>
    </row>
    <row r="15" spans="1:18" ht="30.9" customHeight="1" thickTop="1" thickBot="1">
      <c r="A15" s="176">
        <v>45640</v>
      </c>
      <c r="B15" s="178" t="s">
        <v>486</v>
      </c>
      <c r="C15" s="183">
        <v>1173138</v>
      </c>
      <c r="D15" s="183">
        <v>700440</v>
      </c>
      <c r="E15" s="183">
        <f t="shared" si="0"/>
        <v>472698</v>
      </c>
      <c r="F15" s="183">
        <v>-779</v>
      </c>
      <c r="G15" s="183">
        <v>0</v>
      </c>
      <c r="H15" s="221">
        <f t="shared" si="1"/>
        <v>1024935</v>
      </c>
      <c r="I15" s="234">
        <v>0</v>
      </c>
      <c r="J15" s="234"/>
      <c r="K15" s="234"/>
      <c r="L15" s="234"/>
      <c r="M15" s="267" t="s">
        <v>670</v>
      </c>
      <c r="N15" s="266">
        <v>98010</v>
      </c>
      <c r="O15" s="650" t="s">
        <v>648</v>
      </c>
      <c r="P15" s="650" t="s">
        <v>649</v>
      </c>
      <c r="Q15" s="650"/>
      <c r="R15" s="229">
        <v>0</v>
      </c>
    </row>
    <row r="16" spans="1:18" ht="30.9" customHeight="1" thickTop="1" thickBot="1">
      <c r="A16" s="176">
        <v>45641</v>
      </c>
      <c r="B16" s="178" t="s">
        <v>487</v>
      </c>
      <c r="C16" s="183">
        <v>530381</v>
      </c>
      <c r="D16" s="183">
        <v>261169</v>
      </c>
      <c r="E16" s="183">
        <f t="shared" si="0"/>
        <v>269212</v>
      </c>
      <c r="F16" s="183">
        <v>0</v>
      </c>
      <c r="G16" s="183">
        <v>0</v>
      </c>
      <c r="H16" s="221">
        <f t="shared" si="1"/>
        <v>1294147</v>
      </c>
      <c r="I16" s="641" t="s">
        <v>247</v>
      </c>
      <c r="J16" s="641"/>
      <c r="K16" s="641"/>
      <c r="L16" s="642">
        <f>J13+K13+L13+M13+N13+N15+P10</f>
        <v>1093110</v>
      </c>
      <c r="M16" s="642"/>
      <c r="N16" s="648"/>
      <c r="O16" s="650"/>
      <c r="P16" s="650" t="s">
        <v>650</v>
      </c>
      <c r="Q16" s="650"/>
      <c r="R16" s="229">
        <v>0</v>
      </c>
    </row>
    <row r="17" spans="1:18" ht="30.9" customHeight="1" thickTop="1" thickBot="1">
      <c r="A17" s="176">
        <v>45642</v>
      </c>
      <c r="B17" s="177" t="s">
        <v>488</v>
      </c>
      <c r="C17" s="183">
        <v>441630</v>
      </c>
      <c r="D17" s="183">
        <v>689004</v>
      </c>
      <c r="E17" s="183">
        <f t="shared" si="0"/>
        <v>-247374</v>
      </c>
      <c r="F17" s="183">
        <v>-441</v>
      </c>
      <c r="G17" s="183">
        <v>0</v>
      </c>
      <c r="H17" s="221">
        <f t="shared" si="1"/>
        <v>1046332</v>
      </c>
      <c r="I17" s="643" t="s">
        <v>482</v>
      </c>
      <c r="J17" s="643"/>
      <c r="K17" s="643"/>
      <c r="L17" s="643"/>
      <c r="M17" s="643"/>
      <c r="N17" s="649"/>
      <c r="O17" s="261" t="s">
        <v>651</v>
      </c>
      <c r="P17" s="650" t="s">
        <v>652</v>
      </c>
      <c r="Q17" s="650"/>
      <c r="R17" s="229">
        <v>250000</v>
      </c>
    </row>
    <row r="18" spans="1:18" ht="30.9" customHeight="1" thickTop="1" thickBot="1">
      <c r="A18" s="176">
        <v>45643</v>
      </c>
      <c r="B18" s="177" t="s">
        <v>489</v>
      </c>
      <c r="C18" s="183">
        <v>407715</v>
      </c>
      <c r="D18" s="183">
        <v>389464</v>
      </c>
      <c r="E18" s="183">
        <f t="shared" si="0"/>
        <v>18251</v>
      </c>
      <c r="F18" s="183">
        <v>0</v>
      </c>
      <c r="G18" s="183">
        <v>0</v>
      </c>
      <c r="H18" s="221">
        <f t="shared" si="1"/>
        <v>1064583</v>
      </c>
      <c r="I18" s="222"/>
      <c r="J18" s="235"/>
      <c r="K18" s="222"/>
      <c r="L18" s="222"/>
      <c r="M18" s="236" t="s">
        <v>498</v>
      </c>
      <c r="N18" s="256" t="s">
        <v>247</v>
      </c>
      <c r="O18" s="650" t="s">
        <v>653</v>
      </c>
      <c r="P18" s="650"/>
      <c r="Q18" s="650"/>
      <c r="R18" s="229">
        <v>0</v>
      </c>
    </row>
    <row r="19" spans="1:18" ht="30.9" customHeight="1" thickTop="1" thickBot="1">
      <c r="A19" s="176">
        <v>45644</v>
      </c>
      <c r="B19" s="177" t="s">
        <v>490</v>
      </c>
      <c r="C19" s="183">
        <v>265759</v>
      </c>
      <c r="D19" s="183">
        <v>182335</v>
      </c>
      <c r="E19" s="183">
        <f t="shared" si="0"/>
        <v>83424</v>
      </c>
      <c r="F19" s="183">
        <v>-268</v>
      </c>
      <c r="G19" s="183">
        <v>0</v>
      </c>
      <c r="H19" s="221">
        <f>H18+E19+F19</f>
        <v>1147739</v>
      </c>
      <c r="I19" s="237"/>
      <c r="J19" s="237"/>
      <c r="K19" s="237"/>
      <c r="L19" s="237"/>
      <c r="M19" s="238">
        <f>N23</f>
        <v>108474</v>
      </c>
      <c r="N19" s="257">
        <f>SUM(I19:M19)</f>
        <v>108474</v>
      </c>
      <c r="O19" s="652" t="s">
        <v>654</v>
      </c>
      <c r="P19" s="652"/>
      <c r="Q19" s="652"/>
      <c r="R19" s="229">
        <v>5600000</v>
      </c>
    </row>
    <row r="20" spans="1:18" ht="30.9" customHeight="1" thickTop="1" thickBot="1">
      <c r="A20" s="176">
        <v>45645</v>
      </c>
      <c r="B20" s="177" t="s">
        <v>491</v>
      </c>
      <c r="C20" s="183">
        <v>500916</v>
      </c>
      <c r="D20" s="183">
        <v>1410745</v>
      </c>
      <c r="E20" s="183">
        <f t="shared" si="0"/>
        <v>-909829</v>
      </c>
      <c r="F20" s="183">
        <v>-547</v>
      </c>
      <c r="G20" s="183">
        <v>0</v>
      </c>
      <c r="H20" s="221">
        <f t="shared" si="1"/>
        <v>237363</v>
      </c>
      <c r="I20" s="232"/>
      <c r="J20" s="232"/>
      <c r="K20" s="232"/>
      <c r="L20" s="232"/>
      <c r="M20" s="232"/>
      <c r="N20" s="232"/>
      <c r="O20" s="652" t="s">
        <v>655</v>
      </c>
      <c r="P20" s="652"/>
      <c r="Q20" s="652"/>
      <c r="R20" s="229">
        <v>0</v>
      </c>
    </row>
    <row r="21" spans="1:18" ht="30.9" customHeight="1" thickTop="1" thickBot="1">
      <c r="A21" s="176">
        <v>45646</v>
      </c>
      <c r="B21" s="178" t="s">
        <v>485</v>
      </c>
      <c r="C21" s="183">
        <v>795503</v>
      </c>
      <c r="D21" s="183">
        <v>704751</v>
      </c>
      <c r="E21" s="183">
        <f t="shared" si="0"/>
        <v>90752</v>
      </c>
      <c r="F21" s="183">
        <v>-410</v>
      </c>
      <c r="G21" s="183">
        <v>0</v>
      </c>
      <c r="H21" s="221">
        <f t="shared" si="1"/>
        <v>327705</v>
      </c>
      <c r="I21" s="644" t="s">
        <v>497</v>
      </c>
      <c r="J21" s="644"/>
      <c r="K21" s="644"/>
      <c r="L21" s="644"/>
      <c r="M21" s="644"/>
      <c r="N21" s="644"/>
      <c r="O21" s="653" t="s">
        <v>247</v>
      </c>
      <c r="P21" s="653"/>
      <c r="Q21" s="653"/>
      <c r="R21" s="270">
        <f>SUM(R12:R20)</f>
        <v>5850000</v>
      </c>
    </row>
    <row r="22" spans="1:18" ht="30.9" customHeight="1" thickTop="1" thickBot="1">
      <c r="A22" s="176">
        <v>45647</v>
      </c>
      <c r="B22" s="178" t="s">
        <v>486</v>
      </c>
      <c r="C22" s="183">
        <v>730422</v>
      </c>
      <c r="D22" s="183">
        <v>296206</v>
      </c>
      <c r="E22" s="183">
        <f t="shared" si="0"/>
        <v>434216</v>
      </c>
      <c r="F22" s="183">
        <v>-998</v>
      </c>
      <c r="G22" s="183">
        <v>0</v>
      </c>
      <c r="H22" s="221">
        <f t="shared" si="1"/>
        <v>760923</v>
      </c>
      <c r="I22" s="235" t="s">
        <v>625</v>
      </c>
      <c r="J22" s="222" t="s">
        <v>664</v>
      </c>
      <c r="K22" s="222" t="s">
        <v>142</v>
      </c>
      <c r="L22" s="222" t="s">
        <v>638</v>
      </c>
      <c r="M22" s="222" t="s">
        <v>494</v>
      </c>
      <c r="N22" s="254" t="s">
        <v>247</v>
      </c>
      <c r="O22" s="661"/>
      <c r="P22" s="662"/>
      <c r="Q22" s="662"/>
      <c r="R22" s="662"/>
    </row>
    <row r="23" spans="1:18" ht="30.9" customHeight="1" thickTop="1" thickBot="1">
      <c r="A23" s="176">
        <v>45648</v>
      </c>
      <c r="B23" s="178" t="s">
        <v>487</v>
      </c>
      <c r="C23" s="183">
        <v>491136</v>
      </c>
      <c r="D23" s="183">
        <v>427864</v>
      </c>
      <c r="E23" s="183">
        <f t="shared" si="0"/>
        <v>63272</v>
      </c>
      <c r="F23" s="183">
        <v>0</v>
      </c>
      <c r="G23" s="183">
        <v>0</v>
      </c>
      <c r="H23" s="221">
        <f t="shared" si="1"/>
        <v>824195</v>
      </c>
      <c r="I23" s="237">
        <v>0</v>
      </c>
      <c r="J23" s="237">
        <v>0</v>
      </c>
      <c r="K23" s="237">
        <v>5750</v>
      </c>
      <c r="L23" s="237">
        <v>20000</v>
      </c>
      <c r="M23" s="237">
        <v>82724</v>
      </c>
      <c r="N23" s="255">
        <f>SUM(J23:M23)</f>
        <v>108474</v>
      </c>
      <c r="O23" s="647" t="s">
        <v>665</v>
      </c>
      <c r="P23" s="647"/>
      <c r="Q23" s="647"/>
      <c r="R23" s="647"/>
    </row>
    <row r="24" spans="1:18" ht="30.9" customHeight="1" thickTop="1" thickBot="1">
      <c r="A24" s="176">
        <v>45649</v>
      </c>
      <c r="B24" s="177" t="s">
        <v>488</v>
      </c>
      <c r="C24" s="183">
        <v>552936</v>
      </c>
      <c r="D24" s="183">
        <v>19120</v>
      </c>
      <c r="E24" s="183">
        <f t="shared" si="0"/>
        <v>533816</v>
      </c>
      <c r="F24" s="183">
        <v>-745</v>
      </c>
      <c r="G24" s="183">
        <v>0</v>
      </c>
      <c r="H24" s="184">
        <f t="shared" si="1"/>
        <v>1357266</v>
      </c>
      <c r="O24" s="656" t="s">
        <v>666</v>
      </c>
      <c r="P24" s="658"/>
      <c r="Q24" s="657"/>
      <c r="R24" s="232"/>
    </row>
    <row r="25" spans="1:18" ht="30.9" customHeight="1" thickTop="1" thickBot="1">
      <c r="A25" s="176">
        <v>45650</v>
      </c>
      <c r="B25" s="177" t="s">
        <v>489</v>
      </c>
      <c r="C25" s="183">
        <v>664907</v>
      </c>
      <c r="D25" s="183">
        <v>263799</v>
      </c>
      <c r="E25" s="183">
        <f t="shared" si="0"/>
        <v>401108</v>
      </c>
      <c r="F25" s="183">
        <v>-645</v>
      </c>
      <c r="G25" s="183">
        <v>0</v>
      </c>
      <c r="H25" s="184">
        <f t="shared" si="1"/>
        <v>1757729</v>
      </c>
      <c r="I25" s="664" t="s">
        <v>672</v>
      </c>
      <c r="J25" s="664"/>
      <c r="K25" s="664"/>
      <c r="L25" s="664"/>
      <c r="M25" s="664"/>
      <c r="N25" s="664"/>
      <c r="O25" s="268"/>
      <c r="P25" s="656"/>
      <c r="Q25" s="657"/>
      <c r="R25" s="232"/>
    </row>
    <row r="26" spans="1:18" ht="30.9" customHeight="1" thickTop="1" thickBot="1">
      <c r="A26" s="176">
        <v>45651</v>
      </c>
      <c r="B26" s="177" t="s">
        <v>490</v>
      </c>
      <c r="C26" s="183">
        <v>707640</v>
      </c>
      <c r="D26" s="183">
        <v>1380902</v>
      </c>
      <c r="E26" s="183">
        <f t="shared" si="0"/>
        <v>-673262</v>
      </c>
      <c r="F26" s="183">
        <v>-2254</v>
      </c>
      <c r="G26" s="183">
        <v>0</v>
      </c>
      <c r="H26" s="184">
        <f t="shared" si="1"/>
        <v>1082213</v>
      </c>
      <c r="I26" s="71">
        <v>1</v>
      </c>
      <c r="J26" s="665" t="s">
        <v>673</v>
      </c>
      <c r="K26" s="665"/>
      <c r="L26" s="665"/>
      <c r="M26" s="665"/>
      <c r="N26" s="665"/>
      <c r="O26" s="268"/>
      <c r="P26" s="656"/>
      <c r="Q26" s="657"/>
      <c r="R26" s="232"/>
    </row>
    <row r="27" spans="1:18" ht="30.9" customHeight="1" thickTop="1" thickBot="1">
      <c r="A27" s="176">
        <v>45652</v>
      </c>
      <c r="B27" s="177" t="s">
        <v>491</v>
      </c>
      <c r="C27" s="183">
        <v>1465898</v>
      </c>
      <c r="D27" s="183">
        <v>749937</v>
      </c>
      <c r="E27" s="183">
        <f t="shared" si="0"/>
        <v>715961</v>
      </c>
      <c r="F27" s="183">
        <v>-2441</v>
      </c>
      <c r="G27" s="183">
        <v>0</v>
      </c>
      <c r="H27" s="184">
        <f t="shared" si="1"/>
        <v>1795733</v>
      </c>
      <c r="I27" s="71">
        <v>2</v>
      </c>
      <c r="J27" s="665" t="s">
        <v>681</v>
      </c>
      <c r="K27" s="665"/>
      <c r="L27" s="665"/>
      <c r="M27" s="665"/>
      <c r="N27" s="665"/>
      <c r="O27" s="268"/>
      <c r="P27" s="656"/>
      <c r="Q27" s="657"/>
      <c r="R27" s="232"/>
    </row>
    <row r="28" spans="1:18" ht="30.9" customHeight="1" thickTop="1" thickBot="1">
      <c r="A28" s="176">
        <v>45653</v>
      </c>
      <c r="B28" s="178" t="s">
        <v>485</v>
      </c>
      <c r="C28" s="183">
        <v>1433358</v>
      </c>
      <c r="D28" s="183">
        <v>1133146</v>
      </c>
      <c r="E28" s="183">
        <f t="shared" si="0"/>
        <v>300212</v>
      </c>
      <c r="F28" s="183">
        <v>0</v>
      </c>
      <c r="G28" s="183">
        <v>0</v>
      </c>
      <c r="H28" s="184">
        <f t="shared" si="1"/>
        <v>2095945</v>
      </c>
      <c r="I28" s="71"/>
      <c r="J28" s="665"/>
      <c r="K28" s="665"/>
      <c r="L28" s="665"/>
      <c r="M28" s="665"/>
      <c r="N28" s="665"/>
      <c r="O28" s="268"/>
      <c r="P28" s="656"/>
      <c r="Q28" s="657"/>
      <c r="R28" s="232"/>
    </row>
    <row r="29" spans="1:18" ht="30.9" customHeight="1" thickTop="1" thickBot="1">
      <c r="A29" s="176">
        <v>45654</v>
      </c>
      <c r="B29" s="178" t="s">
        <v>486</v>
      </c>
      <c r="C29" s="183">
        <v>1801740</v>
      </c>
      <c r="D29" s="183">
        <v>737449</v>
      </c>
      <c r="E29" s="183">
        <f t="shared" si="0"/>
        <v>1064291</v>
      </c>
      <c r="F29" s="183">
        <v>-74</v>
      </c>
      <c r="G29" s="183">
        <v>0</v>
      </c>
      <c r="H29" s="184">
        <f t="shared" si="1"/>
        <v>3160162</v>
      </c>
      <c r="I29" s="71"/>
      <c r="J29" s="665"/>
      <c r="K29" s="665"/>
      <c r="L29" s="665"/>
      <c r="M29" s="665"/>
      <c r="N29" s="665"/>
      <c r="O29" s="658" t="s">
        <v>667</v>
      </c>
      <c r="P29" s="658"/>
      <c r="Q29" s="657"/>
      <c r="R29" s="232"/>
    </row>
    <row r="30" spans="1:18" ht="30.9" customHeight="1" thickTop="1" thickBot="1">
      <c r="A30" s="176">
        <v>45655</v>
      </c>
      <c r="B30" s="178" t="s">
        <v>487</v>
      </c>
      <c r="C30" s="183">
        <v>710452</v>
      </c>
      <c r="D30" s="183">
        <v>1390461</v>
      </c>
      <c r="E30" s="183">
        <f t="shared" si="0"/>
        <v>-680009</v>
      </c>
      <c r="F30" s="183">
        <v>0</v>
      </c>
      <c r="G30" s="183">
        <v>0</v>
      </c>
      <c r="H30" s="184">
        <f t="shared" si="1"/>
        <v>2480153</v>
      </c>
      <c r="I30" s="71"/>
      <c r="J30" s="665"/>
      <c r="K30" s="665"/>
      <c r="L30" s="665"/>
      <c r="M30" s="665"/>
      <c r="N30" s="665"/>
      <c r="O30" s="268"/>
      <c r="P30" s="656"/>
      <c r="Q30" s="657"/>
      <c r="R30" s="232"/>
    </row>
    <row r="31" spans="1:18" ht="30.9" customHeight="1" thickTop="1" thickBot="1">
      <c r="A31" s="176">
        <v>45656</v>
      </c>
      <c r="B31" s="177" t="s">
        <v>488</v>
      </c>
      <c r="C31" s="183">
        <v>939378</v>
      </c>
      <c r="D31" s="183">
        <v>669231</v>
      </c>
      <c r="E31" s="183">
        <f t="shared" si="0"/>
        <v>270147</v>
      </c>
      <c r="F31" s="183">
        <v>-741</v>
      </c>
      <c r="G31" s="183">
        <v>0</v>
      </c>
      <c r="H31" s="184">
        <f>H30+E31+F31</f>
        <v>2749559</v>
      </c>
      <c r="I31" s="71"/>
      <c r="J31" s="665"/>
      <c r="K31" s="665"/>
      <c r="L31" s="665"/>
      <c r="M31" s="665"/>
      <c r="N31" s="665"/>
      <c r="O31" s="269"/>
      <c r="P31" s="659"/>
      <c r="Q31" s="660"/>
      <c r="R31" s="232"/>
    </row>
    <row r="32" spans="1:18" ht="30.9" customHeight="1" thickTop="1" thickBot="1">
      <c r="A32" s="176">
        <v>45657</v>
      </c>
      <c r="B32" s="177" t="s">
        <v>489</v>
      </c>
      <c r="C32" s="183">
        <v>710808</v>
      </c>
      <c r="D32" s="183">
        <v>1267638</v>
      </c>
      <c r="E32" s="183">
        <f>C32-D32</f>
        <v>-556830</v>
      </c>
      <c r="F32" s="183">
        <v>-984</v>
      </c>
      <c r="G32" s="183">
        <v>0</v>
      </c>
      <c r="H32" s="184">
        <f t="shared" si="1"/>
        <v>2191745</v>
      </c>
      <c r="I32" s="71"/>
      <c r="J32" s="665"/>
      <c r="K32" s="665"/>
      <c r="L32" s="665"/>
      <c r="M32" s="665"/>
      <c r="N32" s="665"/>
      <c r="O32" s="269"/>
      <c r="P32" s="659"/>
      <c r="Q32" s="660"/>
      <c r="R32" s="232"/>
    </row>
    <row r="33" spans="1:17" ht="30.9" customHeight="1" thickTop="1">
      <c r="A33" s="264"/>
      <c r="B33" s="265"/>
      <c r="C33" s="183">
        <v>0</v>
      </c>
      <c r="D33" s="183"/>
      <c r="E33" s="183">
        <f>C33-D33</f>
        <v>0</v>
      </c>
      <c r="F33" s="183"/>
      <c r="G33" s="183">
        <v>0</v>
      </c>
      <c r="H33" s="184">
        <f t="shared" si="1"/>
        <v>2191745</v>
      </c>
      <c r="I33" s="71"/>
      <c r="J33" s="665"/>
      <c r="K33" s="665"/>
      <c r="L33" s="665"/>
      <c r="M33" s="665"/>
      <c r="N33" s="665"/>
      <c r="P33" s="81"/>
      <c r="Q33" s="81"/>
    </row>
    <row r="34" spans="1:17" ht="45" customHeight="1">
      <c r="A34" s="476" t="s">
        <v>247</v>
      </c>
      <c r="B34" s="477"/>
      <c r="C34" s="145">
        <f>SUM(C2:C33)</f>
        <v>21151544</v>
      </c>
      <c r="D34" s="145">
        <f>SUM(D2:D33)</f>
        <v>18943520</v>
      </c>
      <c r="E34" s="145">
        <f>SUM(E2:E33)</f>
        <v>2208024</v>
      </c>
      <c r="F34" s="145">
        <f>SUM(F2:F32)</f>
        <v>-16279</v>
      </c>
      <c r="G34" s="145">
        <f>SUM(G2:G32)</f>
        <v>0</v>
      </c>
      <c r="H34" s="145">
        <f>C34-D34+F34</f>
        <v>2191745</v>
      </c>
    </row>
    <row r="35" spans="1:17">
      <c r="A35" s="69"/>
    </row>
    <row r="36" spans="1:17">
      <c r="A36" s="69"/>
    </row>
    <row r="37" spans="1:17">
      <c r="A37" s="69"/>
    </row>
    <row r="38" spans="1:17">
      <c r="A38" s="69"/>
    </row>
    <row r="39" spans="1:17">
      <c r="A39" s="69"/>
    </row>
    <row r="40" spans="1:17" ht="21" customHeight="1">
      <c r="A40" s="69"/>
    </row>
    <row r="41" spans="1:17" ht="23.1" customHeight="1">
      <c r="A41" s="69"/>
    </row>
    <row r="42" spans="1:17">
      <c r="A42" s="69"/>
    </row>
    <row r="43" spans="1:17" ht="29.1" customHeight="1">
      <c r="A43" s="69"/>
    </row>
    <row r="44" spans="1:17" ht="15" customHeight="1">
      <c r="A44" s="69"/>
    </row>
    <row r="45" spans="1:17">
      <c r="A45" s="69"/>
    </row>
    <row r="46" spans="1:17">
      <c r="A46" s="69"/>
    </row>
    <row r="47" spans="1:17">
      <c r="A47" s="69"/>
    </row>
    <row r="48" spans="1:17">
      <c r="A48" s="69"/>
    </row>
    <row r="49" spans="1:1">
      <c r="A49" s="69"/>
    </row>
    <row r="50" spans="1:1">
      <c r="A50" s="69"/>
    </row>
    <row r="51" spans="1:1" ht="18.899999999999999" customHeight="1">
      <c r="A51" s="69"/>
    </row>
  </sheetData>
  <mergeCells count="55">
    <mergeCell ref="J30:N30"/>
    <mergeCell ref="P28:Q28"/>
    <mergeCell ref="O29:Q29"/>
    <mergeCell ref="P30:Q30"/>
    <mergeCell ref="P31:Q31"/>
    <mergeCell ref="J28:N28"/>
    <mergeCell ref="J29:N29"/>
    <mergeCell ref="P32:Q32"/>
    <mergeCell ref="A34:B34"/>
    <mergeCell ref="J31:N31"/>
    <mergeCell ref="J32:N32"/>
    <mergeCell ref="J33:N33"/>
    <mergeCell ref="P27:Q27"/>
    <mergeCell ref="I17:N17"/>
    <mergeCell ref="P17:Q17"/>
    <mergeCell ref="O18:Q18"/>
    <mergeCell ref="O19:Q19"/>
    <mergeCell ref="O20:Q20"/>
    <mergeCell ref="I21:N21"/>
    <mergeCell ref="O21:Q21"/>
    <mergeCell ref="O22:R22"/>
    <mergeCell ref="O23:R23"/>
    <mergeCell ref="O24:Q24"/>
    <mergeCell ref="P25:Q25"/>
    <mergeCell ref="P26:Q26"/>
    <mergeCell ref="I25:N25"/>
    <mergeCell ref="J26:N26"/>
    <mergeCell ref="J27:N27"/>
    <mergeCell ref="O12:Q12"/>
    <mergeCell ref="O13:P14"/>
    <mergeCell ref="I14:N14"/>
    <mergeCell ref="O15:O16"/>
    <mergeCell ref="P15:Q15"/>
    <mergeCell ref="I16:K16"/>
    <mergeCell ref="L16:N16"/>
    <mergeCell ref="P16:Q16"/>
    <mergeCell ref="O11:R11"/>
    <mergeCell ref="I4:I5"/>
    <mergeCell ref="M4:N4"/>
    <mergeCell ref="M5:N5"/>
    <mergeCell ref="O5:R5"/>
    <mergeCell ref="I6:N6"/>
    <mergeCell ref="O6:P6"/>
    <mergeCell ref="Q6:R6"/>
    <mergeCell ref="M7:N7"/>
    <mergeCell ref="M8:N8"/>
    <mergeCell ref="J9:N9"/>
    <mergeCell ref="I10:N10"/>
    <mergeCell ref="I11:N11"/>
    <mergeCell ref="M3:N3"/>
    <mergeCell ref="A1:B1"/>
    <mergeCell ref="I1:N1"/>
    <mergeCell ref="O1:R1"/>
    <mergeCell ref="I2:N2"/>
    <mergeCell ref="O2:R2"/>
  </mergeCells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7EC2-5EC7-494A-8961-42F9470135AF}">
  <dimension ref="A1:R51"/>
  <sheetViews>
    <sheetView zoomScaleNormal="100" workbookViewId="0">
      <selection activeCell="J9" sqref="J9:N9"/>
    </sheetView>
  </sheetViews>
  <sheetFormatPr defaultColWidth="10.6328125" defaultRowHeight="18"/>
  <cols>
    <col min="1" max="1" width="5.90625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8" style="69" customWidth="1"/>
    <col min="7" max="7" width="7.90625" style="69" customWidth="1"/>
    <col min="8" max="8" width="12.453125" style="69" customWidth="1"/>
    <col min="9" max="14" width="11.453125" style="69" customWidth="1"/>
    <col min="15" max="16" width="7" style="69" customWidth="1"/>
    <col min="17" max="17" width="11.453125" style="69" customWidth="1"/>
    <col min="18" max="18" width="21" style="69" customWidth="1"/>
    <col min="19" max="16384" width="10.6328125" style="69"/>
  </cols>
  <sheetData>
    <row r="1" spans="1:18" ht="24" customHeight="1" thickTop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133" t="s">
        <v>463</v>
      </c>
      <c r="H1" s="220" t="s">
        <v>464</v>
      </c>
      <c r="I1" s="663" t="s">
        <v>685</v>
      </c>
      <c r="J1" s="663"/>
      <c r="K1" s="663"/>
      <c r="L1" s="663"/>
      <c r="M1" s="663"/>
      <c r="N1" s="663"/>
      <c r="O1" s="631" t="s">
        <v>642</v>
      </c>
      <c r="P1" s="632"/>
      <c r="Q1" s="632"/>
      <c r="R1" s="632"/>
    </row>
    <row r="2" spans="1:18" ht="30.9" customHeight="1" thickTop="1" thickBot="1">
      <c r="A2" s="176">
        <v>45658</v>
      </c>
      <c r="B2" s="177" t="s">
        <v>490</v>
      </c>
      <c r="C2" s="183">
        <v>406737</v>
      </c>
      <c r="D2" s="183">
        <v>218362</v>
      </c>
      <c r="E2" s="183">
        <f>C2-D2</f>
        <v>188375</v>
      </c>
      <c r="F2" s="183">
        <v>-24</v>
      </c>
      <c r="G2" s="183">
        <v>0</v>
      </c>
      <c r="H2" s="221">
        <f>E2+F2</f>
        <v>188351</v>
      </c>
      <c r="I2" s="630" t="s">
        <v>249</v>
      </c>
      <c r="J2" s="630"/>
      <c r="K2" s="630"/>
      <c r="L2" s="630"/>
      <c r="M2" s="630"/>
      <c r="N2" s="630"/>
      <c r="O2" s="627" t="s">
        <v>638</v>
      </c>
      <c r="P2" s="628"/>
      <c r="Q2" s="628"/>
      <c r="R2" s="628"/>
    </row>
    <row r="3" spans="1:18" ht="30.9" customHeight="1" thickTop="1" thickBot="1">
      <c r="A3" s="176">
        <v>45659</v>
      </c>
      <c r="B3" s="177" t="s">
        <v>491</v>
      </c>
      <c r="C3" s="183">
        <v>615486</v>
      </c>
      <c r="D3" s="183">
        <v>423468</v>
      </c>
      <c r="E3" s="183">
        <f t="shared" ref="E3:E31" si="0">C3-D3</f>
        <v>192018</v>
      </c>
      <c r="F3" s="183">
        <v>0</v>
      </c>
      <c r="G3" s="183">
        <v>0</v>
      </c>
      <c r="H3" s="221">
        <f>H2+E3+F3</f>
        <v>380369</v>
      </c>
      <c r="I3" s="223" t="s">
        <v>247</v>
      </c>
      <c r="J3" s="222" t="s">
        <v>251</v>
      </c>
      <c r="K3" s="222" t="s">
        <v>252</v>
      </c>
      <c r="L3" s="222" t="s">
        <v>449</v>
      </c>
      <c r="M3" s="630" t="s">
        <v>415</v>
      </c>
      <c r="N3" s="630"/>
      <c r="O3" s="246"/>
      <c r="P3" s="247"/>
      <c r="Q3" s="247"/>
      <c r="R3" s="247"/>
    </row>
    <row r="4" spans="1:18" ht="30.9" customHeight="1" thickTop="1" thickBot="1">
      <c r="A4" s="176">
        <v>45660</v>
      </c>
      <c r="B4" s="178" t="s">
        <v>485</v>
      </c>
      <c r="C4" s="183">
        <v>645946</v>
      </c>
      <c r="D4" s="183">
        <v>757515</v>
      </c>
      <c r="E4" s="183">
        <f t="shared" si="0"/>
        <v>-111569</v>
      </c>
      <c r="F4" s="183">
        <v>0</v>
      </c>
      <c r="G4" s="183">
        <v>0</v>
      </c>
      <c r="H4" s="221">
        <f t="shared" ref="H4:H33" si="1">H3+E4+F4</f>
        <v>268800</v>
      </c>
      <c r="I4" s="635">
        <f>C34</f>
        <v>18376433</v>
      </c>
      <c r="J4" s="224">
        <f>G34</f>
        <v>0</v>
      </c>
      <c r="K4" s="224"/>
      <c r="L4" s="224">
        <f>F34</f>
        <v>-5419</v>
      </c>
      <c r="M4" s="636">
        <v>12174</v>
      </c>
      <c r="N4" s="636"/>
      <c r="O4" s="249"/>
      <c r="P4" s="250"/>
      <c r="Q4" s="250"/>
      <c r="R4" s="250"/>
    </row>
    <row r="5" spans="1:18" ht="30.9" customHeight="1" thickTop="1" thickBot="1">
      <c r="A5" s="176">
        <v>45661</v>
      </c>
      <c r="B5" s="178" t="s">
        <v>486</v>
      </c>
      <c r="C5" s="183">
        <v>702096</v>
      </c>
      <c r="D5" s="183">
        <v>157829</v>
      </c>
      <c r="E5" s="183">
        <f t="shared" si="0"/>
        <v>544267</v>
      </c>
      <c r="F5" s="183">
        <v>-874</v>
      </c>
      <c r="G5" s="183">
        <v>0</v>
      </c>
      <c r="H5" s="221">
        <f t="shared" si="1"/>
        <v>812193</v>
      </c>
      <c r="I5" s="635"/>
      <c r="J5" s="225">
        <f>J4/I4</f>
        <v>0</v>
      </c>
      <c r="K5" s="225">
        <f>K4/I4</f>
        <v>0</v>
      </c>
      <c r="L5" s="226">
        <f>L4/I4</f>
        <v>-2.9488856732968799E-4</v>
      </c>
      <c r="M5" s="637">
        <f>M4/I4</f>
        <v>6.6247894790028071E-4</v>
      </c>
      <c r="N5" s="637"/>
      <c r="O5" s="654" t="s">
        <v>639</v>
      </c>
      <c r="P5" s="655"/>
      <c r="Q5" s="655"/>
      <c r="R5" s="655"/>
    </row>
    <row r="6" spans="1:18" ht="30.9" customHeight="1" thickTop="1" thickBot="1">
      <c r="A6" s="176">
        <v>45662</v>
      </c>
      <c r="B6" s="178" t="s">
        <v>487</v>
      </c>
      <c r="C6" s="183">
        <v>332783</v>
      </c>
      <c r="D6" s="183">
        <v>598147</v>
      </c>
      <c r="E6" s="183">
        <f t="shared" si="0"/>
        <v>-265364</v>
      </c>
      <c r="F6" s="183">
        <v>0</v>
      </c>
      <c r="G6" s="183">
        <v>0</v>
      </c>
      <c r="H6" s="221">
        <f t="shared" si="1"/>
        <v>546829</v>
      </c>
      <c r="I6" s="630" t="s">
        <v>250</v>
      </c>
      <c r="J6" s="630"/>
      <c r="K6" s="630"/>
      <c r="L6" s="630"/>
      <c r="M6" s="630"/>
      <c r="N6" s="630"/>
      <c r="O6" s="630" t="s">
        <v>231</v>
      </c>
      <c r="P6" s="630"/>
      <c r="Q6" s="490"/>
      <c r="R6" s="490"/>
    </row>
    <row r="7" spans="1:18" ht="30.9" customHeight="1" thickTop="1" thickBot="1">
      <c r="A7" s="176">
        <v>45663</v>
      </c>
      <c r="B7" s="177" t="s">
        <v>488</v>
      </c>
      <c r="C7" s="183">
        <v>199501</v>
      </c>
      <c r="D7" s="183">
        <v>191205</v>
      </c>
      <c r="E7" s="183">
        <f t="shared" si="0"/>
        <v>8296</v>
      </c>
      <c r="F7" s="183">
        <v>-41</v>
      </c>
      <c r="G7" s="183">
        <v>0</v>
      </c>
      <c r="H7" s="221">
        <f t="shared" si="1"/>
        <v>555084</v>
      </c>
      <c r="I7" s="222" t="s">
        <v>241</v>
      </c>
      <c r="J7" s="222" t="s">
        <v>253</v>
      </c>
      <c r="K7" s="227" t="s">
        <v>624</v>
      </c>
      <c r="L7" s="222"/>
      <c r="M7" s="638" t="s">
        <v>247</v>
      </c>
      <c r="N7" s="638"/>
      <c r="O7" s="242" t="s">
        <v>640</v>
      </c>
      <c r="P7" s="243">
        <v>320000</v>
      </c>
    </row>
    <row r="8" spans="1:18" ht="30.9" customHeight="1" thickTop="1" thickBot="1">
      <c r="A8" s="176">
        <v>45664</v>
      </c>
      <c r="B8" s="177" t="s">
        <v>489</v>
      </c>
      <c r="C8" s="183">
        <v>386873</v>
      </c>
      <c r="D8" s="183">
        <v>546241</v>
      </c>
      <c r="E8" s="183">
        <f t="shared" si="0"/>
        <v>-159368</v>
      </c>
      <c r="F8" s="183">
        <v>0</v>
      </c>
      <c r="G8" s="183">
        <v>0</v>
      </c>
      <c r="H8" s="221">
        <f t="shared" si="1"/>
        <v>395716</v>
      </c>
      <c r="I8" s="228">
        <f>D34</f>
        <v>16008163</v>
      </c>
      <c r="J8" s="229">
        <f>L16</f>
        <v>980050</v>
      </c>
      <c r="K8" s="230">
        <f>N19</f>
        <v>79978</v>
      </c>
      <c r="L8" s="229"/>
      <c r="M8" s="639">
        <f>SUM(I8:L8)</f>
        <v>17068191</v>
      </c>
      <c r="N8" s="639"/>
      <c r="O8" s="242" t="s">
        <v>641</v>
      </c>
      <c r="P8" s="243">
        <v>55000</v>
      </c>
    </row>
    <row r="9" spans="1:18" ht="30.9" customHeight="1" thickTop="1" thickBot="1">
      <c r="A9" s="176">
        <v>45665</v>
      </c>
      <c r="B9" s="177" t="s">
        <v>490</v>
      </c>
      <c r="C9" s="183">
        <v>468097</v>
      </c>
      <c r="D9" s="183">
        <v>816032</v>
      </c>
      <c r="E9" s="183">
        <f t="shared" si="0"/>
        <v>-347935</v>
      </c>
      <c r="F9" s="183">
        <v>-451</v>
      </c>
      <c r="G9" s="183">
        <v>0</v>
      </c>
      <c r="H9" s="221">
        <f t="shared" si="1"/>
        <v>47330</v>
      </c>
      <c r="I9" s="231" t="s">
        <v>266</v>
      </c>
      <c r="J9" s="623">
        <f>H34-J8-K8-M4</f>
        <v>1296068</v>
      </c>
      <c r="K9" s="623"/>
      <c r="L9" s="623"/>
      <c r="M9" s="623"/>
      <c r="N9" s="623"/>
      <c r="O9" s="241" t="s">
        <v>495</v>
      </c>
      <c r="P9" s="243">
        <v>35000</v>
      </c>
    </row>
    <row r="10" spans="1:18" ht="30.9" customHeight="1" thickTop="1" thickBot="1">
      <c r="A10" s="176">
        <v>45666</v>
      </c>
      <c r="B10" s="177" t="s">
        <v>491</v>
      </c>
      <c r="C10" s="183">
        <v>522646</v>
      </c>
      <c r="D10" s="183">
        <v>203985</v>
      </c>
      <c r="E10" s="183">
        <f t="shared" si="0"/>
        <v>318661</v>
      </c>
      <c r="F10" s="183">
        <v>-425</v>
      </c>
      <c r="G10" s="183">
        <v>0</v>
      </c>
      <c r="H10" s="221">
        <f t="shared" si="1"/>
        <v>365566</v>
      </c>
      <c r="I10" s="640" t="s">
        <v>257</v>
      </c>
      <c r="J10" s="640"/>
      <c r="K10" s="640"/>
      <c r="L10" s="640"/>
      <c r="M10" s="640"/>
      <c r="N10" s="640"/>
      <c r="O10" s="244" t="s">
        <v>73</v>
      </c>
      <c r="P10" s="245">
        <f>SUM(P7:P9)</f>
        <v>410000</v>
      </c>
      <c r="Q10" s="252"/>
      <c r="R10" s="252"/>
    </row>
    <row r="11" spans="1:18" ht="30.9" customHeight="1" thickTop="1" thickBot="1">
      <c r="A11" s="176">
        <v>45667</v>
      </c>
      <c r="B11" s="178" t="s">
        <v>485</v>
      </c>
      <c r="C11" s="183">
        <v>870908</v>
      </c>
      <c r="D11" s="183">
        <v>500422</v>
      </c>
      <c r="E11" s="183">
        <f t="shared" si="0"/>
        <v>370486</v>
      </c>
      <c r="F11" s="183">
        <v>0</v>
      </c>
      <c r="G11" s="183">
        <v>0</v>
      </c>
      <c r="H11" s="221">
        <f>H10+E11+F11</f>
        <v>736052</v>
      </c>
      <c r="I11" s="634" t="s">
        <v>477</v>
      </c>
      <c r="J11" s="634"/>
      <c r="K11" s="634"/>
      <c r="L11" s="634"/>
      <c r="M11" s="634"/>
      <c r="N11" s="651"/>
      <c r="O11" s="647" t="s">
        <v>643</v>
      </c>
      <c r="P11" s="647"/>
      <c r="Q11" s="647"/>
      <c r="R11" s="647"/>
    </row>
    <row r="12" spans="1:18" ht="30.9" customHeight="1" thickTop="1" thickBot="1">
      <c r="A12" s="176">
        <v>45668</v>
      </c>
      <c r="B12" s="178" t="s">
        <v>486</v>
      </c>
      <c r="C12" s="183">
        <v>750594</v>
      </c>
      <c r="D12" s="183">
        <v>557851</v>
      </c>
      <c r="E12" s="183">
        <f t="shared" si="0"/>
        <v>192743</v>
      </c>
      <c r="F12" s="183">
        <v>-451</v>
      </c>
      <c r="G12" s="183">
        <v>0</v>
      </c>
      <c r="H12" s="221">
        <f t="shared" si="1"/>
        <v>928344</v>
      </c>
      <c r="I12" s="232" t="s">
        <v>478</v>
      </c>
      <c r="J12" s="229" t="s">
        <v>479</v>
      </c>
      <c r="K12" s="229" t="s">
        <v>480</v>
      </c>
      <c r="L12" s="229" t="s">
        <v>455</v>
      </c>
      <c r="M12" s="229" t="s">
        <v>468</v>
      </c>
      <c r="N12" s="258" t="s">
        <v>230</v>
      </c>
      <c r="O12" s="650" t="s">
        <v>644</v>
      </c>
      <c r="P12" s="650"/>
      <c r="Q12" s="650"/>
      <c r="R12" s="229">
        <v>0</v>
      </c>
    </row>
    <row r="13" spans="1:18" ht="30.9" customHeight="1" thickTop="1" thickBot="1">
      <c r="A13" s="176">
        <v>45669</v>
      </c>
      <c r="B13" s="178" t="s">
        <v>487</v>
      </c>
      <c r="C13" s="183">
        <v>491501</v>
      </c>
      <c r="D13" s="183">
        <v>273380</v>
      </c>
      <c r="E13" s="183">
        <f t="shared" si="0"/>
        <v>218121</v>
      </c>
      <c r="F13" s="183">
        <v>-151</v>
      </c>
      <c r="G13" s="183">
        <v>0</v>
      </c>
      <c r="H13" s="221">
        <f t="shared" si="1"/>
        <v>1146314</v>
      </c>
      <c r="I13" s="233">
        <f>P7</f>
        <v>320000</v>
      </c>
      <c r="J13" s="229">
        <v>73000</v>
      </c>
      <c r="K13" s="229">
        <v>103000</v>
      </c>
      <c r="L13" s="229">
        <v>53000</v>
      </c>
      <c r="M13" s="229">
        <v>72050</v>
      </c>
      <c r="N13" s="229">
        <f>190*1100</f>
        <v>209000</v>
      </c>
      <c r="O13" s="650" t="s">
        <v>645</v>
      </c>
      <c r="P13" s="650"/>
      <c r="Q13" s="261" t="s">
        <v>646</v>
      </c>
      <c r="R13" s="229">
        <v>0</v>
      </c>
    </row>
    <row r="14" spans="1:18" ht="30.9" customHeight="1" thickTop="1" thickBot="1">
      <c r="A14" s="176">
        <v>45670</v>
      </c>
      <c r="B14" s="177" t="s">
        <v>488</v>
      </c>
      <c r="C14" s="183">
        <v>488660</v>
      </c>
      <c r="D14" s="183">
        <v>801306</v>
      </c>
      <c r="E14" s="183">
        <f t="shared" si="0"/>
        <v>-312646</v>
      </c>
      <c r="F14" s="183">
        <v>0</v>
      </c>
      <c r="G14" s="183">
        <v>0</v>
      </c>
      <c r="H14" s="221">
        <f t="shared" si="1"/>
        <v>833668</v>
      </c>
      <c r="I14" s="634" t="s">
        <v>481</v>
      </c>
      <c r="J14" s="634"/>
      <c r="K14" s="634"/>
      <c r="L14" s="634"/>
      <c r="M14" s="634"/>
      <c r="N14" s="651"/>
      <c r="O14" s="650"/>
      <c r="P14" s="650"/>
      <c r="Q14" s="261" t="s">
        <v>647</v>
      </c>
      <c r="R14" s="232"/>
    </row>
    <row r="15" spans="1:18" ht="30.9" customHeight="1" thickTop="1" thickBot="1">
      <c r="A15" s="176">
        <v>45671</v>
      </c>
      <c r="B15" s="177" t="s">
        <v>489</v>
      </c>
      <c r="C15" s="183">
        <v>346103</v>
      </c>
      <c r="D15" s="183">
        <v>284465</v>
      </c>
      <c r="E15" s="183">
        <f t="shared" si="0"/>
        <v>61638</v>
      </c>
      <c r="F15" s="183">
        <v>-44</v>
      </c>
      <c r="G15" s="183">
        <v>0</v>
      </c>
      <c r="H15" s="221">
        <f t="shared" si="1"/>
        <v>895262</v>
      </c>
      <c r="I15" s="234">
        <v>0</v>
      </c>
      <c r="J15" s="234"/>
      <c r="K15" s="234"/>
      <c r="L15" s="234"/>
      <c r="M15" s="267" t="s">
        <v>670</v>
      </c>
      <c r="N15" s="266">
        <v>60000</v>
      </c>
      <c r="O15" s="650" t="s">
        <v>648</v>
      </c>
      <c r="P15" s="650" t="s">
        <v>649</v>
      </c>
      <c r="Q15" s="650"/>
      <c r="R15" s="229">
        <v>0</v>
      </c>
    </row>
    <row r="16" spans="1:18" ht="30.9" customHeight="1" thickTop="1" thickBot="1">
      <c r="A16" s="176">
        <v>45672</v>
      </c>
      <c r="B16" s="177" t="s">
        <v>490</v>
      </c>
      <c r="C16" s="183">
        <v>639051</v>
      </c>
      <c r="D16" s="183">
        <v>621595</v>
      </c>
      <c r="E16" s="183">
        <f t="shared" si="0"/>
        <v>17456</v>
      </c>
      <c r="F16" s="183">
        <v>0</v>
      </c>
      <c r="G16" s="183">
        <v>0</v>
      </c>
      <c r="H16" s="221">
        <f t="shared" si="1"/>
        <v>912718</v>
      </c>
      <c r="I16" s="641" t="s">
        <v>247</v>
      </c>
      <c r="J16" s="641"/>
      <c r="K16" s="641"/>
      <c r="L16" s="642">
        <f>J13+K13+L13+M13+N13+N15+P10</f>
        <v>980050</v>
      </c>
      <c r="M16" s="642"/>
      <c r="N16" s="648"/>
      <c r="O16" s="650"/>
      <c r="P16" s="650" t="s">
        <v>650</v>
      </c>
      <c r="Q16" s="650"/>
      <c r="R16" s="229">
        <v>0</v>
      </c>
    </row>
    <row r="17" spans="1:18" ht="30.9" customHeight="1" thickTop="1" thickBot="1">
      <c r="A17" s="176">
        <v>45673</v>
      </c>
      <c r="B17" s="177" t="s">
        <v>491</v>
      </c>
      <c r="C17" s="183">
        <v>644249</v>
      </c>
      <c r="D17" s="183">
        <v>165643</v>
      </c>
      <c r="E17" s="183">
        <f t="shared" si="0"/>
        <v>478606</v>
      </c>
      <c r="F17" s="183">
        <v>-45</v>
      </c>
      <c r="G17" s="183">
        <v>0</v>
      </c>
      <c r="H17" s="221">
        <f t="shared" si="1"/>
        <v>1391279</v>
      </c>
      <c r="I17" s="643" t="s">
        <v>482</v>
      </c>
      <c r="J17" s="643"/>
      <c r="K17" s="643"/>
      <c r="L17" s="643"/>
      <c r="M17" s="643"/>
      <c r="N17" s="649"/>
      <c r="O17" s="261" t="s">
        <v>651</v>
      </c>
      <c r="P17" s="650" t="s">
        <v>652</v>
      </c>
      <c r="Q17" s="650"/>
      <c r="R17" s="229">
        <v>250000</v>
      </c>
    </row>
    <row r="18" spans="1:18" ht="30.9" customHeight="1" thickTop="1" thickBot="1">
      <c r="A18" s="176">
        <v>45674</v>
      </c>
      <c r="B18" s="178" t="s">
        <v>485</v>
      </c>
      <c r="C18" s="183">
        <v>992299</v>
      </c>
      <c r="D18" s="183">
        <v>587613</v>
      </c>
      <c r="E18" s="183">
        <f t="shared" si="0"/>
        <v>404686</v>
      </c>
      <c r="F18" s="183">
        <v>0</v>
      </c>
      <c r="G18" s="183">
        <v>0</v>
      </c>
      <c r="H18" s="221">
        <f t="shared" si="1"/>
        <v>1795965</v>
      </c>
      <c r="I18" s="222"/>
      <c r="J18" s="235"/>
      <c r="K18" s="222"/>
      <c r="L18" s="222"/>
      <c r="M18" s="236" t="s">
        <v>498</v>
      </c>
      <c r="N18" s="256" t="s">
        <v>247</v>
      </c>
      <c r="O18" s="650" t="s">
        <v>653</v>
      </c>
      <c r="P18" s="650"/>
      <c r="Q18" s="650"/>
      <c r="R18" s="229">
        <v>0</v>
      </c>
    </row>
    <row r="19" spans="1:18" ht="30.9" customHeight="1" thickTop="1" thickBot="1">
      <c r="A19" s="176">
        <v>45675</v>
      </c>
      <c r="B19" s="178" t="s">
        <v>486</v>
      </c>
      <c r="C19" s="183">
        <v>577413</v>
      </c>
      <c r="D19" s="183">
        <v>162396</v>
      </c>
      <c r="E19" s="183">
        <f t="shared" si="0"/>
        <v>415017</v>
      </c>
      <c r="F19" s="183">
        <v>-454</v>
      </c>
      <c r="G19" s="183">
        <v>0</v>
      </c>
      <c r="H19" s="221">
        <f>H18+E19+F19</f>
        <v>2210528</v>
      </c>
      <c r="I19" s="237"/>
      <c r="J19" s="237"/>
      <c r="K19" s="237"/>
      <c r="L19" s="237"/>
      <c r="M19" s="238">
        <f>N23</f>
        <v>79978</v>
      </c>
      <c r="N19" s="257">
        <f>SUM(I19:M19)</f>
        <v>79978</v>
      </c>
      <c r="O19" s="652" t="s">
        <v>654</v>
      </c>
      <c r="P19" s="652"/>
      <c r="Q19" s="652"/>
      <c r="R19" s="229">
        <v>5600000</v>
      </c>
    </row>
    <row r="20" spans="1:18" ht="30.9" customHeight="1" thickTop="1" thickBot="1">
      <c r="A20" s="176">
        <v>45676</v>
      </c>
      <c r="B20" s="178" t="s">
        <v>487</v>
      </c>
      <c r="C20" s="183">
        <v>372131</v>
      </c>
      <c r="D20" s="183">
        <v>134226</v>
      </c>
      <c r="E20" s="183">
        <f t="shared" si="0"/>
        <v>237905</v>
      </c>
      <c r="F20" s="183">
        <v>-147</v>
      </c>
      <c r="G20" s="183">
        <v>0</v>
      </c>
      <c r="H20" s="221">
        <f t="shared" si="1"/>
        <v>2448286</v>
      </c>
      <c r="I20" s="232"/>
      <c r="J20" s="232"/>
      <c r="K20" s="232"/>
      <c r="L20" s="232"/>
      <c r="M20" s="232"/>
      <c r="N20" s="232"/>
      <c r="O20" s="652" t="s">
        <v>655</v>
      </c>
      <c r="P20" s="652"/>
      <c r="Q20" s="652"/>
      <c r="R20" s="229">
        <v>0</v>
      </c>
    </row>
    <row r="21" spans="1:18" ht="30.9" customHeight="1" thickTop="1" thickBot="1">
      <c r="A21" s="176">
        <v>45677</v>
      </c>
      <c r="B21" s="177" t="s">
        <v>488</v>
      </c>
      <c r="C21" s="183">
        <v>416258</v>
      </c>
      <c r="D21" s="183">
        <v>387867</v>
      </c>
      <c r="E21" s="183">
        <f t="shared" si="0"/>
        <v>28391</v>
      </c>
      <c r="F21" s="183">
        <v>0</v>
      </c>
      <c r="G21" s="183">
        <v>0</v>
      </c>
      <c r="H21" s="221">
        <f t="shared" si="1"/>
        <v>2476677</v>
      </c>
      <c r="I21" s="644" t="s">
        <v>497</v>
      </c>
      <c r="J21" s="644"/>
      <c r="K21" s="644"/>
      <c r="L21" s="644"/>
      <c r="M21" s="644"/>
      <c r="N21" s="644"/>
      <c r="O21" s="653" t="s">
        <v>247</v>
      </c>
      <c r="P21" s="653"/>
      <c r="Q21" s="653"/>
      <c r="R21" s="270">
        <f>SUM(R12:R20)</f>
        <v>5850000</v>
      </c>
    </row>
    <row r="22" spans="1:18" ht="30.9" customHeight="1" thickTop="1" thickBot="1">
      <c r="A22" s="176">
        <v>45678</v>
      </c>
      <c r="B22" s="177" t="s">
        <v>489</v>
      </c>
      <c r="C22" s="183">
        <v>476488</v>
      </c>
      <c r="D22" s="183">
        <v>824602</v>
      </c>
      <c r="E22" s="183">
        <f t="shared" si="0"/>
        <v>-348114</v>
      </c>
      <c r="F22" s="183">
        <v>-451</v>
      </c>
      <c r="G22" s="183">
        <v>0</v>
      </c>
      <c r="H22" s="221">
        <f t="shared" si="1"/>
        <v>2128112</v>
      </c>
      <c r="I22" s="235" t="s">
        <v>625</v>
      </c>
      <c r="J22" s="222" t="s">
        <v>664</v>
      </c>
      <c r="K22" s="222" t="s">
        <v>142</v>
      </c>
      <c r="L22" s="222" t="s">
        <v>638</v>
      </c>
      <c r="M22" s="222" t="s">
        <v>494</v>
      </c>
      <c r="N22" s="254" t="s">
        <v>247</v>
      </c>
      <c r="O22" s="661"/>
      <c r="P22" s="662"/>
      <c r="Q22" s="662"/>
      <c r="R22" s="662"/>
    </row>
    <row r="23" spans="1:18" ht="30.9" customHeight="1" thickTop="1" thickBot="1">
      <c r="A23" s="176">
        <v>45679</v>
      </c>
      <c r="B23" s="177" t="s">
        <v>490</v>
      </c>
      <c r="C23" s="183">
        <v>518671</v>
      </c>
      <c r="D23" s="183">
        <v>1248575</v>
      </c>
      <c r="E23" s="183">
        <f t="shared" si="0"/>
        <v>-729904</v>
      </c>
      <c r="F23" s="183">
        <v>0</v>
      </c>
      <c r="G23" s="183">
        <v>0</v>
      </c>
      <c r="H23" s="221">
        <f t="shared" si="1"/>
        <v>1398208</v>
      </c>
      <c r="I23" s="237">
        <v>0</v>
      </c>
      <c r="J23" s="237">
        <v>0</v>
      </c>
      <c r="K23" s="237">
        <v>5750</v>
      </c>
      <c r="L23" s="237">
        <v>22000</v>
      </c>
      <c r="M23" s="237">
        <v>52228</v>
      </c>
      <c r="N23" s="255">
        <f>SUM(J23:M23)</f>
        <v>79978</v>
      </c>
      <c r="O23" s="647" t="s">
        <v>665</v>
      </c>
      <c r="P23" s="647"/>
      <c r="Q23" s="647"/>
      <c r="R23" s="647"/>
    </row>
    <row r="24" spans="1:18" ht="30.9" customHeight="1" thickTop="1" thickBot="1">
      <c r="A24" s="176">
        <v>45680</v>
      </c>
      <c r="B24" s="177" t="s">
        <v>491</v>
      </c>
      <c r="C24" s="183">
        <v>679434</v>
      </c>
      <c r="D24" s="183">
        <v>204665</v>
      </c>
      <c r="E24" s="183">
        <f t="shared" si="0"/>
        <v>474769</v>
      </c>
      <c r="F24" s="183">
        <v>0</v>
      </c>
      <c r="G24" s="183">
        <v>0</v>
      </c>
      <c r="H24" s="184">
        <f t="shared" si="1"/>
        <v>1872977</v>
      </c>
      <c r="O24" s="656" t="s">
        <v>666</v>
      </c>
      <c r="P24" s="658"/>
      <c r="Q24" s="657"/>
      <c r="R24" s="232"/>
    </row>
    <row r="25" spans="1:18" ht="30.9" customHeight="1" thickTop="1" thickBot="1">
      <c r="A25" s="176">
        <v>45681</v>
      </c>
      <c r="B25" s="178" t="s">
        <v>485</v>
      </c>
      <c r="C25" s="183">
        <v>1599605</v>
      </c>
      <c r="D25" s="183">
        <v>358380</v>
      </c>
      <c r="E25" s="183">
        <f t="shared" si="0"/>
        <v>1241225</v>
      </c>
      <c r="F25" s="183">
        <v>-154</v>
      </c>
      <c r="G25" s="183">
        <v>0</v>
      </c>
      <c r="H25" s="184">
        <f t="shared" si="1"/>
        <v>3114048</v>
      </c>
      <c r="I25" s="664" t="s">
        <v>672</v>
      </c>
      <c r="J25" s="664"/>
      <c r="K25" s="664"/>
      <c r="L25" s="664"/>
      <c r="M25" s="664"/>
      <c r="N25" s="664"/>
      <c r="O25" s="268"/>
      <c r="P25" s="656"/>
      <c r="Q25" s="657"/>
      <c r="R25" s="232"/>
    </row>
    <row r="26" spans="1:18" ht="30.9" customHeight="1" thickTop="1" thickBot="1">
      <c r="A26" s="176">
        <v>45682</v>
      </c>
      <c r="B26" s="178" t="s">
        <v>486</v>
      </c>
      <c r="C26" s="183">
        <v>1184291</v>
      </c>
      <c r="D26" s="183">
        <v>828219</v>
      </c>
      <c r="E26" s="183">
        <f t="shared" si="0"/>
        <v>356072</v>
      </c>
      <c r="F26" s="183">
        <v>-754</v>
      </c>
      <c r="G26" s="183">
        <v>0</v>
      </c>
      <c r="H26" s="184">
        <f t="shared" si="1"/>
        <v>3469366</v>
      </c>
      <c r="I26" s="71"/>
      <c r="J26" s="665"/>
      <c r="K26" s="665"/>
      <c r="L26" s="665"/>
      <c r="M26" s="665"/>
      <c r="N26" s="665"/>
      <c r="O26" s="268"/>
      <c r="P26" s="656"/>
      <c r="Q26" s="657"/>
      <c r="R26" s="232"/>
    </row>
    <row r="27" spans="1:18" ht="30.9" customHeight="1" thickTop="1" thickBot="1">
      <c r="A27" s="176">
        <v>45683</v>
      </c>
      <c r="B27" s="178" t="s">
        <v>487</v>
      </c>
      <c r="C27" s="183">
        <v>718413</v>
      </c>
      <c r="D27" s="183">
        <v>506557</v>
      </c>
      <c r="E27" s="183">
        <f t="shared" si="0"/>
        <v>211856</v>
      </c>
      <c r="F27" s="183">
        <v>0</v>
      </c>
      <c r="G27" s="183">
        <v>0</v>
      </c>
      <c r="H27" s="184">
        <f t="shared" si="1"/>
        <v>3681222</v>
      </c>
      <c r="I27" s="71"/>
      <c r="J27" s="665"/>
      <c r="K27" s="665"/>
      <c r="L27" s="665"/>
      <c r="M27" s="665"/>
      <c r="N27" s="665"/>
      <c r="O27" s="268"/>
      <c r="P27" s="656"/>
      <c r="Q27" s="657"/>
      <c r="R27" s="232"/>
    </row>
    <row r="28" spans="1:18" ht="30.9" customHeight="1" thickTop="1" thickBot="1">
      <c r="A28" s="176">
        <v>45684</v>
      </c>
      <c r="B28" s="177" t="s">
        <v>488</v>
      </c>
      <c r="C28" s="183">
        <v>670578</v>
      </c>
      <c r="D28" s="183">
        <v>792237</v>
      </c>
      <c r="E28" s="183">
        <f t="shared" si="0"/>
        <v>-121659</v>
      </c>
      <c r="F28" s="183">
        <v>0</v>
      </c>
      <c r="G28" s="183">
        <v>0</v>
      </c>
      <c r="H28" s="184">
        <f t="shared" si="1"/>
        <v>3559563</v>
      </c>
      <c r="I28" s="71"/>
      <c r="J28" s="665"/>
      <c r="K28" s="665"/>
      <c r="L28" s="665"/>
      <c r="M28" s="665"/>
      <c r="N28" s="665"/>
      <c r="O28" s="268"/>
      <c r="P28" s="656"/>
      <c r="Q28" s="657"/>
      <c r="R28" s="232"/>
    </row>
    <row r="29" spans="1:18" ht="30.9" customHeight="1" thickTop="1" thickBot="1">
      <c r="A29" s="176">
        <v>45685</v>
      </c>
      <c r="B29" s="177" t="s">
        <v>489</v>
      </c>
      <c r="C29" s="183">
        <v>540703</v>
      </c>
      <c r="D29" s="183">
        <v>447543</v>
      </c>
      <c r="E29" s="183">
        <f t="shared" si="0"/>
        <v>93160</v>
      </c>
      <c r="F29" s="183">
        <v>-45</v>
      </c>
      <c r="G29" s="183">
        <v>0</v>
      </c>
      <c r="H29" s="184">
        <f t="shared" si="1"/>
        <v>3652678</v>
      </c>
      <c r="I29" s="71"/>
      <c r="J29" s="665"/>
      <c r="K29" s="665"/>
      <c r="L29" s="665"/>
      <c r="M29" s="665"/>
      <c r="N29" s="665"/>
      <c r="O29" s="658" t="s">
        <v>667</v>
      </c>
      <c r="P29" s="658"/>
      <c r="Q29" s="657"/>
      <c r="R29" s="232"/>
    </row>
    <row r="30" spans="1:18" ht="30.9" customHeight="1" thickTop="1" thickBot="1">
      <c r="A30" s="271">
        <v>45686</v>
      </c>
      <c r="B30" s="272" t="s">
        <v>490</v>
      </c>
      <c r="C30" s="273">
        <v>0</v>
      </c>
      <c r="D30" s="273">
        <v>0</v>
      </c>
      <c r="E30" s="273">
        <f t="shared" si="0"/>
        <v>0</v>
      </c>
      <c r="F30" s="273">
        <v>0</v>
      </c>
      <c r="G30" s="273">
        <v>0</v>
      </c>
      <c r="H30" s="274">
        <f t="shared" si="1"/>
        <v>3652678</v>
      </c>
      <c r="I30" s="71"/>
      <c r="J30" s="665"/>
      <c r="K30" s="665"/>
      <c r="L30" s="665"/>
      <c r="M30" s="665"/>
      <c r="N30" s="665"/>
      <c r="O30" s="268"/>
      <c r="P30" s="656"/>
      <c r="Q30" s="657"/>
      <c r="R30" s="232"/>
    </row>
    <row r="31" spans="1:18" ht="30.9" customHeight="1" thickTop="1" thickBot="1">
      <c r="A31" s="176">
        <v>45687</v>
      </c>
      <c r="B31" s="177" t="s">
        <v>491</v>
      </c>
      <c r="C31" s="273">
        <v>421643</v>
      </c>
      <c r="D31" s="183">
        <v>665770</v>
      </c>
      <c r="E31" s="183">
        <f t="shared" si="0"/>
        <v>-244127</v>
      </c>
      <c r="F31" s="183">
        <v>-454</v>
      </c>
      <c r="G31" s="183">
        <v>0</v>
      </c>
      <c r="H31" s="184">
        <f>H30+E31+F31</f>
        <v>3408097</v>
      </c>
      <c r="I31" s="71"/>
      <c r="J31" s="665"/>
      <c r="K31" s="665"/>
      <c r="L31" s="665"/>
      <c r="M31" s="665"/>
      <c r="N31" s="665"/>
      <c r="O31" s="269"/>
      <c r="P31" s="659"/>
      <c r="Q31" s="660"/>
      <c r="R31" s="232"/>
    </row>
    <row r="32" spans="1:18" ht="30.9" customHeight="1" thickTop="1" thickBot="1">
      <c r="A32" s="176">
        <v>45688</v>
      </c>
      <c r="B32" s="178" t="s">
        <v>485</v>
      </c>
      <c r="C32" s="183">
        <v>697275</v>
      </c>
      <c r="D32" s="183">
        <v>442067</v>
      </c>
      <c r="E32" s="183">
        <f>C32-D32</f>
        <v>255208</v>
      </c>
      <c r="F32" s="183">
        <v>-454</v>
      </c>
      <c r="G32" s="183">
        <v>0</v>
      </c>
      <c r="H32" s="184">
        <f t="shared" si="1"/>
        <v>3662851</v>
      </c>
      <c r="I32" s="71"/>
      <c r="J32" s="665"/>
      <c r="K32" s="665"/>
      <c r="L32" s="665"/>
      <c r="M32" s="665"/>
      <c r="N32" s="665"/>
      <c r="O32" s="269"/>
      <c r="P32" s="659"/>
      <c r="Q32" s="660"/>
      <c r="R32" s="232"/>
    </row>
    <row r="33" spans="1:17" ht="30.9" customHeight="1" thickTop="1">
      <c r="A33" s="264"/>
      <c r="B33" s="265"/>
      <c r="C33" s="183">
        <v>0</v>
      </c>
      <c r="D33" s="183">
        <f>400000+200000+700000</f>
        <v>1300000</v>
      </c>
      <c r="E33" s="183">
        <f>C33-D33</f>
        <v>-1300000</v>
      </c>
      <c r="F33" s="183"/>
      <c r="G33" s="183">
        <v>0</v>
      </c>
      <c r="H33" s="184">
        <f t="shared" si="1"/>
        <v>2362851</v>
      </c>
      <c r="I33" s="71"/>
      <c r="J33" s="665"/>
      <c r="K33" s="665"/>
      <c r="L33" s="665"/>
      <c r="M33" s="665"/>
      <c r="N33" s="665"/>
      <c r="P33" s="81"/>
      <c r="Q33" s="81"/>
    </row>
    <row r="34" spans="1:17" ht="45" customHeight="1">
      <c r="A34" s="476" t="s">
        <v>247</v>
      </c>
      <c r="B34" s="477"/>
      <c r="C34" s="145">
        <f>SUM(C2:C33)</f>
        <v>18376433</v>
      </c>
      <c r="D34" s="145">
        <f>SUM(D2:D33)</f>
        <v>16008163</v>
      </c>
      <c r="E34" s="145">
        <f>SUM(E2:E33)</f>
        <v>2368270</v>
      </c>
      <c r="F34" s="145">
        <f>SUM(F2:F32)</f>
        <v>-5419</v>
      </c>
      <c r="G34" s="145">
        <f>SUM(G2:G32)</f>
        <v>0</v>
      </c>
      <c r="H34" s="145">
        <f>C34-D34</f>
        <v>2368270</v>
      </c>
    </row>
    <row r="35" spans="1:17">
      <c r="A35" s="69"/>
    </row>
    <row r="36" spans="1:17">
      <c r="A36" s="69"/>
    </row>
    <row r="37" spans="1:17">
      <c r="A37" s="69"/>
    </row>
    <row r="38" spans="1:17">
      <c r="A38" s="69"/>
    </row>
    <row r="39" spans="1:17">
      <c r="A39" s="69"/>
    </row>
    <row r="40" spans="1:17" ht="21" customHeight="1">
      <c r="A40" s="69"/>
    </row>
    <row r="41" spans="1:17" ht="23.1" customHeight="1">
      <c r="A41" s="69"/>
    </row>
    <row r="42" spans="1:17">
      <c r="A42" s="69"/>
    </row>
    <row r="43" spans="1:17" ht="29.1" customHeight="1">
      <c r="A43" s="69"/>
    </row>
    <row r="44" spans="1:17" ht="15" customHeight="1">
      <c r="A44" s="69"/>
    </row>
    <row r="45" spans="1:17">
      <c r="A45" s="69"/>
    </row>
    <row r="46" spans="1:17">
      <c r="A46" s="69"/>
    </row>
    <row r="47" spans="1:17">
      <c r="A47" s="69"/>
    </row>
    <row r="48" spans="1:17">
      <c r="A48" s="69"/>
    </row>
    <row r="49" spans="1:1">
      <c r="A49" s="69"/>
    </row>
    <row r="50" spans="1:1">
      <c r="A50" s="69"/>
    </row>
    <row r="51" spans="1:1" ht="18.899999999999999" customHeight="1">
      <c r="A51" s="69"/>
    </row>
  </sheetData>
  <mergeCells count="55">
    <mergeCell ref="M3:N3"/>
    <mergeCell ref="A1:B1"/>
    <mergeCell ref="I1:N1"/>
    <mergeCell ref="O1:R1"/>
    <mergeCell ref="I2:N2"/>
    <mergeCell ref="O2:R2"/>
    <mergeCell ref="O11:R11"/>
    <mergeCell ref="I4:I5"/>
    <mergeCell ref="M4:N4"/>
    <mergeCell ref="M5:N5"/>
    <mergeCell ref="O5:R5"/>
    <mergeCell ref="I6:N6"/>
    <mergeCell ref="O6:P6"/>
    <mergeCell ref="Q6:R6"/>
    <mergeCell ref="M7:N7"/>
    <mergeCell ref="M8:N8"/>
    <mergeCell ref="J9:N9"/>
    <mergeCell ref="I10:N10"/>
    <mergeCell ref="I11:N11"/>
    <mergeCell ref="O12:Q12"/>
    <mergeCell ref="O13:P14"/>
    <mergeCell ref="I14:N14"/>
    <mergeCell ref="O15:O16"/>
    <mergeCell ref="P15:Q15"/>
    <mergeCell ref="I16:K16"/>
    <mergeCell ref="L16:N16"/>
    <mergeCell ref="P16:Q16"/>
    <mergeCell ref="J26:N26"/>
    <mergeCell ref="P26:Q26"/>
    <mergeCell ref="I17:N17"/>
    <mergeCell ref="P17:Q17"/>
    <mergeCell ref="O18:Q18"/>
    <mergeCell ref="O19:Q19"/>
    <mergeCell ref="O20:Q20"/>
    <mergeCell ref="I21:N21"/>
    <mergeCell ref="O21:Q21"/>
    <mergeCell ref="O22:R22"/>
    <mergeCell ref="O23:R23"/>
    <mergeCell ref="O24:Q24"/>
    <mergeCell ref="I25:N25"/>
    <mergeCell ref="P25:Q25"/>
    <mergeCell ref="J27:N27"/>
    <mergeCell ref="P27:Q27"/>
    <mergeCell ref="J28:N28"/>
    <mergeCell ref="P28:Q28"/>
    <mergeCell ref="J29:N29"/>
    <mergeCell ref="O29:Q29"/>
    <mergeCell ref="J33:N33"/>
    <mergeCell ref="A34:B34"/>
    <mergeCell ref="J30:N30"/>
    <mergeCell ref="P30:Q30"/>
    <mergeCell ref="J31:N31"/>
    <mergeCell ref="P31:Q31"/>
    <mergeCell ref="J32:N32"/>
    <mergeCell ref="P32:Q32"/>
  </mergeCells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B258A-82D8-4A32-9D37-399F7D95D8F7}">
  <dimension ref="A1:R51"/>
  <sheetViews>
    <sheetView topLeftCell="A17" zoomScaleNormal="100" workbookViewId="0">
      <selection activeCell="D33" sqref="D33"/>
    </sheetView>
  </sheetViews>
  <sheetFormatPr defaultColWidth="10.6328125" defaultRowHeight="18"/>
  <cols>
    <col min="1" max="1" width="5.90625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8" style="69" customWidth="1"/>
    <col min="7" max="7" width="7.90625" style="69" customWidth="1"/>
    <col min="8" max="8" width="12.453125" style="69" customWidth="1"/>
    <col min="9" max="14" width="11.453125" style="69" customWidth="1"/>
    <col min="15" max="16" width="7" style="69" customWidth="1"/>
    <col min="17" max="17" width="11.453125" style="69" customWidth="1"/>
    <col min="18" max="18" width="21" style="69" customWidth="1"/>
    <col min="19" max="16384" width="10.6328125" style="69"/>
  </cols>
  <sheetData>
    <row r="1" spans="1:18" ht="24" customHeight="1" thickTop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133" t="s">
        <v>463</v>
      </c>
      <c r="H1" s="220" t="s">
        <v>464</v>
      </c>
      <c r="I1" s="669" t="s">
        <v>694</v>
      </c>
      <c r="J1" s="669"/>
      <c r="K1" s="669"/>
      <c r="L1" s="669"/>
      <c r="M1" s="669"/>
      <c r="N1" s="669"/>
      <c r="O1" s="631" t="s">
        <v>642</v>
      </c>
      <c r="P1" s="632"/>
      <c r="Q1" s="632"/>
      <c r="R1" s="632"/>
    </row>
    <row r="2" spans="1:18" ht="30.9" customHeight="1" thickTop="1" thickBot="1">
      <c r="A2" s="176">
        <v>45689</v>
      </c>
      <c r="B2" s="178" t="s">
        <v>486</v>
      </c>
      <c r="C2" s="183">
        <v>669636</v>
      </c>
      <c r="D2" s="183">
        <v>328240</v>
      </c>
      <c r="E2" s="183">
        <f>C2-D2</f>
        <v>341396</v>
      </c>
      <c r="F2" s="183">
        <v>-845</v>
      </c>
      <c r="G2" s="183">
        <v>0</v>
      </c>
      <c r="H2" s="221">
        <f>E2+F2</f>
        <v>340551</v>
      </c>
      <c r="I2" s="630" t="s">
        <v>249</v>
      </c>
      <c r="J2" s="630"/>
      <c r="K2" s="630"/>
      <c r="L2" s="630"/>
      <c r="M2" s="630"/>
      <c r="N2" s="630"/>
      <c r="O2" s="627" t="s">
        <v>638</v>
      </c>
      <c r="P2" s="628"/>
      <c r="Q2" s="628"/>
      <c r="R2" s="628"/>
    </row>
    <row r="3" spans="1:18" ht="30.9" customHeight="1" thickTop="1" thickBot="1">
      <c r="A3" s="176">
        <v>45690</v>
      </c>
      <c r="B3" s="178" t="s">
        <v>487</v>
      </c>
      <c r="C3" s="183">
        <v>511073</v>
      </c>
      <c r="D3" s="183">
        <v>994165</v>
      </c>
      <c r="E3" s="183">
        <f t="shared" ref="E3:E32" si="0">C3-D3</f>
        <v>-483092</v>
      </c>
      <c r="F3" s="183">
        <v>0</v>
      </c>
      <c r="G3" s="183">
        <v>0</v>
      </c>
      <c r="H3" s="221">
        <f>H2+E3+F3</f>
        <v>-142541</v>
      </c>
      <c r="I3" s="223" t="s">
        <v>247</v>
      </c>
      <c r="J3" s="222" t="s">
        <v>251</v>
      </c>
      <c r="K3" s="222" t="s">
        <v>252</v>
      </c>
      <c r="L3" s="222" t="s">
        <v>449</v>
      </c>
      <c r="M3" s="630" t="s">
        <v>415</v>
      </c>
      <c r="N3" s="630"/>
      <c r="O3" s="246"/>
      <c r="P3" s="247"/>
      <c r="Q3" s="247"/>
      <c r="R3" s="247"/>
    </row>
    <row r="4" spans="1:18" ht="30.9" customHeight="1" thickTop="1" thickBot="1">
      <c r="A4" s="176">
        <v>45691</v>
      </c>
      <c r="B4" s="177" t="s">
        <v>488</v>
      </c>
      <c r="C4" s="183">
        <v>434981</v>
      </c>
      <c r="D4" s="183">
        <v>35760</v>
      </c>
      <c r="E4" s="183">
        <f t="shared" si="0"/>
        <v>399221</v>
      </c>
      <c r="F4" s="183">
        <v>0</v>
      </c>
      <c r="G4" s="183">
        <v>0</v>
      </c>
      <c r="H4" s="221">
        <f t="shared" ref="H4:H32" si="1">H3+E4+F4</f>
        <v>256680</v>
      </c>
      <c r="I4" s="635">
        <f>C34</f>
        <v>17790543</v>
      </c>
      <c r="J4" s="224">
        <f>G34</f>
        <v>0</v>
      </c>
      <c r="K4" s="224"/>
      <c r="L4" s="224">
        <f>F34</f>
        <v>-7376</v>
      </c>
      <c r="M4" s="636">
        <v>12213</v>
      </c>
      <c r="N4" s="636"/>
      <c r="O4" s="249"/>
      <c r="P4" s="250"/>
      <c r="Q4" s="250"/>
      <c r="R4" s="250"/>
    </row>
    <row r="5" spans="1:18" ht="30.9" customHeight="1" thickTop="1" thickBot="1">
      <c r="A5" s="176">
        <v>45692</v>
      </c>
      <c r="B5" s="177" t="s">
        <v>489</v>
      </c>
      <c r="C5" s="183">
        <v>503520</v>
      </c>
      <c r="D5" s="183">
        <v>568678</v>
      </c>
      <c r="E5" s="183">
        <f t="shared" si="0"/>
        <v>-65158</v>
      </c>
      <c r="F5" s="183">
        <v>0</v>
      </c>
      <c r="G5" s="183">
        <v>0</v>
      </c>
      <c r="H5" s="221">
        <f t="shared" si="1"/>
        <v>191522</v>
      </c>
      <c r="I5" s="635"/>
      <c r="J5" s="225">
        <f>J4/I4</f>
        <v>0</v>
      </c>
      <c r="K5" s="225">
        <f>K4/I4</f>
        <v>0</v>
      </c>
      <c r="L5" s="226">
        <f>L4/I4</f>
        <v>-4.1460229741160795E-4</v>
      </c>
      <c r="M5" s="637">
        <f>M4/I4</f>
        <v>6.8648832135140563E-4</v>
      </c>
      <c r="N5" s="637"/>
      <c r="O5" s="654" t="s">
        <v>639</v>
      </c>
      <c r="P5" s="655"/>
      <c r="Q5" s="655"/>
      <c r="R5" s="655"/>
    </row>
    <row r="6" spans="1:18" ht="30.9" customHeight="1" thickTop="1" thickBot="1">
      <c r="A6" s="176">
        <v>45693</v>
      </c>
      <c r="B6" s="177" t="s">
        <v>490</v>
      </c>
      <c r="C6" s="183">
        <v>314569</v>
      </c>
      <c r="D6" s="183">
        <v>960043</v>
      </c>
      <c r="E6" s="183">
        <f t="shared" si="0"/>
        <v>-645474</v>
      </c>
      <c r="F6" s="183">
        <v>-45</v>
      </c>
      <c r="G6" s="183">
        <v>0</v>
      </c>
      <c r="H6" s="221">
        <f t="shared" si="1"/>
        <v>-453997</v>
      </c>
      <c r="I6" s="630" t="s">
        <v>250</v>
      </c>
      <c r="J6" s="630"/>
      <c r="K6" s="630"/>
      <c r="L6" s="630"/>
      <c r="M6" s="630"/>
      <c r="N6" s="630"/>
      <c r="O6" s="630" t="s">
        <v>231</v>
      </c>
      <c r="P6" s="630"/>
      <c r="Q6" s="490"/>
      <c r="R6" s="490"/>
    </row>
    <row r="7" spans="1:18" ht="30.9" customHeight="1" thickTop="1" thickBot="1">
      <c r="A7" s="176">
        <v>45694</v>
      </c>
      <c r="B7" s="177" t="s">
        <v>491</v>
      </c>
      <c r="C7" s="183">
        <v>477594</v>
      </c>
      <c r="D7" s="183">
        <v>84451</v>
      </c>
      <c r="E7" s="183">
        <f t="shared" si="0"/>
        <v>393143</v>
      </c>
      <c r="F7" s="183">
        <v>-451</v>
      </c>
      <c r="G7" s="183">
        <v>0</v>
      </c>
      <c r="H7" s="221">
        <f t="shared" si="1"/>
        <v>-61305</v>
      </c>
      <c r="I7" s="222" t="s">
        <v>241</v>
      </c>
      <c r="J7" s="222" t="s">
        <v>253</v>
      </c>
      <c r="K7" s="227" t="s">
        <v>624</v>
      </c>
      <c r="L7" s="222"/>
      <c r="M7" s="638" t="s">
        <v>247</v>
      </c>
      <c r="N7" s="638"/>
      <c r="O7" s="242" t="s">
        <v>640</v>
      </c>
      <c r="P7" s="243">
        <v>340000</v>
      </c>
    </row>
    <row r="8" spans="1:18" ht="30.9" customHeight="1" thickTop="1" thickBot="1">
      <c r="A8" s="176">
        <v>45695</v>
      </c>
      <c r="B8" s="178" t="s">
        <v>485</v>
      </c>
      <c r="C8" s="183">
        <v>1040458</v>
      </c>
      <c r="D8" s="183">
        <v>493547</v>
      </c>
      <c r="E8" s="183">
        <f t="shared" si="0"/>
        <v>546911</v>
      </c>
      <c r="F8" s="183">
        <v>0</v>
      </c>
      <c r="G8" s="183">
        <v>0</v>
      </c>
      <c r="H8" s="221">
        <f t="shared" si="1"/>
        <v>485606</v>
      </c>
      <c r="I8" s="228">
        <f>D34</f>
        <v>15072888</v>
      </c>
      <c r="J8" s="229">
        <f>L16</f>
        <v>963800</v>
      </c>
      <c r="K8" s="230">
        <f>N19</f>
        <v>223835</v>
      </c>
      <c r="L8" s="229"/>
      <c r="M8" s="639">
        <f>SUM(I8:K8)</f>
        <v>16260523</v>
      </c>
      <c r="N8" s="639"/>
      <c r="O8" s="242" t="s">
        <v>641</v>
      </c>
      <c r="P8" s="243">
        <v>55000</v>
      </c>
    </row>
    <row r="9" spans="1:18" ht="30.9" customHeight="1" thickTop="1" thickBot="1">
      <c r="A9" s="176">
        <v>45696</v>
      </c>
      <c r="B9" s="178" t="s">
        <v>486</v>
      </c>
      <c r="C9" s="183">
        <v>965580</v>
      </c>
      <c r="D9" s="183">
        <v>278612</v>
      </c>
      <c r="E9" s="183">
        <f t="shared" si="0"/>
        <v>686968</v>
      </c>
      <c r="F9" s="183">
        <v>-589</v>
      </c>
      <c r="G9" s="183">
        <v>0</v>
      </c>
      <c r="H9" s="221">
        <f t="shared" si="1"/>
        <v>1171985</v>
      </c>
      <c r="I9" s="231" t="s">
        <v>266</v>
      </c>
      <c r="J9" s="623">
        <f>H34-J8-K8-M4</f>
        <v>1510431</v>
      </c>
      <c r="K9" s="623"/>
      <c r="L9" s="623"/>
      <c r="M9" s="623"/>
      <c r="N9" s="623"/>
      <c r="O9" s="241" t="s">
        <v>495</v>
      </c>
      <c r="P9" s="243">
        <v>35000</v>
      </c>
    </row>
    <row r="10" spans="1:18" ht="30.9" customHeight="1" thickTop="1" thickBot="1">
      <c r="A10" s="176">
        <v>45697</v>
      </c>
      <c r="B10" s="178" t="s">
        <v>487</v>
      </c>
      <c r="C10" s="183">
        <v>567340</v>
      </c>
      <c r="D10" s="183">
        <v>453787</v>
      </c>
      <c r="E10" s="183">
        <f t="shared" si="0"/>
        <v>113553</v>
      </c>
      <c r="F10" s="183">
        <v>-748</v>
      </c>
      <c r="G10" s="183">
        <v>0</v>
      </c>
      <c r="H10" s="221">
        <f t="shared" si="1"/>
        <v>1284790</v>
      </c>
      <c r="I10" s="640" t="s">
        <v>257</v>
      </c>
      <c r="J10" s="640"/>
      <c r="K10" s="640"/>
      <c r="L10" s="640"/>
      <c r="M10" s="640"/>
      <c r="N10" s="640"/>
      <c r="O10" s="244" t="s">
        <v>73</v>
      </c>
      <c r="P10" s="245">
        <f>SUM(P7:P9)</f>
        <v>430000</v>
      </c>
      <c r="Q10" s="252"/>
      <c r="R10" s="252"/>
    </row>
    <row r="11" spans="1:18" ht="30.9" customHeight="1" thickTop="1" thickBot="1">
      <c r="A11" s="176">
        <v>45698</v>
      </c>
      <c r="B11" s="177" t="s">
        <v>488</v>
      </c>
      <c r="C11" s="183">
        <v>370114</v>
      </c>
      <c r="D11" s="183">
        <v>306540</v>
      </c>
      <c r="E11" s="183">
        <f t="shared" si="0"/>
        <v>63574</v>
      </c>
      <c r="F11" s="183">
        <v>0</v>
      </c>
      <c r="G11" s="183">
        <v>0</v>
      </c>
      <c r="H11" s="221">
        <f>H10+E11+F11</f>
        <v>1348364</v>
      </c>
      <c r="I11" s="634" t="s">
        <v>477</v>
      </c>
      <c r="J11" s="634"/>
      <c r="K11" s="634"/>
      <c r="L11" s="634"/>
      <c r="M11" s="634"/>
      <c r="N11" s="651"/>
      <c r="O11" s="647" t="s">
        <v>643</v>
      </c>
      <c r="P11" s="647"/>
      <c r="Q11" s="647"/>
      <c r="R11" s="647"/>
    </row>
    <row r="12" spans="1:18" ht="30.9" customHeight="1" thickTop="1" thickBot="1">
      <c r="A12" s="176">
        <v>45699</v>
      </c>
      <c r="B12" s="177" t="s">
        <v>489</v>
      </c>
      <c r="C12" s="183">
        <v>550989</v>
      </c>
      <c r="D12" s="183">
        <v>515021</v>
      </c>
      <c r="E12" s="183">
        <f t="shared" si="0"/>
        <v>35968</v>
      </c>
      <c r="F12" s="183">
        <v>0</v>
      </c>
      <c r="G12" s="183">
        <v>0</v>
      </c>
      <c r="H12" s="221">
        <f t="shared" si="1"/>
        <v>1384332</v>
      </c>
      <c r="I12" s="232" t="s">
        <v>478</v>
      </c>
      <c r="J12" s="229" t="s">
        <v>479</v>
      </c>
      <c r="K12" s="229" t="s">
        <v>480</v>
      </c>
      <c r="L12" s="229" t="s">
        <v>455</v>
      </c>
      <c r="M12" s="229" t="s">
        <v>468</v>
      </c>
      <c r="N12" s="258" t="s">
        <v>230</v>
      </c>
      <c r="O12" s="650" t="s">
        <v>644</v>
      </c>
      <c r="P12" s="650"/>
      <c r="Q12" s="650"/>
      <c r="R12" s="229">
        <v>0</v>
      </c>
    </row>
    <row r="13" spans="1:18" ht="30.9" customHeight="1" thickTop="1" thickBot="1">
      <c r="A13" s="176">
        <v>45700</v>
      </c>
      <c r="B13" s="177" t="s">
        <v>490</v>
      </c>
      <c r="C13" s="183">
        <v>469817</v>
      </c>
      <c r="D13" s="183">
        <v>1345161</v>
      </c>
      <c r="E13" s="183">
        <f t="shared" si="0"/>
        <v>-875344</v>
      </c>
      <c r="F13" s="183">
        <v>-454</v>
      </c>
      <c r="G13" s="183">
        <v>0</v>
      </c>
      <c r="H13" s="221">
        <f t="shared" si="1"/>
        <v>508534</v>
      </c>
      <c r="I13" s="279">
        <f>P7</f>
        <v>340000</v>
      </c>
      <c r="J13" s="229">
        <v>28000</v>
      </c>
      <c r="K13" s="229">
        <v>85000</v>
      </c>
      <c r="L13" s="277">
        <f>63*1100</f>
        <v>69300</v>
      </c>
      <c r="M13" s="277">
        <f>47*1100</f>
        <v>51700</v>
      </c>
      <c r="N13" s="277">
        <v>225000</v>
      </c>
      <c r="O13" s="650" t="s">
        <v>645</v>
      </c>
      <c r="P13" s="650"/>
      <c r="Q13" s="261" t="s">
        <v>646</v>
      </c>
      <c r="R13" s="229">
        <v>0</v>
      </c>
    </row>
    <row r="14" spans="1:18" ht="30.9" customHeight="1" thickTop="1" thickBot="1">
      <c r="A14" s="176">
        <v>45701</v>
      </c>
      <c r="B14" s="177" t="s">
        <v>491</v>
      </c>
      <c r="C14" s="183">
        <v>700478</v>
      </c>
      <c r="D14" s="183">
        <v>711940</v>
      </c>
      <c r="E14" s="183">
        <f t="shared" si="0"/>
        <v>-11462</v>
      </c>
      <c r="F14" s="183">
        <v>0</v>
      </c>
      <c r="G14" s="183">
        <v>0</v>
      </c>
      <c r="H14" s="221">
        <f t="shared" si="1"/>
        <v>497072</v>
      </c>
      <c r="I14" s="634"/>
      <c r="J14" s="634"/>
      <c r="K14" s="634"/>
      <c r="L14" s="634"/>
      <c r="M14" s="634"/>
      <c r="N14" s="651"/>
      <c r="O14" s="650"/>
      <c r="P14" s="650"/>
      <c r="Q14" s="261" t="s">
        <v>647</v>
      </c>
      <c r="R14" s="232"/>
    </row>
    <row r="15" spans="1:18" ht="30.9" customHeight="1" thickTop="1" thickBot="1">
      <c r="A15" s="176">
        <v>45702</v>
      </c>
      <c r="B15" s="178" t="s">
        <v>485</v>
      </c>
      <c r="C15" s="183">
        <v>1153271</v>
      </c>
      <c r="D15" s="183">
        <v>199274</v>
      </c>
      <c r="E15" s="183">
        <f t="shared" si="0"/>
        <v>953997</v>
      </c>
      <c r="F15" s="183">
        <v>-987</v>
      </c>
      <c r="G15" s="183">
        <v>0</v>
      </c>
      <c r="H15" s="221">
        <f t="shared" si="1"/>
        <v>1450082</v>
      </c>
      <c r="I15" s="666"/>
      <c r="J15" s="667"/>
      <c r="K15" s="667"/>
      <c r="L15" s="668"/>
      <c r="M15" s="277" t="s">
        <v>670</v>
      </c>
      <c r="N15" s="278">
        <f>68*1100</f>
        <v>74800</v>
      </c>
      <c r="O15" s="650" t="s">
        <v>648</v>
      </c>
      <c r="P15" s="650" t="s">
        <v>649</v>
      </c>
      <c r="Q15" s="650"/>
      <c r="R15" s="229">
        <v>0</v>
      </c>
    </row>
    <row r="16" spans="1:18" ht="30.9" customHeight="1" thickTop="1" thickBot="1">
      <c r="A16" s="176">
        <v>45703</v>
      </c>
      <c r="B16" s="178" t="s">
        <v>486</v>
      </c>
      <c r="C16" s="183">
        <v>861687</v>
      </c>
      <c r="D16" s="183">
        <v>133903</v>
      </c>
      <c r="E16" s="183">
        <f t="shared" si="0"/>
        <v>727784</v>
      </c>
      <c r="F16" s="183">
        <v>-442</v>
      </c>
      <c r="G16" s="183">
        <v>0</v>
      </c>
      <c r="H16" s="221">
        <f t="shared" si="1"/>
        <v>2177424</v>
      </c>
      <c r="I16" s="641" t="s">
        <v>247</v>
      </c>
      <c r="J16" s="641"/>
      <c r="K16" s="641"/>
      <c r="L16" s="642">
        <f>J13+K13+L13+M13+N13+N15+P10</f>
        <v>963800</v>
      </c>
      <c r="M16" s="642"/>
      <c r="N16" s="648"/>
      <c r="O16" s="650"/>
      <c r="P16" s="650" t="s">
        <v>650</v>
      </c>
      <c r="Q16" s="650"/>
      <c r="R16" s="229">
        <v>0</v>
      </c>
    </row>
    <row r="17" spans="1:18" ht="30.9" customHeight="1" thickTop="1" thickBot="1">
      <c r="A17" s="176">
        <v>45704</v>
      </c>
      <c r="B17" s="178" t="s">
        <v>487</v>
      </c>
      <c r="C17" s="183">
        <v>415742</v>
      </c>
      <c r="D17" s="183">
        <v>677650</v>
      </c>
      <c r="E17" s="183">
        <f t="shared" si="0"/>
        <v>-261908</v>
      </c>
      <c r="F17" s="183">
        <v>0</v>
      </c>
      <c r="G17" s="183">
        <v>0</v>
      </c>
      <c r="H17" s="221">
        <f t="shared" si="1"/>
        <v>1915516</v>
      </c>
      <c r="I17" s="643" t="s">
        <v>482</v>
      </c>
      <c r="J17" s="643"/>
      <c r="K17" s="643"/>
      <c r="L17" s="643"/>
      <c r="M17" s="643"/>
      <c r="N17" s="649"/>
      <c r="O17" s="261" t="s">
        <v>651</v>
      </c>
      <c r="P17" s="650" t="s">
        <v>652</v>
      </c>
      <c r="Q17" s="650"/>
      <c r="R17" s="229">
        <v>800000</v>
      </c>
    </row>
    <row r="18" spans="1:18" ht="30.9" customHeight="1" thickTop="1" thickBot="1">
      <c r="A18" s="176">
        <v>45705</v>
      </c>
      <c r="B18" s="177" t="s">
        <v>488</v>
      </c>
      <c r="C18" s="183">
        <v>384654</v>
      </c>
      <c r="D18" s="183">
        <v>660670</v>
      </c>
      <c r="E18" s="183">
        <f t="shared" si="0"/>
        <v>-276016</v>
      </c>
      <c r="F18" s="183">
        <v>-454</v>
      </c>
      <c r="G18" s="183">
        <v>0</v>
      </c>
      <c r="H18" s="221">
        <f t="shared" si="1"/>
        <v>1639046</v>
      </c>
      <c r="I18" s="222"/>
      <c r="J18" s="235"/>
      <c r="K18" s="222"/>
      <c r="L18" s="222"/>
      <c r="M18" s="236" t="s">
        <v>498</v>
      </c>
      <c r="N18" s="256" t="s">
        <v>247</v>
      </c>
      <c r="O18" s="650" t="s">
        <v>653</v>
      </c>
      <c r="P18" s="650"/>
      <c r="Q18" s="650"/>
      <c r="R18" s="229">
        <v>0</v>
      </c>
    </row>
    <row r="19" spans="1:18" ht="30.9" customHeight="1" thickTop="1" thickBot="1">
      <c r="A19" s="176">
        <v>45706</v>
      </c>
      <c r="B19" s="177" t="s">
        <v>489</v>
      </c>
      <c r="C19" s="183">
        <v>396903</v>
      </c>
      <c r="D19" s="183">
        <v>339589</v>
      </c>
      <c r="E19" s="183">
        <f t="shared" si="0"/>
        <v>57314</v>
      </c>
      <c r="F19" s="183">
        <v>0</v>
      </c>
      <c r="G19" s="183">
        <v>0</v>
      </c>
      <c r="H19" s="221">
        <f>H18+E19+F19</f>
        <v>1696360</v>
      </c>
      <c r="I19" s="237"/>
      <c r="J19" s="237"/>
      <c r="K19" s="237"/>
      <c r="L19" s="237"/>
      <c r="M19" s="238">
        <f>N23</f>
        <v>223835</v>
      </c>
      <c r="N19" s="257">
        <f>SUM(I19:M19)</f>
        <v>223835</v>
      </c>
      <c r="O19" s="652" t="s">
        <v>654</v>
      </c>
      <c r="P19" s="652"/>
      <c r="Q19" s="652"/>
      <c r="R19" s="229">
        <v>4000000</v>
      </c>
    </row>
    <row r="20" spans="1:18" ht="30.9" customHeight="1" thickTop="1" thickBot="1">
      <c r="A20" s="176">
        <v>45707</v>
      </c>
      <c r="B20" s="177" t="s">
        <v>490</v>
      </c>
      <c r="C20" s="183">
        <v>497550</v>
      </c>
      <c r="D20" s="183">
        <v>364899</v>
      </c>
      <c r="E20" s="183">
        <f t="shared" si="0"/>
        <v>132651</v>
      </c>
      <c r="F20" s="183">
        <v>0</v>
      </c>
      <c r="G20" s="183">
        <v>0</v>
      </c>
      <c r="H20" s="221">
        <f t="shared" si="1"/>
        <v>1829011</v>
      </c>
      <c r="I20" s="232"/>
      <c r="J20" s="232"/>
      <c r="K20" s="232"/>
      <c r="L20" s="232"/>
      <c r="M20" s="232"/>
      <c r="N20" s="232"/>
      <c r="O20" s="652" t="s">
        <v>655</v>
      </c>
      <c r="P20" s="652"/>
      <c r="Q20" s="652"/>
      <c r="R20" s="229">
        <v>0</v>
      </c>
    </row>
    <row r="21" spans="1:18" ht="30.9" customHeight="1" thickTop="1" thickBot="1">
      <c r="A21" s="176">
        <v>45708</v>
      </c>
      <c r="B21" s="177" t="s">
        <v>491</v>
      </c>
      <c r="C21" s="183">
        <v>511424</v>
      </c>
      <c r="D21" s="183">
        <v>504626</v>
      </c>
      <c r="E21" s="183">
        <f t="shared" si="0"/>
        <v>6798</v>
      </c>
      <c r="F21" s="183">
        <v>-445</v>
      </c>
      <c r="G21" s="183">
        <v>0</v>
      </c>
      <c r="H21" s="221">
        <f t="shared" si="1"/>
        <v>1835364</v>
      </c>
      <c r="I21" s="644" t="s">
        <v>497</v>
      </c>
      <c r="J21" s="644"/>
      <c r="K21" s="644"/>
      <c r="L21" s="644"/>
      <c r="M21" s="644"/>
      <c r="N21" s="644"/>
      <c r="O21" s="653" t="s">
        <v>247</v>
      </c>
      <c r="P21" s="653"/>
      <c r="Q21" s="653"/>
      <c r="R21" s="270">
        <f>SUM(R12:R20)</f>
        <v>4800000</v>
      </c>
    </row>
    <row r="22" spans="1:18" ht="30.9" customHeight="1" thickTop="1" thickBot="1">
      <c r="A22" s="176">
        <v>45709</v>
      </c>
      <c r="B22" s="178" t="s">
        <v>485</v>
      </c>
      <c r="C22" s="183">
        <v>1069394</v>
      </c>
      <c r="D22" s="183">
        <v>1246562</v>
      </c>
      <c r="E22" s="183">
        <f t="shared" si="0"/>
        <v>-177168</v>
      </c>
      <c r="F22" s="183">
        <v>-458</v>
      </c>
      <c r="G22" s="183">
        <v>0</v>
      </c>
      <c r="H22" s="221">
        <f t="shared" si="1"/>
        <v>1657738</v>
      </c>
      <c r="I22" s="235" t="s">
        <v>625</v>
      </c>
      <c r="J22" s="222" t="s">
        <v>664</v>
      </c>
      <c r="K22" s="222" t="s">
        <v>142</v>
      </c>
      <c r="L22" s="222" t="s">
        <v>638</v>
      </c>
      <c r="M22" s="222" t="s">
        <v>494</v>
      </c>
      <c r="N22" s="254" t="s">
        <v>247</v>
      </c>
      <c r="O22" s="661"/>
      <c r="P22" s="662"/>
      <c r="Q22" s="662"/>
      <c r="R22" s="662"/>
    </row>
    <row r="23" spans="1:18" ht="30.9" customHeight="1" thickTop="1" thickBot="1">
      <c r="A23" s="176">
        <v>45710</v>
      </c>
      <c r="B23" s="178" t="s">
        <v>486</v>
      </c>
      <c r="C23" s="183">
        <v>962335</v>
      </c>
      <c r="D23" s="183">
        <v>406086</v>
      </c>
      <c r="E23" s="183">
        <f t="shared" si="0"/>
        <v>556249</v>
      </c>
      <c r="F23" s="183">
        <v>0</v>
      </c>
      <c r="G23" s="183">
        <v>0</v>
      </c>
      <c r="H23" s="221">
        <f t="shared" si="1"/>
        <v>2213987</v>
      </c>
      <c r="I23" s="237">
        <v>838</v>
      </c>
      <c r="J23" s="237">
        <v>100000</v>
      </c>
      <c r="K23" s="237">
        <v>5750</v>
      </c>
      <c r="L23" s="237">
        <v>33000</v>
      </c>
      <c r="M23" s="237">
        <v>84247</v>
      </c>
      <c r="N23" s="255">
        <f>SUM(I23:M23)</f>
        <v>223835</v>
      </c>
      <c r="O23" s="647" t="s">
        <v>665</v>
      </c>
      <c r="P23" s="647"/>
      <c r="Q23" s="647"/>
      <c r="R23" s="647"/>
    </row>
    <row r="24" spans="1:18" ht="30.9" customHeight="1" thickTop="1" thickBot="1">
      <c r="A24" s="176">
        <v>45711</v>
      </c>
      <c r="B24" s="178" t="s">
        <v>487</v>
      </c>
      <c r="C24" s="183">
        <v>430039</v>
      </c>
      <c r="D24" s="183">
        <v>564707</v>
      </c>
      <c r="E24" s="183">
        <f t="shared" si="0"/>
        <v>-134668</v>
      </c>
      <c r="F24" s="183">
        <v>-87</v>
      </c>
      <c r="G24" s="183">
        <v>0</v>
      </c>
      <c r="H24" s="184">
        <f t="shared" si="1"/>
        <v>2079232</v>
      </c>
      <c r="O24" s="656" t="s">
        <v>666</v>
      </c>
      <c r="P24" s="658"/>
      <c r="Q24" s="657"/>
      <c r="R24" s="232"/>
    </row>
    <row r="25" spans="1:18" ht="30.9" customHeight="1" thickTop="1" thickBot="1">
      <c r="A25" s="176">
        <v>45712</v>
      </c>
      <c r="B25" s="177" t="s">
        <v>488</v>
      </c>
      <c r="C25" s="183">
        <v>474918</v>
      </c>
      <c r="D25" s="183">
        <v>583350</v>
      </c>
      <c r="E25" s="183">
        <f t="shared" si="0"/>
        <v>-108432</v>
      </c>
      <c r="F25" s="183">
        <v>0</v>
      </c>
      <c r="G25" s="183">
        <v>0</v>
      </c>
      <c r="H25" s="184">
        <f t="shared" si="1"/>
        <v>1970800</v>
      </c>
      <c r="I25" s="664" t="s">
        <v>672</v>
      </c>
      <c r="J25" s="664"/>
      <c r="K25" s="664"/>
      <c r="L25" s="664"/>
      <c r="M25" s="664"/>
      <c r="N25" s="664"/>
      <c r="O25" s="268"/>
      <c r="P25" s="656"/>
      <c r="Q25" s="657"/>
      <c r="R25" s="232"/>
    </row>
    <row r="26" spans="1:18" ht="30.9" customHeight="1" thickTop="1" thickBot="1">
      <c r="A26" s="176">
        <v>45713</v>
      </c>
      <c r="B26" s="177" t="s">
        <v>489</v>
      </c>
      <c r="C26" s="183">
        <v>428557</v>
      </c>
      <c r="D26" s="183">
        <v>185643</v>
      </c>
      <c r="E26" s="183">
        <f t="shared" si="0"/>
        <v>242914</v>
      </c>
      <c r="F26" s="183">
        <v>-455</v>
      </c>
      <c r="G26" s="183">
        <v>0</v>
      </c>
      <c r="H26" s="184">
        <f t="shared" si="1"/>
        <v>2213259</v>
      </c>
      <c r="I26" s="183">
        <v>500000</v>
      </c>
      <c r="J26" s="665" t="s">
        <v>686</v>
      </c>
      <c r="K26" s="665"/>
      <c r="L26" s="665"/>
      <c r="M26" s="665"/>
      <c r="N26" s="665"/>
      <c r="O26" s="268"/>
      <c r="P26" s="656"/>
      <c r="Q26" s="657"/>
      <c r="R26" s="232"/>
    </row>
    <row r="27" spans="1:18" ht="30.9" customHeight="1" thickTop="1" thickBot="1">
      <c r="A27" s="176">
        <v>45714</v>
      </c>
      <c r="B27" s="177" t="s">
        <v>490</v>
      </c>
      <c r="C27" s="183">
        <v>452815</v>
      </c>
      <c r="D27" s="183">
        <v>349990</v>
      </c>
      <c r="E27" s="183">
        <f t="shared" si="0"/>
        <v>102825</v>
      </c>
      <c r="F27" s="183">
        <v>0</v>
      </c>
      <c r="G27" s="183">
        <v>0</v>
      </c>
      <c r="H27" s="184">
        <f t="shared" si="1"/>
        <v>2316084</v>
      </c>
      <c r="I27" s="183">
        <v>200000</v>
      </c>
      <c r="J27" s="665" t="s">
        <v>687</v>
      </c>
      <c r="K27" s="665"/>
      <c r="L27" s="665"/>
      <c r="M27" s="665"/>
      <c r="N27" s="665"/>
      <c r="O27" s="268"/>
      <c r="P27" s="656"/>
      <c r="Q27" s="657"/>
      <c r="R27" s="232"/>
    </row>
    <row r="28" spans="1:18" ht="30.9" customHeight="1" thickTop="1" thickBot="1">
      <c r="A28" s="176">
        <v>45715</v>
      </c>
      <c r="B28" s="177" t="s">
        <v>491</v>
      </c>
      <c r="C28" s="183">
        <v>777777</v>
      </c>
      <c r="D28" s="183">
        <v>517378</v>
      </c>
      <c r="E28" s="183">
        <f t="shared" si="0"/>
        <v>260399</v>
      </c>
      <c r="F28" s="183">
        <v>-42</v>
      </c>
      <c r="G28" s="183">
        <v>0</v>
      </c>
      <c r="H28" s="184">
        <f t="shared" si="1"/>
        <v>2576441</v>
      </c>
      <c r="I28" s="71"/>
      <c r="J28" s="665"/>
      <c r="K28" s="665"/>
      <c r="L28" s="665"/>
      <c r="M28" s="665"/>
      <c r="N28" s="665"/>
      <c r="O28" s="268"/>
      <c r="P28" s="656"/>
      <c r="Q28" s="657"/>
      <c r="R28" s="232"/>
    </row>
    <row r="29" spans="1:18" ht="30.9" customHeight="1" thickTop="1" thickBot="1">
      <c r="A29" s="176">
        <v>45716</v>
      </c>
      <c r="B29" s="178" t="s">
        <v>485</v>
      </c>
      <c r="C29" s="183">
        <v>1397328</v>
      </c>
      <c r="D29" s="183">
        <v>562616</v>
      </c>
      <c r="E29" s="183">
        <f>C29-D29</f>
        <v>834712</v>
      </c>
      <c r="F29" s="183">
        <v>-874</v>
      </c>
      <c r="G29" s="183">
        <v>0</v>
      </c>
      <c r="H29" s="184">
        <f t="shared" si="1"/>
        <v>3410279</v>
      </c>
      <c r="I29" s="71"/>
      <c r="J29" s="665"/>
      <c r="K29" s="665"/>
      <c r="L29" s="665"/>
      <c r="M29" s="665"/>
      <c r="N29" s="665"/>
      <c r="O29" s="658" t="s">
        <v>667</v>
      </c>
      <c r="P29" s="658"/>
      <c r="Q29" s="657"/>
      <c r="R29" s="232"/>
    </row>
    <row r="30" spans="1:18" ht="30.9" customHeight="1" thickTop="1" thickBot="1">
      <c r="A30" s="275"/>
      <c r="B30" s="171"/>
      <c r="C30" s="183"/>
      <c r="D30" s="183"/>
      <c r="E30" s="183"/>
      <c r="F30" s="183"/>
      <c r="G30" s="183">
        <v>0</v>
      </c>
      <c r="H30" s="184">
        <f t="shared" si="1"/>
        <v>3410279</v>
      </c>
      <c r="I30" s="71"/>
      <c r="J30" s="665"/>
      <c r="K30" s="665"/>
      <c r="L30" s="665"/>
      <c r="M30" s="665"/>
      <c r="N30" s="665"/>
      <c r="O30" s="268"/>
      <c r="P30" s="656"/>
      <c r="Q30" s="657"/>
      <c r="R30" s="232"/>
    </row>
    <row r="31" spans="1:18" ht="30.9" customHeight="1" thickTop="1" thickBot="1">
      <c r="A31" s="275"/>
      <c r="B31" s="171"/>
      <c r="C31" s="183"/>
      <c r="D31" s="183"/>
      <c r="E31" s="183">
        <f t="shared" si="0"/>
        <v>0</v>
      </c>
      <c r="F31" s="183"/>
      <c r="G31" s="183">
        <v>0</v>
      </c>
      <c r="H31" s="184">
        <f>H30+E31+F31</f>
        <v>3410279</v>
      </c>
      <c r="I31" s="71"/>
      <c r="J31" s="665"/>
      <c r="K31" s="665"/>
      <c r="L31" s="665"/>
      <c r="M31" s="665"/>
      <c r="N31" s="665"/>
      <c r="O31" s="269"/>
      <c r="P31" s="659"/>
      <c r="Q31" s="660"/>
      <c r="R31" s="232"/>
    </row>
    <row r="32" spans="1:18" ht="30.9" customHeight="1" thickTop="1" thickBot="1">
      <c r="A32" s="275"/>
      <c r="B32" s="276"/>
      <c r="C32" s="183"/>
      <c r="D32" s="183"/>
      <c r="E32" s="183">
        <f t="shared" si="0"/>
        <v>0</v>
      </c>
      <c r="F32" s="183"/>
      <c r="G32" s="183">
        <v>0</v>
      </c>
      <c r="H32" s="184">
        <f t="shared" si="1"/>
        <v>3410279</v>
      </c>
      <c r="I32" s="71"/>
      <c r="J32" s="665"/>
      <c r="K32" s="665"/>
      <c r="L32" s="665"/>
      <c r="M32" s="665"/>
      <c r="N32" s="665"/>
      <c r="O32" s="269"/>
      <c r="P32" s="659"/>
      <c r="Q32" s="660"/>
      <c r="R32" s="232"/>
    </row>
    <row r="33" spans="1:17" ht="30.9" customHeight="1" thickTop="1">
      <c r="A33" s="264"/>
      <c r="B33" s="265"/>
      <c r="C33" s="183"/>
      <c r="D33" s="183">
        <f>SUM(I26:I33)</f>
        <v>700000</v>
      </c>
      <c r="E33" s="183">
        <f>C33-D33</f>
        <v>-700000</v>
      </c>
      <c r="F33" s="183"/>
      <c r="G33" s="183">
        <v>0</v>
      </c>
      <c r="H33" s="184">
        <f>H32+E33+F33</f>
        <v>2710279</v>
      </c>
      <c r="I33" s="71"/>
      <c r="J33" s="665"/>
      <c r="K33" s="665"/>
      <c r="L33" s="665"/>
      <c r="M33" s="665"/>
      <c r="N33" s="665"/>
      <c r="P33" s="81"/>
      <c r="Q33" s="81"/>
    </row>
    <row r="34" spans="1:17" ht="45" customHeight="1">
      <c r="A34" s="476" t="s">
        <v>247</v>
      </c>
      <c r="B34" s="477"/>
      <c r="C34" s="145">
        <f>SUM(C2:C33)</f>
        <v>17790543</v>
      </c>
      <c r="D34" s="145">
        <f>SUM(D2:D33)</f>
        <v>15072888</v>
      </c>
      <c r="E34" s="145">
        <f>SUM(E2:E33)</f>
        <v>2717655</v>
      </c>
      <c r="F34" s="145">
        <f>SUM(F2:F32)</f>
        <v>-7376</v>
      </c>
      <c r="G34" s="145">
        <f>SUM(G2:G32)</f>
        <v>0</v>
      </c>
      <c r="H34" s="145">
        <f>C34-D34+F34</f>
        <v>2710279</v>
      </c>
    </row>
    <row r="35" spans="1:17">
      <c r="A35" s="69"/>
    </row>
    <row r="36" spans="1:17">
      <c r="A36" s="69"/>
    </row>
    <row r="37" spans="1:17">
      <c r="A37" s="69"/>
    </row>
    <row r="38" spans="1:17">
      <c r="A38" s="69"/>
    </row>
    <row r="39" spans="1:17">
      <c r="A39" s="69"/>
    </row>
    <row r="40" spans="1:17" ht="21" customHeight="1">
      <c r="A40" s="69"/>
    </row>
    <row r="41" spans="1:17" ht="23.1" customHeight="1">
      <c r="A41" s="69"/>
    </row>
    <row r="42" spans="1:17">
      <c r="A42" s="69"/>
    </row>
    <row r="43" spans="1:17" ht="29.1" customHeight="1">
      <c r="A43" s="69"/>
    </row>
    <row r="44" spans="1:17" ht="15" customHeight="1">
      <c r="A44" s="69"/>
    </row>
    <row r="45" spans="1:17">
      <c r="A45" s="69"/>
    </row>
    <row r="46" spans="1:17">
      <c r="A46" s="69"/>
    </row>
    <row r="47" spans="1:17">
      <c r="A47" s="69"/>
    </row>
    <row r="48" spans="1:17">
      <c r="A48" s="69"/>
    </row>
    <row r="49" spans="1:1">
      <c r="A49" s="69"/>
    </row>
    <row r="50" spans="1:1">
      <c r="A50" s="69"/>
    </row>
    <row r="51" spans="1:1" ht="18.899999999999999" customHeight="1">
      <c r="A51" s="69"/>
    </row>
  </sheetData>
  <mergeCells count="56">
    <mergeCell ref="M3:N3"/>
    <mergeCell ref="A1:B1"/>
    <mergeCell ref="I1:N1"/>
    <mergeCell ref="O1:R1"/>
    <mergeCell ref="I2:N2"/>
    <mergeCell ref="O2:R2"/>
    <mergeCell ref="O11:R11"/>
    <mergeCell ref="I4:I5"/>
    <mergeCell ref="M4:N4"/>
    <mergeCell ref="M5:N5"/>
    <mergeCell ref="O5:R5"/>
    <mergeCell ref="I6:N6"/>
    <mergeCell ref="O6:P6"/>
    <mergeCell ref="Q6:R6"/>
    <mergeCell ref="M7:N7"/>
    <mergeCell ref="M8:N8"/>
    <mergeCell ref="J9:N9"/>
    <mergeCell ref="I10:N10"/>
    <mergeCell ref="I11:N11"/>
    <mergeCell ref="I21:N21"/>
    <mergeCell ref="O21:Q21"/>
    <mergeCell ref="O12:Q12"/>
    <mergeCell ref="O13:P14"/>
    <mergeCell ref="I14:N14"/>
    <mergeCell ref="O15:O16"/>
    <mergeCell ref="P15:Q15"/>
    <mergeCell ref="I16:K16"/>
    <mergeCell ref="L16:N16"/>
    <mergeCell ref="P16:Q16"/>
    <mergeCell ref="I17:N17"/>
    <mergeCell ref="P17:Q17"/>
    <mergeCell ref="O18:Q18"/>
    <mergeCell ref="O19:Q19"/>
    <mergeCell ref="O20:Q20"/>
    <mergeCell ref="O23:R23"/>
    <mergeCell ref="O24:Q24"/>
    <mergeCell ref="I25:N25"/>
    <mergeCell ref="P25:Q25"/>
    <mergeCell ref="J26:N26"/>
    <mergeCell ref="P26:Q26"/>
    <mergeCell ref="J33:N33"/>
    <mergeCell ref="A34:B34"/>
    <mergeCell ref="I15:L15"/>
    <mergeCell ref="J30:N30"/>
    <mergeCell ref="P30:Q30"/>
    <mergeCell ref="J31:N31"/>
    <mergeCell ref="P31:Q31"/>
    <mergeCell ref="J32:N32"/>
    <mergeCell ref="P32:Q32"/>
    <mergeCell ref="J27:N27"/>
    <mergeCell ref="P27:Q27"/>
    <mergeCell ref="J28:N28"/>
    <mergeCell ref="P28:Q28"/>
    <mergeCell ref="J29:N29"/>
    <mergeCell ref="O29:Q29"/>
    <mergeCell ref="O22:R22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4F48-6D01-49F8-9214-4E1A81033573}">
  <dimension ref="A1:R51"/>
  <sheetViews>
    <sheetView zoomScaleNormal="100" workbookViewId="0">
      <selection activeCell="J9" sqref="J9:N9"/>
    </sheetView>
  </sheetViews>
  <sheetFormatPr defaultColWidth="10.6328125" defaultRowHeight="18"/>
  <cols>
    <col min="1" max="1" width="5.90625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8" style="69" customWidth="1"/>
    <col min="7" max="7" width="7.90625" style="69" customWidth="1"/>
    <col min="8" max="8" width="12.453125" style="69" customWidth="1"/>
    <col min="9" max="14" width="11.453125" style="69" customWidth="1"/>
    <col min="15" max="16" width="7" style="69" customWidth="1"/>
    <col min="17" max="17" width="11.453125" style="69" customWidth="1"/>
    <col min="18" max="18" width="21" style="69" customWidth="1"/>
    <col min="19" max="16384" width="10.6328125" style="69"/>
  </cols>
  <sheetData>
    <row r="1" spans="1:18" ht="24" customHeight="1" thickTop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133" t="s">
        <v>463</v>
      </c>
      <c r="H1" s="220" t="s">
        <v>464</v>
      </c>
      <c r="I1" s="663" t="s">
        <v>695</v>
      </c>
      <c r="J1" s="663"/>
      <c r="K1" s="663"/>
      <c r="L1" s="663"/>
      <c r="M1" s="663"/>
      <c r="N1" s="663"/>
      <c r="O1" s="631" t="s">
        <v>642</v>
      </c>
      <c r="P1" s="632"/>
      <c r="Q1" s="632"/>
      <c r="R1" s="632"/>
    </row>
    <row r="2" spans="1:18" ht="30.9" customHeight="1" thickTop="1" thickBot="1">
      <c r="A2" s="176">
        <v>45717</v>
      </c>
      <c r="B2" s="178" t="s">
        <v>486</v>
      </c>
      <c r="C2" s="183">
        <v>1405846</v>
      </c>
      <c r="D2" s="183">
        <v>647605</v>
      </c>
      <c r="E2" s="183">
        <f>C2-D2</f>
        <v>758241</v>
      </c>
      <c r="F2" s="183">
        <v>-784</v>
      </c>
      <c r="G2" s="183">
        <v>0</v>
      </c>
      <c r="H2" s="221">
        <f>E2+F2</f>
        <v>757457</v>
      </c>
      <c r="I2" s="630" t="s">
        <v>249</v>
      </c>
      <c r="J2" s="630"/>
      <c r="K2" s="630"/>
      <c r="L2" s="630"/>
      <c r="M2" s="630"/>
      <c r="N2" s="630"/>
      <c r="O2" s="627" t="s">
        <v>638</v>
      </c>
      <c r="P2" s="628"/>
      <c r="Q2" s="628"/>
      <c r="R2" s="628"/>
    </row>
    <row r="3" spans="1:18" ht="30.9" customHeight="1" thickTop="1" thickBot="1">
      <c r="A3" s="176">
        <v>45718</v>
      </c>
      <c r="B3" s="178" t="s">
        <v>487</v>
      </c>
      <c r="C3" s="183">
        <v>532956</v>
      </c>
      <c r="D3" s="183">
        <v>588339</v>
      </c>
      <c r="E3" s="183">
        <f t="shared" ref="E3:E32" si="0">C3-D3</f>
        <v>-55383</v>
      </c>
      <c r="F3" s="183">
        <v>0</v>
      </c>
      <c r="G3" s="183">
        <v>0</v>
      </c>
      <c r="H3" s="221">
        <f>H2+E3+F3</f>
        <v>702074</v>
      </c>
      <c r="I3" s="223" t="s">
        <v>247</v>
      </c>
      <c r="J3" s="222" t="s">
        <v>251</v>
      </c>
      <c r="K3" s="222" t="s">
        <v>252</v>
      </c>
      <c r="L3" s="222" t="s">
        <v>449</v>
      </c>
      <c r="M3" s="630" t="s">
        <v>415</v>
      </c>
      <c r="N3" s="630"/>
      <c r="O3" s="246"/>
      <c r="P3" s="247"/>
      <c r="Q3" s="247"/>
      <c r="R3" s="247"/>
    </row>
    <row r="4" spans="1:18" ht="30.9" customHeight="1" thickTop="1" thickBot="1">
      <c r="A4" s="176">
        <v>45719</v>
      </c>
      <c r="B4" s="177" t="s">
        <v>488</v>
      </c>
      <c r="C4" s="183">
        <v>407839</v>
      </c>
      <c r="D4" s="183">
        <v>879781</v>
      </c>
      <c r="E4" s="183">
        <f t="shared" si="0"/>
        <v>-471942</v>
      </c>
      <c r="F4" s="183">
        <v>-84</v>
      </c>
      <c r="G4" s="183">
        <v>0</v>
      </c>
      <c r="H4" s="221">
        <f t="shared" ref="H4:H33" si="1">H3+E4+F4</f>
        <v>230048</v>
      </c>
      <c r="I4" s="635">
        <f>C34</f>
        <v>20173970</v>
      </c>
      <c r="J4" s="224">
        <f>G34</f>
        <v>0</v>
      </c>
      <c r="K4" s="224"/>
      <c r="L4" s="224">
        <f>F34</f>
        <v>-17105</v>
      </c>
      <c r="M4" s="636">
        <v>25301</v>
      </c>
      <c r="N4" s="636"/>
      <c r="O4" s="249"/>
      <c r="P4" s="250"/>
      <c r="Q4" s="250"/>
      <c r="R4" s="250"/>
    </row>
    <row r="5" spans="1:18" ht="30.9" customHeight="1" thickTop="1" thickBot="1">
      <c r="A5" s="176">
        <v>45720</v>
      </c>
      <c r="B5" s="177" t="s">
        <v>489</v>
      </c>
      <c r="C5" s="183">
        <v>320116</v>
      </c>
      <c r="D5" s="183">
        <v>557842</v>
      </c>
      <c r="E5" s="183">
        <f t="shared" si="0"/>
        <v>-237726</v>
      </c>
      <c r="F5" s="183">
        <v>-514</v>
      </c>
      <c r="G5" s="183">
        <v>0</v>
      </c>
      <c r="H5" s="221">
        <f t="shared" si="1"/>
        <v>-8192</v>
      </c>
      <c r="I5" s="635"/>
      <c r="J5" s="225">
        <f>J4/I4</f>
        <v>0</v>
      </c>
      <c r="K5" s="225">
        <f>K4/I4</f>
        <v>0</v>
      </c>
      <c r="L5" s="226">
        <f>L4/I4</f>
        <v>-8.4787476138806586E-4</v>
      </c>
      <c r="M5" s="637">
        <f>M4/I4</f>
        <v>1.2541408557661185E-3</v>
      </c>
      <c r="N5" s="637"/>
      <c r="O5" s="654" t="s">
        <v>639</v>
      </c>
      <c r="P5" s="655"/>
      <c r="Q5" s="655"/>
      <c r="R5" s="655"/>
    </row>
    <row r="6" spans="1:18" ht="30.9" customHeight="1" thickTop="1" thickBot="1">
      <c r="A6" s="176">
        <v>45721</v>
      </c>
      <c r="B6" s="177" t="s">
        <v>490</v>
      </c>
      <c r="C6" s="183">
        <v>497240</v>
      </c>
      <c r="D6" s="183">
        <v>1386046</v>
      </c>
      <c r="E6" s="183">
        <f t="shared" si="0"/>
        <v>-888806</v>
      </c>
      <c r="F6" s="183">
        <v>0</v>
      </c>
      <c r="G6" s="183">
        <v>0</v>
      </c>
      <c r="H6" s="221">
        <f t="shared" si="1"/>
        <v>-896998</v>
      </c>
      <c r="I6" s="630" t="s">
        <v>250</v>
      </c>
      <c r="J6" s="630"/>
      <c r="K6" s="630"/>
      <c r="L6" s="630"/>
      <c r="M6" s="630"/>
      <c r="N6" s="630"/>
      <c r="O6" s="630" t="s">
        <v>231</v>
      </c>
      <c r="P6" s="630"/>
      <c r="Q6" s="490"/>
      <c r="R6" s="490"/>
    </row>
    <row r="7" spans="1:18" ht="30.9" customHeight="1" thickTop="1" thickBot="1">
      <c r="A7" s="176">
        <v>45722</v>
      </c>
      <c r="B7" s="177" t="s">
        <v>491</v>
      </c>
      <c r="C7" s="183">
        <v>673410</v>
      </c>
      <c r="D7" s="183">
        <v>976113</v>
      </c>
      <c r="E7" s="183">
        <f t="shared" si="0"/>
        <v>-302703</v>
      </c>
      <c r="F7" s="183">
        <v>-5380</v>
      </c>
      <c r="G7" s="183">
        <v>0</v>
      </c>
      <c r="H7" s="221">
        <f t="shared" si="1"/>
        <v>-1205081</v>
      </c>
      <c r="I7" s="222" t="s">
        <v>241</v>
      </c>
      <c r="J7" s="222" t="s">
        <v>253</v>
      </c>
      <c r="K7" s="227" t="s">
        <v>624</v>
      </c>
      <c r="L7" s="222"/>
      <c r="M7" s="638" t="s">
        <v>247</v>
      </c>
      <c r="N7" s="638"/>
      <c r="O7" s="242" t="s">
        <v>640</v>
      </c>
      <c r="P7" s="243">
        <v>380000</v>
      </c>
    </row>
    <row r="8" spans="1:18" ht="30.9" customHeight="1" thickTop="1" thickBot="1">
      <c r="A8" s="176">
        <v>45723</v>
      </c>
      <c r="B8" s="178" t="s">
        <v>485</v>
      </c>
      <c r="C8" s="183">
        <v>923198</v>
      </c>
      <c r="D8" s="183">
        <v>661803</v>
      </c>
      <c r="E8" s="183">
        <f t="shared" si="0"/>
        <v>261395</v>
      </c>
      <c r="F8" s="183">
        <v>-425</v>
      </c>
      <c r="G8" s="183">
        <v>0</v>
      </c>
      <c r="H8" s="221">
        <f t="shared" si="1"/>
        <v>-944111</v>
      </c>
      <c r="I8" s="228">
        <f>D34</f>
        <v>18877991</v>
      </c>
      <c r="J8" s="229">
        <f>L16</f>
        <v>976776</v>
      </c>
      <c r="K8" s="230">
        <f>N19</f>
        <v>131350</v>
      </c>
      <c r="L8" s="229"/>
      <c r="M8" s="639">
        <f>SUM(I8:L8)</f>
        <v>19986117</v>
      </c>
      <c r="N8" s="639"/>
      <c r="O8" s="242" t="s">
        <v>641</v>
      </c>
      <c r="P8" s="243">
        <v>55000</v>
      </c>
    </row>
    <row r="9" spans="1:18" ht="30.9" customHeight="1" thickTop="1" thickBot="1">
      <c r="A9" s="176">
        <v>45724</v>
      </c>
      <c r="B9" s="178" t="s">
        <v>486</v>
      </c>
      <c r="C9" s="183">
        <v>709108</v>
      </c>
      <c r="D9" s="183">
        <v>217159</v>
      </c>
      <c r="E9" s="183">
        <f t="shared" si="0"/>
        <v>491949</v>
      </c>
      <c r="F9" s="183">
        <v>0</v>
      </c>
      <c r="G9" s="183">
        <v>0</v>
      </c>
      <c r="H9" s="221">
        <f t="shared" si="1"/>
        <v>-452162</v>
      </c>
      <c r="I9" s="231" t="s">
        <v>266</v>
      </c>
      <c r="J9" s="623">
        <f>I4-M8-M4+L4</f>
        <v>145447</v>
      </c>
      <c r="K9" s="623"/>
      <c r="L9" s="623"/>
      <c r="M9" s="623"/>
      <c r="N9" s="623"/>
      <c r="O9" s="241" t="s">
        <v>495</v>
      </c>
      <c r="P9" s="243">
        <v>35000</v>
      </c>
    </row>
    <row r="10" spans="1:18" ht="30.9" customHeight="1" thickTop="1" thickBot="1">
      <c r="A10" s="176">
        <v>45725</v>
      </c>
      <c r="B10" s="178" t="s">
        <v>487</v>
      </c>
      <c r="C10" s="183">
        <v>401358</v>
      </c>
      <c r="D10" s="183">
        <v>321329</v>
      </c>
      <c r="E10" s="183">
        <f t="shared" si="0"/>
        <v>80029</v>
      </c>
      <c r="F10" s="183">
        <v>0</v>
      </c>
      <c r="G10" s="183">
        <v>0</v>
      </c>
      <c r="H10" s="221">
        <f t="shared" si="1"/>
        <v>-372133</v>
      </c>
      <c r="I10" s="640" t="s">
        <v>257</v>
      </c>
      <c r="J10" s="640"/>
      <c r="K10" s="640"/>
      <c r="L10" s="640"/>
      <c r="M10" s="640"/>
      <c r="N10" s="640"/>
      <c r="O10" s="244" t="s">
        <v>73</v>
      </c>
      <c r="P10" s="245">
        <f>SUM(P7:P9)</f>
        <v>470000</v>
      </c>
      <c r="Q10" s="252"/>
      <c r="R10" s="252"/>
    </row>
    <row r="11" spans="1:18" ht="30.9" customHeight="1" thickTop="1" thickBot="1">
      <c r="A11" s="176">
        <v>45726</v>
      </c>
      <c r="B11" s="177" t="s">
        <v>488</v>
      </c>
      <c r="C11" s="183">
        <v>457129</v>
      </c>
      <c r="D11" s="183">
        <v>715070</v>
      </c>
      <c r="E11" s="183">
        <f t="shared" si="0"/>
        <v>-257941</v>
      </c>
      <c r="F11" s="183">
        <v>-254</v>
      </c>
      <c r="G11" s="183">
        <v>0</v>
      </c>
      <c r="H11" s="221">
        <f>H10+E11+F11</f>
        <v>-630328</v>
      </c>
      <c r="I11" s="634" t="s">
        <v>477</v>
      </c>
      <c r="J11" s="634"/>
      <c r="K11" s="634"/>
      <c r="L11" s="634"/>
      <c r="M11" s="634"/>
      <c r="N11" s="651"/>
      <c r="O11" s="647" t="s">
        <v>643</v>
      </c>
      <c r="P11" s="647"/>
      <c r="Q11" s="647"/>
      <c r="R11" s="647"/>
    </row>
    <row r="12" spans="1:18" ht="30.9" customHeight="1" thickTop="1" thickBot="1">
      <c r="A12" s="176">
        <v>45727</v>
      </c>
      <c r="B12" s="177" t="s">
        <v>489</v>
      </c>
      <c r="C12" s="183">
        <v>703428</v>
      </c>
      <c r="D12" s="183">
        <v>128080</v>
      </c>
      <c r="E12" s="183">
        <f t="shared" si="0"/>
        <v>575348</v>
      </c>
      <c r="F12" s="183">
        <v>0</v>
      </c>
      <c r="G12" s="183">
        <v>0</v>
      </c>
      <c r="H12" s="221">
        <f t="shared" si="1"/>
        <v>-54980</v>
      </c>
      <c r="I12" s="232" t="s">
        <v>478</v>
      </c>
      <c r="J12" s="229" t="s">
        <v>479</v>
      </c>
      <c r="K12" s="229" t="s">
        <v>480</v>
      </c>
      <c r="L12" s="229" t="s">
        <v>455</v>
      </c>
      <c r="M12" s="229" t="s">
        <v>468</v>
      </c>
      <c r="N12" s="258" t="s">
        <v>230</v>
      </c>
      <c r="O12" s="650" t="s">
        <v>644</v>
      </c>
      <c r="P12" s="650"/>
      <c r="Q12" s="650"/>
      <c r="R12" s="229">
        <v>0</v>
      </c>
    </row>
    <row r="13" spans="1:18" ht="30.9" customHeight="1" thickTop="1" thickBot="1">
      <c r="A13" s="176">
        <v>45728</v>
      </c>
      <c r="B13" s="177" t="s">
        <v>490</v>
      </c>
      <c r="C13" s="183">
        <v>728184</v>
      </c>
      <c r="D13" s="183">
        <v>419516</v>
      </c>
      <c r="E13" s="183">
        <f t="shared" si="0"/>
        <v>308668</v>
      </c>
      <c r="F13" s="183">
        <v>-1000</v>
      </c>
      <c r="G13" s="183">
        <v>0</v>
      </c>
      <c r="H13" s="221">
        <f t="shared" si="1"/>
        <v>252688</v>
      </c>
      <c r="I13" s="233">
        <f>P7</f>
        <v>380000</v>
      </c>
      <c r="J13" s="229">
        <v>0</v>
      </c>
      <c r="K13" s="229">
        <v>0</v>
      </c>
      <c r="L13" s="229">
        <f>97*1100</f>
        <v>106700</v>
      </c>
      <c r="M13" s="229">
        <f>83850</f>
        <v>83850</v>
      </c>
      <c r="N13" s="229">
        <v>255000</v>
      </c>
      <c r="O13" s="650" t="s">
        <v>645</v>
      </c>
      <c r="P13" s="650"/>
      <c r="Q13" s="261" t="s">
        <v>646</v>
      </c>
      <c r="R13" s="229">
        <v>0</v>
      </c>
    </row>
    <row r="14" spans="1:18" ht="30.9" customHeight="1" thickTop="1" thickBot="1">
      <c r="A14" s="176">
        <v>45729</v>
      </c>
      <c r="B14" s="177" t="s">
        <v>491</v>
      </c>
      <c r="C14" s="183">
        <v>779674</v>
      </c>
      <c r="D14" s="183">
        <v>1229310</v>
      </c>
      <c r="E14" s="183">
        <f t="shared" si="0"/>
        <v>-449636</v>
      </c>
      <c r="F14" s="183">
        <v>-820</v>
      </c>
      <c r="G14" s="183">
        <v>0</v>
      </c>
      <c r="H14" s="221">
        <f t="shared" si="1"/>
        <v>-197768</v>
      </c>
      <c r="I14" s="634"/>
      <c r="J14" s="634"/>
      <c r="K14" s="634"/>
      <c r="L14" s="634"/>
      <c r="M14" s="634"/>
      <c r="N14" s="651"/>
      <c r="O14" s="650"/>
      <c r="P14" s="650"/>
      <c r="Q14" s="261" t="s">
        <v>647</v>
      </c>
      <c r="R14" s="232"/>
    </row>
    <row r="15" spans="1:18" ht="30.9" customHeight="1" thickTop="1" thickBot="1">
      <c r="A15" s="176">
        <v>45730</v>
      </c>
      <c r="B15" s="178" t="s">
        <v>485</v>
      </c>
      <c r="C15" s="183">
        <v>1167549</v>
      </c>
      <c r="D15" s="183">
        <v>948667</v>
      </c>
      <c r="E15" s="183">
        <f t="shared" si="0"/>
        <v>218882</v>
      </c>
      <c r="F15" s="183">
        <v>-2540</v>
      </c>
      <c r="G15" s="183">
        <v>0</v>
      </c>
      <c r="H15" s="221">
        <f t="shared" si="1"/>
        <v>18574</v>
      </c>
      <c r="I15" s="234">
        <v>0</v>
      </c>
      <c r="J15" s="234"/>
      <c r="K15" s="234"/>
      <c r="L15" s="234"/>
      <c r="M15" s="267" t="s">
        <v>670</v>
      </c>
      <c r="N15" s="266">
        <f>55.66*1100</f>
        <v>61225.999999999993</v>
      </c>
      <c r="O15" s="650" t="s">
        <v>648</v>
      </c>
      <c r="P15" s="650" t="s">
        <v>649</v>
      </c>
      <c r="Q15" s="650"/>
      <c r="R15" s="229">
        <v>0</v>
      </c>
    </row>
    <row r="16" spans="1:18" ht="30.9" customHeight="1" thickTop="1" thickBot="1">
      <c r="A16" s="176">
        <v>45731</v>
      </c>
      <c r="B16" s="178" t="s">
        <v>486</v>
      </c>
      <c r="C16" s="183">
        <v>911986</v>
      </c>
      <c r="D16" s="183">
        <v>653324</v>
      </c>
      <c r="E16" s="183">
        <f t="shared" si="0"/>
        <v>258662</v>
      </c>
      <c r="F16" s="183">
        <v>-1780</v>
      </c>
      <c r="G16" s="183">
        <v>0</v>
      </c>
      <c r="H16" s="221">
        <f t="shared" si="1"/>
        <v>275456</v>
      </c>
      <c r="I16" s="641" t="s">
        <v>247</v>
      </c>
      <c r="J16" s="641"/>
      <c r="K16" s="641"/>
      <c r="L16" s="642">
        <f>J13+K13+L13+M13+N13+N15+P10</f>
        <v>976776</v>
      </c>
      <c r="M16" s="642"/>
      <c r="N16" s="648"/>
      <c r="O16" s="650"/>
      <c r="P16" s="650" t="s">
        <v>650</v>
      </c>
      <c r="Q16" s="650"/>
      <c r="R16" s="229">
        <v>0</v>
      </c>
    </row>
    <row r="17" spans="1:18" ht="30.9" customHeight="1" thickTop="1" thickBot="1">
      <c r="A17" s="176">
        <v>45732</v>
      </c>
      <c r="B17" s="178" t="s">
        <v>487</v>
      </c>
      <c r="C17" s="183">
        <v>375162</v>
      </c>
      <c r="D17" s="183">
        <v>552841</v>
      </c>
      <c r="E17" s="183">
        <f t="shared" si="0"/>
        <v>-177679</v>
      </c>
      <c r="F17" s="183">
        <v>0</v>
      </c>
      <c r="G17" s="183">
        <v>0</v>
      </c>
      <c r="H17" s="221">
        <f t="shared" si="1"/>
        <v>97777</v>
      </c>
      <c r="I17" s="643" t="s">
        <v>482</v>
      </c>
      <c r="J17" s="643"/>
      <c r="K17" s="643"/>
      <c r="L17" s="643"/>
      <c r="M17" s="643"/>
      <c r="N17" s="649"/>
      <c r="O17" s="261" t="s">
        <v>651</v>
      </c>
      <c r="P17" s="650" t="s">
        <v>652</v>
      </c>
      <c r="Q17" s="650"/>
      <c r="R17" s="229">
        <v>600000</v>
      </c>
    </row>
    <row r="18" spans="1:18" ht="30.9" customHeight="1" thickTop="1" thickBot="1">
      <c r="A18" s="176">
        <v>45733</v>
      </c>
      <c r="B18" s="177" t="s">
        <v>488</v>
      </c>
      <c r="C18" s="183">
        <v>391276</v>
      </c>
      <c r="D18" s="183">
        <v>525320</v>
      </c>
      <c r="E18" s="183">
        <f t="shared" si="0"/>
        <v>-134044</v>
      </c>
      <c r="F18" s="183">
        <v>-500</v>
      </c>
      <c r="G18" s="183">
        <v>0</v>
      </c>
      <c r="H18" s="221">
        <f t="shared" si="1"/>
        <v>-36767</v>
      </c>
      <c r="I18" s="222"/>
      <c r="J18" s="235"/>
      <c r="K18" s="222"/>
      <c r="L18" s="222"/>
      <c r="M18" s="236" t="s">
        <v>498</v>
      </c>
      <c r="N18" s="256" t="s">
        <v>247</v>
      </c>
      <c r="O18" s="650" t="s">
        <v>653</v>
      </c>
      <c r="P18" s="650"/>
      <c r="Q18" s="650"/>
      <c r="R18" s="229">
        <v>0</v>
      </c>
    </row>
    <row r="19" spans="1:18" ht="30.9" customHeight="1" thickTop="1" thickBot="1">
      <c r="A19" s="176">
        <v>45734</v>
      </c>
      <c r="B19" s="177" t="s">
        <v>489</v>
      </c>
      <c r="C19" s="183">
        <v>425910</v>
      </c>
      <c r="D19" s="183">
        <v>596140</v>
      </c>
      <c r="E19" s="183">
        <f t="shared" si="0"/>
        <v>-170230</v>
      </c>
      <c r="F19" s="183">
        <v>0</v>
      </c>
      <c r="G19" s="183">
        <v>0</v>
      </c>
      <c r="H19" s="221">
        <f t="shared" si="1"/>
        <v>-206997</v>
      </c>
      <c r="I19" s="237"/>
      <c r="J19" s="237"/>
      <c r="K19" s="237"/>
      <c r="L19" s="237"/>
      <c r="M19" s="238">
        <f>N23</f>
        <v>131350</v>
      </c>
      <c r="N19" s="257">
        <f>SUM(I19:M19)</f>
        <v>131350</v>
      </c>
      <c r="O19" s="652" t="s">
        <v>654</v>
      </c>
      <c r="P19" s="652"/>
      <c r="Q19" s="652"/>
      <c r="R19" s="229">
        <v>5600000</v>
      </c>
    </row>
    <row r="20" spans="1:18" ht="30.9" customHeight="1" thickTop="1" thickBot="1">
      <c r="A20" s="176">
        <v>45735</v>
      </c>
      <c r="B20" s="177" t="s">
        <v>490</v>
      </c>
      <c r="C20" s="183">
        <v>442773</v>
      </c>
      <c r="D20" s="183">
        <v>718640</v>
      </c>
      <c r="E20" s="183">
        <f t="shared" si="0"/>
        <v>-275867</v>
      </c>
      <c r="F20" s="183">
        <v>-870</v>
      </c>
      <c r="G20" s="183">
        <v>0</v>
      </c>
      <c r="H20" s="221">
        <f t="shared" si="1"/>
        <v>-483734</v>
      </c>
      <c r="I20" s="232"/>
      <c r="J20" s="232"/>
      <c r="K20" s="232"/>
      <c r="L20" s="232"/>
      <c r="M20" s="232"/>
      <c r="N20" s="232"/>
      <c r="O20" s="652" t="s">
        <v>655</v>
      </c>
      <c r="P20" s="652"/>
      <c r="Q20" s="652"/>
      <c r="R20" s="229">
        <v>0</v>
      </c>
    </row>
    <row r="21" spans="1:18" ht="30.9" customHeight="1" thickTop="1" thickBot="1">
      <c r="A21" s="176">
        <v>45736</v>
      </c>
      <c r="B21" s="177" t="s">
        <v>491</v>
      </c>
      <c r="C21" s="183">
        <v>761548</v>
      </c>
      <c r="D21" s="183">
        <v>444302</v>
      </c>
      <c r="E21" s="183">
        <f t="shared" si="0"/>
        <v>317246</v>
      </c>
      <c r="F21" s="183">
        <v>0</v>
      </c>
      <c r="G21" s="183">
        <v>0</v>
      </c>
      <c r="H21" s="221">
        <f t="shared" si="1"/>
        <v>-166488</v>
      </c>
      <c r="I21" s="644" t="s">
        <v>497</v>
      </c>
      <c r="J21" s="644"/>
      <c r="K21" s="644"/>
      <c r="L21" s="644"/>
      <c r="M21" s="644"/>
      <c r="N21" s="644"/>
      <c r="O21" s="653" t="s">
        <v>247</v>
      </c>
      <c r="P21" s="653"/>
      <c r="Q21" s="653"/>
      <c r="R21" s="270">
        <f>SUM(R12:R20)</f>
        <v>6200000</v>
      </c>
    </row>
    <row r="22" spans="1:18" ht="30.9" customHeight="1" thickTop="1" thickBot="1">
      <c r="A22" s="176">
        <v>45737</v>
      </c>
      <c r="B22" s="178" t="s">
        <v>485</v>
      </c>
      <c r="C22" s="183">
        <v>915433</v>
      </c>
      <c r="D22" s="183">
        <v>155297</v>
      </c>
      <c r="E22" s="183">
        <f t="shared" si="0"/>
        <v>760136</v>
      </c>
      <c r="F22" s="183">
        <v>-1700</v>
      </c>
      <c r="G22" s="183">
        <v>0</v>
      </c>
      <c r="H22" s="221">
        <f t="shared" si="1"/>
        <v>591948</v>
      </c>
      <c r="I22" s="235" t="s">
        <v>625</v>
      </c>
      <c r="J22" s="222" t="s">
        <v>664</v>
      </c>
      <c r="K22" s="222" t="s">
        <v>142</v>
      </c>
      <c r="L22" s="222" t="s">
        <v>638</v>
      </c>
      <c r="M22" s="222" t="s">
        <v>494</v>
      </c>
      <c r="N22" s="254" t="s">
        <v>247</v>
      </c>
      <c r="O22" s="661"/>
      <c r="P22" s="662"/>
      <c r="Q22" s="662"/>
      <c r="R22" s="662"/>
    </row>
    <row r="23" spans="1:18" ht="30.9" customHeight="1" thickTop="1" thickBot="1">
      <c r="A23" s="176">
        <v>45738</v>
      </c>
      <c r="B23" s="178" t="s">
        <v>486</v>
      </c>
      <c r="C23" s="183">
        <v>740625</v>
      </c>
      <c r="D23" s="183">
        <v>1053255</v>
      </c>
      <c r="E23" s="183">
        <f t="shared" si="0"/>
        <v>-312630</v>
      </c>
      <c r="F23" s="183">
        <v>0</v>
      </c>
      <c r="G23" s="183">
        <v>0</v>
      </c>
      <c r="H23" s="221">
        <f t="shared" si="1"/>
        <v>279318</v>
      </c>
      <c r="I23" s="237">
        <v>0</v>
      </c>
      <c r="J23" s="237">
        <v>50000</v>
      </c>
      <c r="K23" s="237">
        <v>0</v>
      </c>
      <c r="L23" s="237">
        <v>33000</v>
      </c>
      <c r="M23" s="237">
        <v>48350</v>
      </c>
      <c r="N23" s="255">
        <f>SUM(J23:M23)</f>
        <v>131350</v>
      </c>
      <c r="O23" s="647" t="s">
        <v>665</v>
      </c>
      <c r="P23" s="647"/>
      <c r="Q23" s="647"/>
      <c r="R23" s="647"/>
    </row>
    <row r="24" spans="1:18" ht="30.9" customHeight="1" thickTop="1" thickBot="1">
      <c r="A24" s="176">
        <v>45739</v>
      </c>
      <c r="B24" s="178" t="s">
        <v>487</v>
      </c>
      <c r="C24" s="183">
        <v>307925</v>
      </c>
      <c r="D24" s="183">
        <v>305135</v>
      </c>
      <c r="E24" s="183">
        <f t="shared" si="0"/>
        <v>2790</v>
      </c>
      <c r="F24" s="183">
        <v>0</v>
      </c>
      <c r="G24" s="183">
        <v>0</v>
      </c>
      <c r="H24" s="184">
        <f t="shared" si="1"/>
        <v>282108</v>
      </c>
      <c r="O24" s="656" t="s">
        <v>666</v>
      </c>
      <c r="P24" s="658"/>
      <c r="Q24" s="657"/>
      <c r="R24" s="232"/>
    </row>
    <row r="25" spans="1:18" ht="30.9" customHeight="1" thickTop="1" thickBot="1">
      <c r="A25" s="176">
        <v>45740</v>
      </c>
      <c r="B25" s="177" t="s">
        <v>488</v>
      </c>
      <c r="C25" s="183">
        <v>529877</v>
      </c>
      <c r="D25" s="183">
        <v>157353</v>
      </c>
      <c r="E25" s="183">
        <f t="shared" si="0"/>
        <v>372524</v>
      </c>
      <c r="F25" s="183">
        <v>-454</v>
      </c>
      <c r="G25" s="183">
        <v>0</v>
      </c>
      <c r="H25" s="184">
        <f t="shared" si="1"/>
        <v>654178</v>
      </c>
      <c r="I25" s="664" t="s">
        <v>672</v>
      </c>
      <c r="J25" s="664"/>
      <c r="K25" s="664"/>
      <c r="L25" s="664"/>
      <c r="M25" s="664"/>
      <c r="N25" s="664"/>
      <c r="O25" s="268"/>
      <c r="P25" s="656"/>
      <c r="Q25" s="657"/>
      <c r="R25" s="232"/>
    </row>
    <row r="26" spans="1:18" ht="30.9" customHeight="1" thickTop="1" thickBot="1">
      <c r="A26" s="176">
        <v>45741</v>
      </c>
      <c r="B26" s="177" t="s">
        <v>489</v>
      </c>
      <c r="C26" s="183">
        <v>581013</v>
      </c>
      <c r="D26" s="183">
        <v>576881</v>
      </c>
      <c r="E26" s="183">
        <f t="shared" si="0"/>
        <v>4132</v>
      </c>
      <c r="F26" s="183">
        <v>0</v>
      </c>
      <c r="G26" s="183">
        <v>0</v>
      </c>
      <c r="H26" s="184">
        <f t="shared" si="1"/>
        <v>658310</v>
      </c>
      <c r="I26" s="280">
        <v>45745</v>
      </c>
      <c r="J26" s="665" t="s">
        <v>688</v>
      </c>
      <c r="K26" s="665"/>
      <c r="L26" s="665"/>
      <c r="M26" s="665"/>
      <c r="N26" s="665"/>
      <c r="O26" s="268"/>
      <c r="P26" s="656"/>
      <c r="Q26" s="657"/>
      <c r="R26" s="232"/>
    </row>
    <row r="27" spans="1:18" ht="30.9" customHeight="1" thickTop="1" thickBot="1">
      <c r="A27" s="176">
        <v>45742</v>
      </c>
      <c r="B27" s="177" t="s">
        <v>490</v>
      </c>
      <c r="C27" s="183">
        <v>524811</v>
      </c>
      <c r="D27" s="183">
        <v>1228048</v>
      </c>
      <c r="E27" s="183">
        <f t="shared" si="0"/>
        <v>-703237</v>
      </c>
      <c r="F27" s="183">
        <v>0</v>
      </c>
      <c r="G27" s="183">
        <v>0</v>
      </c>
      <c r="H27" s="184">
        <f t="shared" si="1"/>
        <v>-44927</v>
      </c>
      <c r="I27" s="71"/>
      <c r="J27" s="665" t="s">
        <v>689</v>
      </c>
      <c r="K27" s="665"/>
      <c r="L27" s="665"/>
      <c r="M27" s="665"/>
      <c r="N27" s="665"/>
      <c r="O27" s="268"/>
      <c r="P27" s="656"/>
      <c r="Q27" s="657"/>
      <c r="R27" s="232"/>
    </row>
    <row r="28" spans="1:18" ht="30.9" customHeight="1" thickTop="1" thickBot="1">
      <c r="A28" s="176">
        <v>45743</v>
      </c>
      <c r="B28" s="177" t="s">
        <v>491</v>
      </c>
      <c r="C28" s="183">
        <v>801328</v>
      </c>
      <c r="D28" s="183">
        <v>1174577</v>
      </c>
      <c r="E28" s="183">
        <f t="shared" si="0"/>
        <v>-373249</v>
      </c>
      <c r="F28" s="183">
        <v>0</v>
      </c>
      <c r="G28" s="183">
        <v>0</v>
      </c>
      <c r="H28" s="184">
        <f t="shared" si="1"/>
        <v>-418176</v>
      </c>
      <c r="I28" s="71"/>
      <c r="J28" s="665" t="s">
        <v>693</v>
      </c>
      <c r="K28" s="665"/>
      <c r="L28" s="665"/>
      <c r="M28" s="665"/>
      <c r="N28" s="665"/>
      <c r="O28" s="268"/>
      <c r="P28" s="656"/>
      <c r="Q28" s="657"/>
      <c r="R28" s="232"/>
    </row>
    <row r="29" spans="1:18" ht="30.9" customHeight="1" thickTop="1" thickBot="1">
      <c r="A29" s="176">
        <v>45744</v>
      </c>
      <c r="B29" s="178" t="s">
        <v>485</v>
      </c>
      <c r="C29" s="183">
        <v>1198213</v>
      </c>
      <c r="D29" s="183">
        <v>181839</v>
      </c>
      <c r="E29" s="183">
        <f t="shared" si="0"/>
        <v>1016374</v>
      </c>
      <c r="F29" s="183">
        <v>0</v>
      </c>
      <c r="G29" s="183">
        <v>0</v>
      </c>
      <c r="H29" s="184">
        <f t="shared" si="1"/>
        <v>598198</v>
      </c>
      <c r="I29" s="71"/>
      <c r="J29" s="665" t="s">
        <v>690</v>
      </c>
      <c r="K29" s="665"/>
      <c r="L29" s="665"/>
      <c r="M29" s="665"/>
      <c r="N29" s="665"/>
      <c r="O29" s="658" t="s">
        <v>667</v>
      </c>
      <c r="P29" s="658"/>
      <c r="Q29" s="657"/>
      <c r="R29" s="232"/>
    </row>
    <row r="30" spans="1:18" ht="30.9" customHeight="1" thickTop="1" thickBot="1">
      <c r="A30" s="176">
        <v>45745</v>
      </c>
      <c r="B30" s="178" t="s">
        <v>486</v>
      </c>
      <c r="C30" s="183">
        <v>1101902</v>
      </c>
      <c r="D30" s="183">
        <v>374923</v>
      </c>
      <c r="E30" s="183">
        <f t="shared" si="0"/>
        <v>726979</v>
      </c>
      <c r="F30" s="183">
        <v>0</v>
      </c>
      <c r="G30" s="183">
        <v>0</v>
      </c>
      <c r="H30" s="184">
        <f t="shared" si="1"/>
        <v>1325177</v>
      </c>
      <c r="I30" s="71"/>
      <c r="J30" s="670" t="s">
        <v>700</v>
      </c>
      <c r="K30" s="670"/>
      <c r="L30" s="670"/>
      <c r="M30" s="670"/>
      <c r="N30" s="670"/>
      <c r="O30" s="268"/>
      <c r="P30" s="656"/>
      <c r="Q30" s="657"/>
      <c r="R30" s="232"/>
    </row>
    <row r="31" spans="1:18" ht="30.9" customHeight="1" thickTop="1" thickBot="1">
      <c r="A31" s="176">
        <v>45746</v>
      </c>
      <c r="B31" s="178" t="s">
        <v>487</v>
      </c>
      <c r="C31" s="183">
        <v>457153</v>
      </c>
      <c r="D31" s="183">
        <v>311456</v>
      </c>
      <c r="E31" s="183">
        <f t="shared" si="0"/>
        <v>145697</v>
      </c>
      <c r="F31" s="183">
        <v>0</v>
      </c>
      <c r="G31" s="183">
        <v>0</v>
      </c>
      <c r="H31" s="184">
        <f>H30+E31+F31</f>
        <v>1470874</v>
      </c>
      <c r="I31" s="71"/>
      <c r="J31" s="665"/>
      <c r="K31" s="665"/>
      <c r="L31" s="665"/>
      <c r="M31" s="665"/>
      <c r="N31" s="665"/>
      <c r="O31" s="269"/>
      <c r="P31" s="659"/>
      <c r="Q31" s="660"/>
      <c r="R31" s="232"/>
    </row>
    <row r="32" spans="1:18" ht="30.9" customHeight="1" thickTop="1" thickBot="1">
      <c r="A32" s="176">
        <v>45747</v>
      </c>
      <c r="B32" s="177" t="s">
        <v>488</v>
      </c>
      <c r="C32" s="183">
        <v>0</v>
      </c>
      <c r="D32" s="183">
        <v>192000</v>
      </c>
      <c r="E32" s="183">
        <f t="shared" si="0"/>
        <v>-192000</v>
      </c>
      <c r="F32" s="183"/>
      <c r="G32" s="183">
        <v>0</v>
      </c>
      <c r="H32" s="184">
        <f t="shared" si="1"/>
        <v>1278874</v>
      </c>
      <c r="I32" s="71"/>
      <c r="J32" s="665"/>
      <c r="K32" s="665"/>
      <c r="L32" s="665"/>
      <c r="M32" s="665"/>
      <c r="N32" s="665"/>
      <c r="O32" s="269"/>
      <c r="P32" s="659"/>
      <c r="Q32" s="660"/>
      <c r="R32" s="232"/>
    </row>
    <row r="33" spans="1:17" ht="30.9" customHeight="1" thickTop="1">
      <c r="A33" s="264"/>
      <c r="B33" s="265"/>
      <c r="C33" s="183"/>
      <c r="D33" s="183"/>
      <c r="E33" s="183"/>
      <c r="F33" s="183"/>
      <c r="G33" s="183">
        <v>0</v>
      </c>
      <c r="H33" s="184">
        <f t="shared" si="1"/>
        <v>1278874</v>
      </c>
      <c r="I33" s="71"/>
      <c r="J33" s="665"/>
      <c r="K33" s="665"/>
      <c r="L33" s="665"/>
      <c r="M33" s="665"/>
      <c r="N33" s="665"/>
      <c r="P33" s="81"/>
      <c r="Q33" s="81"/>
    </row>
    <row r="34" spans="1:17" ht="45" customHeight="1">
      <c r="A34" s="476" t="s">
        <v>247</v>
      </c>
      <c r="B34" s="477"/>
      <c r="C34" s="145">
        <f>SUM(C2:C33)</f>
        <v>20173970</v>
      </c>
      <c r="D34" s="145">
        <f>SUM(D2:D33)</f>
        <v>18877991</v>
      </c>
      <c r="E34" s="145">
        <f>SUM(E2:E33)</f>
        <v>1295979</v>
      </c>
      <c r="F34" s="145">
        <f>SUM(F2:F33)</f>
        <v>-17105</v>
      </c>
      <c r="G34" s="145">
        <f>SUM(G2:G33)</f>
        <v>0</v>
      </c>
      <c r="H34" s="145">
        <f>C34-D34+G34</f>
        <v>1295979</v>
      </c>
    </row>
    <row r="35" spans="1:17">
      <c r="A35" s="69"/>
    </row>
    <row r="36" spans="1:17">
      <c r="A36" s="69"/>
    </row>
    <row r="37" spans="1:17">
      <c r="A37" s="69"/>
    </row>
    <row r="38" spans="1:17">
      <c r="A38" s="69"/>
    </row>
    <row r="39" spans="1:17">
      <c r="A39" s="69"/>
    </row>
    <row r="40" spans="1:17" ht="21" customHeight="1">
      <c r="A40" s="69"/>
    </row>
    <row r="41" spans="1:17" ht="23.1" customHeight="1">
      <c r="A41" s="69"/>
    </row>
    <row r="42" spans="1:17">
      <c r="A42" s="69"/>
    </row>
    <row r="43" spans="1:17" ht="29.1" customHeight="1">
      <c r="A43" s="69"/>
    </row>
    <row r="44" spans="1:17" ht="15" customHeight="1">
      <c r="A44" s="69"/>
    </row>
    <row r="45" spans="1:17">
      <c r="A45" s="69"/>
    </row>
    <row r="46" spans="1:17">
      <c r="A46" s="69"/>
    </row>
    <row r="47" spans="1:17">
      <c r="A47" s="69"/>
    </row>
    <row r="48" spans="1:17">
      <c r="A48" s="69"/>
    </row>
    <row r="49" spans="1:1">
      <c r="A49" s="69"/>
    </row>
    <row r="50" spans="1:1">
      <c r="A50" s="69"/>
    </row>
    <row r="51" spans="1:1" ht="18.899999999999999" customHeight="1">
      <c r="A51" s="69"/>
    </row>
  </sheetData>
  <mergeCells count="55">
    <mergeCell ref="M3:N3"/>
    <mergeCell ref="A1:B1"/>
    <mergeCell ref="I1:N1"/>
    <mergeCell ref="O1:R1"/>
    <mergeCell ref="I2:N2"/>
    <mergeCell ref="O2:R2"/>
    <mergeCell ref="O11:R11"/>
    <mergeCell ref="I4:I5"/>
    <mergeCell ref="M4:N4"/>
    <mergeCell ref="M5:N5"/>
    <mergeCell ref="O5:R5"/>
    <mergeCell ref="I6:N6"/>
    <mergeCell ref="O6:P6"/>
    <mergeCell ref="Q6:R6"/>
    <mergeCell ref="M7:N7"/>
    <mergeCell ref="M8:N8"/>
    <mergeCell ref="J9:N9"/>
    <mergeCell ref="I10:N10"/>
    <mergeCell ref="I11:N11"/>
    <mergeCell ref="O12:Q12"/>
    <mergeCell ref="O13:P14"/>
    <mergeCell ref="I14:N14"/>
    <mergeCell ref="O15:O16"/>
    <mergeCell ref="P15:Q15"/>
    <mergeCell ref="I16:K16"/>
    <mergeCell ref="L16:N16"/>
    <mergeCell ref="P16:Q16"/>
    <mergeCell ref="J26:N26"/>
    <mergeCell ref="P26:Q26"/>
    <mergeCell ref="I17:N17"/>
    <mergeCell ref="P17:Q17"/>
    <mergeCell ref="O18:Q18"/>
    <mergeCell ref="O19:Q19"/>
    <mergeCell ref="O20:Q20"/>
    <mergeCell ref="I21:N21"/>
    <mergeCell ref="O21:Q21"/>
    <mergeCell ref="O22:R22"/>
    <mergeCell ref="O23:R23"/>
    <mergeCell ref="O24:Q24"/>
    <mergeCell ref="I25:N25"/>
    <mergeCell ref="P25:Q25"/>
    <mergeCell ref="J27:N27"/>
    <mergeCell ref="P27:Q27"/>
    <mergeCell ref="J28:N28"/>
    <mergeCell ref="P28:Q28"/>
    <mergeCell ref="J29:N29"/>
    <mergeCell ref="O29:Q29"/>
    <mergeCell ref="J33:N33"/>
    <mergeCell ref="A34:B34"/>
    <mergeCell ref="J30:N30"/>
    <mergeCell ref="P30:Q30"/>
    <mergeCell ref="J31:N31"/>
    <mergeCell ref="P31:Q31"/>
    <mergeCell ref="J32:N32"/>
    <mergeCell ref="P32:Q32"/>
  </mergeCells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199F4-D693-4B40-ADB3-9BB261294339}">
  <dimension ref="A1:R51"/>
  <sheetViews>
    <sheetView zoomScaleNormal="100" workbookViewId="0">
      <selection activeCell="C26" sqref="C26"/>
    </sheetView>
  </sheetViews>
  <sheetFormatPr defaultColWidth="10.6328125" defaultRowHeight="18"/>
  <cols>
    <col min="1" max="1" width="5.90625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8" style="69" customWidth="1"/>
    <col min="7" max="7" width="7.90625" style="69" customWidth="1"/>
    <col min="8" max="8" width="12.453125" style="69" customWidth="1"/>
    <col min="9" max="14" width="11.453125" style="69" customWidth="1"/>
    <col min="15" max="16" width="7" style="69" customWidth="1"/>
    <col min="17" max="17" width="11.453125" style="69" customWidth="1"/>
    <col min="18" max="18" width="21" style="69" customWidth="1"/>
    <col min="19" max="16384" width="10.6328125" style="69"/>
  </cols>
  <sheetData>
    <row r="1" spans="1:18" ht="24" customHeight="1" thickTop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133" t="s">
        <v>463</v>
      </c>
      <c r="H1" s="220" t="s">
        <v>464</v>
      </c>
      <c r="I1" s="671" t="s">
        <v>696</v>
      </c>
      <c r="J1" s="671"/>
      <c r="K1" s="671"/>
      <c r="L1" s="671"/>
      <c r="M1" s="671"/>
      <c r="N1" s="671"/>
      <c r="O1" s="631" t="s">
        <v>642</v>
      </c>
      <c r="P1" s="632"/>
      <c r="Q1" s="632"/>
      <c r="R1" s="632"/>
    </row>
    <row r="2" spans="1:18" ht="30.9" customHeight="1" thickTop="1" thickBot="1">
      <c r="A2" s="176">
        <v>45748</v>
      </c>
      <c r="B2" s="177" t="s">
        <v>489</v>
      </c>
      <c r="C2" s="183">
        <v>505411</v>
      </c>
      <c r="D2" s="183">
        <v>806309</v>
      </c>
      <c r="E2" s="183">
        <f>C2-D2</f>
        <v>-300898</v>
      </c>
      <c r="F2" s="183">
        <v>-50</v>
      </c>
      <c r="G2" s="183">
        <v>0</v>
      </c>
      <c r="H2" s="221">
        <f>E2+F2</f>
        <v>-300948</v>
      </c>
      <c r="I2" s="630" t="s">
        <v>249</v>
      </c>
      <c r="J2" s="630"/>
      <c r="K2" s="630"/>
      <c r="L2" s="630"/>
      <c r="M2" s="630"/>
      <c r="N2" s="630"/>
      <c r="O2" s="627" t="s">
        <v>638</v>
      </c>
      <c r="P2" s="628"/>
      <c r="Q2" s="628"/>
      <c r="R2" s="628"/>
    </row>
    <row r="3" spans="1:18" ht="30.9" customHeight="1" thickTop="1" thickBot="1">
      <c r="A3" s="176">
        <v>45749</v>
      </c>
      <c r="B3" s="177" t="s">
        <v>490</v>
      </c>
      <c r="C3" s="183">
        <v>515981</v>
      </c>
      <c r="D3" s="183">
        <v>545390</v>
      </c>
      <c r="E3" s="183">
        <f t="shared" ref="E3:E32" si="0">C3-D3</f>
        <v>-29409</v>
      </c>
      <c r="F3" s="183">
        <v>-125</v>
      </c>
      <c r="G3" s="183">
        <v>0</v>
      </c>
      <c r="H3" s="221">
        <f>H2+E3+F3</f>
        <v>-330482</v>
      </c>
      <c r="I3" s="223" t="s">
        <v>247</v>
      </c>
      <c r="J3" s="222" t="s">
        <v>251</v>
      </c>
      <c r="K3" s="222" t="s">
        <v>252</v>
      </c>
      <c r="L3" s="222" t="s">
        <v>449</v>
      </c>
      <c r="M3" s="630" t="s">
        <v>415</v>
      </c>
      <c r="N3" s="630"/>
      <c r="O3" s="246"/>
      <c r="P3" s="247"/>
      <c r="Q3" s="247"/>
      <c r="R3" s="247"/>
    </row>
    <row r="4" spans="1:18" ht="30.9" customHeight="1" thickTop="1" thickBot="1">
      <c r="A4" s="176">
        <v>45750</v>
      </c>
      <c r="B4" s="177" t="s">
        <v>491</v>
      </c>
      <c r="C4" s="183">
        <v>380785</v>
      </c>
      <c r="D4" s="183">
        <v>619542</v>
      </c>
      <c r="E4" s="183">
        <f t="shared" si="0"/>
        <v>-238757</v>
      </c>
      <c r="F4" s="183">
        <v>0</v>
      </c>
      <c r="G4" s="183">
        <v>0</v>
      </c>
      <c r="H4" s="221">
        <f t="shared" ref="H4:H33" si="1">H3+E4+F4</f>
        <v>-569239</v>
      </c>
      <c r="I4" s="635">
        <f>C34</f>
        <v>18224357</v>
      </c>
      <c r="J4" s="224">
        <f>G34</f>
        <v>0</v>
      </c>
      <c r="K4" s="224">
        <v>0</v>
      </c>
      <c r="L4" s="224">
        <f>F34</f>
        <v>-5045</v>
      </c>
      <c r="M4" s="636">
        <v>18286</v>
      </c>
      <c r="N4" s="636"/>
      <c r="O4" s="249"/>
      <c r="P4" s="250"/>
      <c r="Q4" s="250"/>
      <c r="R4" s="250"/>
    </row>
    <row r="5" spans="1:18" ht="30.9" customHeight="1" thickTop="1" thickBot="1">
      <c r="A5" s="176">
        <v>45751</v>
      </c>
      <c r="B5" s="178" t="s">
        <v>485</v>
      </c>
      <c r="C5" s="183">
        <v>1121371</v>
      </c>
      <c r="D5" s="183">
        <v>157218</v>
      </c>
      <c r="E5" s="183">
        <f t="shared" si="0"/>
        <v>964153</v>
      </c>
      <c r="F5" s="183">
        <v>-254</v>
      </c>
      <c r="G5" s="183">
        <v>0</v>
      </c>
      <c r="H5" s="221">
        <f t="shared" si="1"/>
        <v>394660</v>
      </c>
      <c r="I5" s="635"/>
      <c r="J5" s="225">
        <f>J4/I4</f>
        <v>0</v>
      </c>
      <c r="K5" s="225">
        <f>K4/I4</f>
        <v>0</v>
      </c>
      <c r="L5" s="226">
        <f>L4/I4</f>
        <v>-2.7682732510123678E-4</v>
      </c>
      <c r="M5" s="637">
        <f>M4/I4</f>
        <v>1.0033824512985562E-3</v>
      </c>
      <c r="N5" s="637"/>
      <c r="O5" s="654" t="s">
        <v>639</v>
      </c>
      <c r="P5" s="655"/>
      <c r="Q5" s="655"/>
      <c r="R5" s="655"/>
    </row>
    <row r="6" spans="1:18" ht="30.9" customHeight="1" thickTop="1" thickBot="1">
      <c r="A6" s="176">
        <v>45752</v>
      </c>
      <c r="B6" s="178" t="s">
        <v>486</v>
      </c>
      <c r="C6" s="183">
        <v>705671</v>
      </c>
      <c r="D6" s="183">
        <v>321097</v>
      </c>
      <c r="E6" s="183">
        <f t="shared" si="0"/>
        <v>384574</v>
      </c>
      <c r="F6" s="183">
        <v>0</v>
      </c>
      <c r="G6" s="183">
        <v>0</v>
      </c>
      <c r="H6" s="221">
        <f t="shared" si="1"/>
        <v>779234</v>
      </c>
      <c r="I6" s="630" t="s">
        <v>250</v>
      </c>
      <c r="J6" s="630"/>
      <c r="K6" s="630"/>
      <c r="L6" s="630"/>
      <c r="M6" s="630"/>
      <c r="N6" s="630"/>
      <c r="O6" s="630" t="s">
        <v>231</v>
      </c>
      <c r="P6" s="630"/>
      <c r="Q6" s="490"/>
      <c r="R6" s="490"/>
    </row>
    <row r="7" spans="1:18" ht="30.9" customHeight="1" thickTop="1" thickBot="1">
      <c r="A7" s="176">
        <v>45753</v>
      </c>
      <c r="B7" s="178" t="s">
        <v>487</v>
      </c>
      <c r="C7" s="183">
        <v>399400</v>
      </c>
      <c r="D7" s="183">
        <v>1142284</v>
      </c>
      <c r="E7" s="183">
        <f t="shared" si="0"/>
        <v>-742884</v>
      </c>
      <c r="F7" s="183">
        <v>-5</v>
      </c>
      <c r="G7" s="183">
        <v>0</v>
      </c>
      <c r="H7" s="221">
        <f t="shared" si="1"/>
        <v>36345</v>
      </c>
      <c r="I7" s="222" t="s">
        <v>241</v>
      </c>
      <c r="J7" s="222" t="s">
        <v>253</v>
      </c>
      <c r="K7" s="227" t="s">
        <v>624</v>
      </c>
      <c r="L7" s="222"/>
      <c r="M7" s="638" t="s">
        <v>247</v>
      </c>
      <c r="N7" s="638"/>
      <c r="O7" s="242" t="s">
        <v>640</v>
      </c>
      <c r="P7" s="243">
        <v>300000</v>
      </c>
    </row>
    <row r="8" spans="1:18" ht="30.9" customHeight="1" thickTop="1" thickBot="1">
      <c r="A8" s="176">
        <v>45754</v>
      </c>
      <c r="B8" s="177" t="s">
        <v>488</v>
      </c>
      <c r="C8" s="183">
        <v>404577</v>
      </c>
      <c r="D8" s="183">
        <v>625513</v>
      </c>
      <c r="E8" s="183">
        <f t="shared" si="0"/>
        <v>-220936</v>
      </c>
      <c r="F8" s="183">
        <v>-54</v>
      </c>
      <c r="G8" s="183">
        <v>0</v>
      </c>
      <c r="H8" s="221">
        <f t="shared" si="1"/>
        <v>-184645</v>
      </c>
      <c r="I8" s="228">
        <f>D34</f>
        <v>16179744</v>
      </c>
      <c r="J8" s="229">
        <f>L16</f>
        <v>940600</v>
      </c>
      <c r="K8" s="230">
        <f>N19</f>
        <v>125780</v>
      </c>
      <c r="L8" s="229"/>
      <c r="M8" s="639">
        <f>SUM(I8:L8)</f>
        <v>17246124</v>
      </c>
      <c r="N8" s="639"/>
      <c r="O8" s="242" t="s">
        <v>641</v>
      </c>
      <c r="P8" s="243">
        <v>55000</v>
      </c>
    </row>
    <row r="9" spans="1:18" ht="30.9" customHeight="1" thickTop="1" thickBot="1">
      <c r="A9" s="176">
        <v>45755</v>
      </c>
      <c r="B9" s="177" t="s">
        <v>489</v>
      </c>
      <c r="C9" s="183">
        <v>339941</v>
      </c>
      <c r="D9" s="183">
        <v>198938</v>
      </c>
      <c r="E9" s="183">
        <f t="shared" si="0"/>
        <v>141003</v>
      </c>
      <c r="F9" s="183">
        <v>-120</v>
      </c>
      <c r="G9" s="183">
        <v>0</v>
      </c>
      <c r="H9" s="221">
        <f t="shared" si="1"/>
        <v>-43762</v>
      </c>
      <c r="I9" s="231" t="s">
        <v>266</v>
      </c>
      <c r="J9" s="623">
        <f>I4-M8-M4+L4</f>
        <v>954902</v>
      </c>
      <c r="K9" s="623"/>
      <c r="L9" s="623"/>
      <c r="M9" s="623"/>
      <c r="N9" s="623"/>
      <c r="O9" s="241" t="s">
        <v>495</v>
      </c>
      <c r="P9" s="243">
        <v>35000</v>
      </c>
    </row>
    <row r="10" spans="1:18" ht="30.9" customHeight="1" thickTop="1" thickBot="1">
      <c r="A10" s="176">
        <v>45756</v>
      </c>
      <c r="B10" s="177" t="s">
        <v>490</v>
      </c>
      <c r="C10" s="183">
        <v>308253</v>
      </c>
      <c r="D10" s="183">
        <v>134450</v>
      </c>
      <c r="E10" s="183">
        <f t="shared" si="0"/>
        <v>173803</v>
      </c>
      <c r="F10" s="183">
        <v>-77</v>
      </c>
      <c r="G10" s="183">
        <v>0</v>
      </c>
      <c r="H10" s="221">
        <f t="shared" si="1"/>
        <v>129964</v>
      </c>
      <c r="I10" s="640" t="s">
        <v>257</v>
      </c>
      <c r="J10" s="640"/>
      <c r="K10" s="640"/>
      <c r="L10" s="640"/>
      <c r="M10" s="640"/>
      <c r="N10" s="640"/>
      <c r="O10" s="244" t="s">
        <v>73</v>
      </c>
      <c r="P10" s="245">
        <f>SUM(P7:P9)</f>
        <v>390000</v>
      </c>
      <c r="Q10" s="252"/>
      <c r="R10" s="252"/>
    </row>
    <row r="11" spans="1:18" ht="30.9" customHeight="1" thickTop="1" thickBot="1">
      <c r="A11" s="176">
        <v>45757</v>
      </c>
      <c r="B11" s="177" t="s">
        <v>491</v>
      </c>
      <c r="C11" s="183">
        <v>830174</v>
      </c>
      <c r="D11" s="183">
        <v>818617</v>
      </c>
      <c r="E11" s="183">
        <f t="shared" si="0"/>
        <v>11557</v>
      </c>
      <c r="F11" s="183">
        <v>0</v>
      </c>
      <c r="G11" s="183">
        <v>0</v>
      </c>
      <c r="H11" s="221">
        <f>H10+E11+F11</f>
        <v>141521</v>
      </c>
      <c r="I11" s="634" t="s">
        <v>477</v>
      </c>
      <c r="J11" s="634"/>
      <c r="K11" s="634"/>
      <c r="L11" s="634"/>
      <c r="M11" s="634"/>
      <c r="N11" s="651"/>
      <c r="O11" s="647" t="s">
        <v>643</v>
      </c>
      <c r="P11" s="647"/>
      <c r="Q11" s="647"/>
      <c r="R11" s="647"/>
    </row>
    <row r="12" spans="1:18" ht="30.9" customHeight="1" thickTop="1" thickBot="1">
      <c r="A12" s="176">
        <v>45758</v>
      </c>
      <c r="B12" s="178" t="s">
        <v>485</v>
      </c>
      <c r="C12" s="183">
        <v>1034356</v>
      </c>
      <c r="D12" s="183">
        <v>576233</v>
      </c>
      <c r="E12" s="183">
        <f t="shared" si="0"/>
        <v>458123</v>
      </c>
      <c r="F12" s="183">
        <v>-654</v>
      </c>
      <c r="G12" s="183">
        <v>0</v>
      </c>
      <c r="H12" s="221">
        <f t="shared" si="1"/>
        <v>598990</v>
      </c>
      <c r="I12" s="232" t="s">
        <v>478</v>
      </c>
      <c r="J12" s="229" t="s">
        <v>479</v>
      </c>
      <c r="K12" s="229" t="s">
        <v>480</v>
      </c>
      <c r="L12" s="229" t="s">
        <v>455</v>
      </c>
      <c r="M12" s="229" t="s">
        <v>468</v>
      </c>
      <c r="N12" s="258" t="s">
        <v>230</v>
      </c>
      <c r="O12" s="650" t="s">
        <v>644</v>
      </c>
      <c r="P12" s="650"/>
      <c r="Q12" s="650"/>
      <c r="R12" s="229">
        <v>0</v>
      </c>
    </row>
    <row r="13" spans="1:18" ht="30.9" customHeight="1" thickTop="1" thickBot="1">
      <c r="A13" s="176">
        <v>45759</v>
      </c>
      <c r="B13" s="178" t="s">
        <v>486</v>
      </c>
      <c r="C13" s="183">
        <v>1023704</v>
      </c>
      <c r="D13" s="183">
        <v>637424</v>
      </c>
      <c r="E13" s="183">
        <f t="shared" si="0"/>
        <v>386280</v>
      </c>
      <c r="F13" s="183">
        <v>0</v>
      </c>
      <c r="G13" s="183">
        <v>0</v>
      </c>
      <c r="H13" s="221">
        <f t="shared" si="1"/>
        <v>985270</v>
      </c>
      <c r="I13" s="233">
        <f>P7</f>
        <v>300000</v>
      </c>
      <c r="J13" s="229">
        <v>55000</v>
      </c>
      <c r="K13" s="229">
        <v>130000</v>
      </c>
      <c r="L13" s="229">
        <f>87*1100</f>
        <v>95700</v>
      </c>
      <c r="M13" s="229">
        <f>66*1100</f>
        <v>72600</v>
      </c>
      <c r="N13" s="229">
        <v>95000</v>
      </c>
      <c r="O13" s="650" t="s">
        <v>645</v>
      </c>
      <c r="P13" s="650"/>
      <c r="Q13" s="261" t="s">
        <v>646</v>
      </c>
      <c r="R13" s="229">
        <v>0</v>
      </c>
    </row>
    <row r="14" spans="1:18" ht="30.9" customHeight="1" thickTop="1" thickBot="1">
      <c r="A14" s="176">
        <v>45760</v>
      </c>
      <c r="B14" s="178" t="s">
        <v>487</v>
      </c>
      <c r="C14" s="183">
        <v>502458</v>
      </c>
      <c r="D14" s="183">
        <v>336124</v>
      </c>
      <c r="E14" s="183">
        <f t="shared" si="0"/>
        <v>166334</v>
      </c>
      <c r="F14" s="183">
        <v>-74</v>
      </c>
      <c r="G14" s="183">
        <v>0</v>
      </c>
      <c r="H14" s="221">
        <f t="shared" si="1"/>
        <v>1151530</v>
      </c>
      <c r="I14" s="634"/>
      <c r="J14" s="634"/>
      <c r="K14" s="634"/>
      <c r="L14" s="634"/>
      <c r="M14" s="634"/>
      <c r="N14" s="651"/>
      <c r="O14" s="650"/>
      <c r="P14" s="650"/>
      <c r="Q14" s="261" t="s">
        <v>647</v>
      </c>
      <c r="R14" s="232">
        <v>0</v>
      </c>
    </row>
    <row r="15" spans="1:18" ht="30.9" customHeight="1" thickTop="1" thickBot="1">
      <c r="A15" s="176">
        <v>45761</v>
      </c>
      <c r="B15" s="177" t="s">
        <v>488</v>
      </c>
      <c r="C15" s="183">
        <v>459089</v>
      </c>
      <c r="D15" s="183">
        <v>743371</v>
      </c>
      <c r="E15" s="183">
        <f t="shared" si="0"/>
        <v>-284282</v>
      </c>
      <c r="F15" s="183">
        <v>-45</v>
      </c>
      <c r="G15" s="183">
        <v>0</v>
      </c>
      <c r="H15" s="221">
        <f t="shared" si="1"/>
        <v>867203</v>
      </c>
      <c r="I15" s="234">
        <v>0</v>
      </c>
      <c r="J15" s="234"/>
      <c r="K15" s="234"/>
      <c r="L15" s="234"/>
      <c r="M15" s="267" t="s">
        <v>670</v>
      </c>
      <c r="N15" s="266">
        <f>93*1100</f>
        <v>102300</v>
      </c>
      <c r="O15" s="650" t="s">
        <v>648</v>
      </c>
      <c r="P15" s="650" t="s">
        <v>649</v>
      </c>
      <c r="Q15" s="650"/>
      <c r="R15" s="229">
        <v>0</v>
      </c>
    </row>
    <row r="16" spans="1:18" ht="30.9" customHeight="1" thickTop="1" thickBot="1">
      <c r="A16" s="176">
        <v>45762</v>
      </c>
      <c r="B16" s="177" t="s">
        <v>489</v>
      </c>
      <c r="C16" s="183">
        <v>720043</v>
      </c>
      <c r="D16" s="183">
        <v>540190</v>
      </c>
      <c r="E16" s="183">
        <f t="shared" si="0"/>
        <v>179853</v>
      </c>
      <c r="F16" s="183">
        <v>0</v>
      </c>
      <c r="G16" s="183">
        <v>0</v>
      </c>
      <c r="H16" s="221">
        <f t="shared" si="1"/>
        <v>1047056</v>
      </c>
      <c r="I16" s="641" t="s">
        <v>247</v>
      </c>
      <c r="J16" s="641"/>
      <c r="K16" s="641"/>
      <c r="L16" s="642">
        <f>J13+K13+L13+M13+N13+N15+P10</f>
        <v>940600</v>
      </c>
      <c r="M16" s="642"/>
      <c r="N16" s="648"/>
      <c r="O16" s="650"/>
      <c r="P16" s="650" t="s">
        <v>650</v>
      </c>
      <c r="Q16" s="650"/>
      <c r="R16" s="229">
        <v>0</v>
      </c>
    </row>
    <row r="17" spans="1:18" ht="30.9" customHeight="1" thickTop="1" thickBot="1">
      <c r="A17" s="176">
        <v>45763</v>
      </c>
      <c r="B17" s="177" t="s">
        <v>490</v>
      </c>
      <c r="C17" s="183">
        <v>565199</v>
      </c>
      <c r="D17" s="183">
        <v>727756</v>
      </c>
      <c r="E17" s="183">
        <f t="shared" si="0"/>
        <v>-162557</v>
      </c>
      <c r="F17" s="183">
        <v>-741</v>
      </c>
      <c r="G17" s="183">
        <v>0</v>
      </c>
      <c r="H17" s="221">
        <f t="shared" si="1"/>
        <v>883758</v>
      </c>
      <c r="I17" s="643" t="s">
        <v>482</v>
      </c>
      <c r="J17" s="643"/>
      <c r="K17" s="643"/>
      <c r="L17" s="643"/>
      <c r="M17" s="643"/>
      <c r="N17" s="649"/>
      <c r="O17" s="261" t="s">
        <v>651</v>
      </c>
      <c r="P17" s="650" t="s">
        <v>652</v>
      </c>
      <c r="Q17" s="650"/>
      <c r="R17" s="229">
        <v>0</v>
      </c>
    </row>
    <row r="18" spans="1:18" ht="30.9" customHeight="1" thickTop="1" thickBot="1">
      <c r="A18" s="176">
        <v>45764</v>
      </c>
      <c r="B18" s="177" t="s">
        <v>491</v>
      </c>
      <c r="C18" s="183">
        <v>490528</v>
      </c>
      <c r="D18" s="183">
        <v>166730</v>
      </c>
      <c r="E18" s="183">
        <f t="shared" si="0"/>
        <v>323798</v>
      </c>
      <c r="F18" s="183">
        <v>-541</v>
      </c>
      <c r="G18" s="183">
        <v>0</v>
      </c>
      <c r="H18" s="221">
        <f t="shared" si="1"/>
        <v>1207015</v>
      </c>
      <c r="I18" s="222"/>
      <c r="J18" s="235"/>
      <c r="K18" s="222"/>
      <c r="L18" s="222"/>
      <c r="M18" s="236" t="s">
        <v>498</v>
      </c>
      <c r="N18" s="256" t="s">
        <v>247</v>
      </c>
      <c r="O18" s="650" t="s">
        <v>697</v>
      </c>
      <c r="P18" s="650"/>
      <c r="Q18" s="650"/>
      <c r="R18" s="229">
        <v>0</v>
      </c>
    </row>
    <row r="19" spans="1:18" ht="30.9" customHeight="1" thickTop="1" thickBot="1">
      <c r="A19" s="176">
        <v>45765</v>
      </c>
      <c r="B19" s="178" t="s">
        <v>485</v>
      </c>
      <c r="C19" s="183">
        <v>777832</v>
      </c>
      <c r="D19" s="183">
        <v>352963</v>
      </c>
      <c r="E19" s="183">
        <f t="shared" si="0"/>
        <v>424869</v>
      </c>
      <c r="F19" s="183">
        <v>-1254</v>
      </c>
      <c r="G19" s="183">
        <v>0</v>
      </c>
      <c r="H19" s="221">
        <f t="shared" si="1"/>
        <v>1630630</v>
      </c>
      <c r="I19" s="237"/>
      <c r="J19" s="237"/>
      <c r="K19" s="237"/>
      <c r="L19" s="237"/>
      <c r="M19" s="238">
        <f>N23</f>
        <v>125780</v>
      </c>
      <c r="N19" s="257">
        <f>SUM(I19:M19)</f>
        <v>125780</v>
      </c>
      <c r="O19" s="652" t="s">
        <v>654</v>
      </c>
      <c r="P19" s="652"/>
      <c r="Q19" s="652"/>
      <c r="R19" s="229">
        <v>6524462</v>
      </c>
    </row>
    <row r="20" spans="1:18" ht="30.9" customHeight="1" thickTop="1" thickBot="1">
      <c r="A20" s="176">
        <v>45766</v>
      </c>
      <c r="B20" s="178" t="s">
        <v>486</v>
      </c>
      <c r="C20" s="183">
        <v>887728</v>
      </c>
      <c r="D20" s="183">
        <v>916184</v>
      </c>
      <c r="E20" s="183">
        <f t="shared" si="0"/>
        <v>-28456</v>
      </c>
      <c r="F20" s="183">
        <v>0</v>
      </c>
      <c r="G20" s="183">
        <v>0</v>
      </c>
      <c r="H20" s="221">
        <f t="shared" si="1"/>
        <v>1602174</v>
      </c>
      <c r="I20" s="232"/>
      <c r="J20" s="232"/>
      <c r="K20" s="232"/>
      <c r="L20" s="232"/>
      <c r="M20" s="232"/>
      <c r="N20" s="232"/>
      <c r="O20" s="652" t="s">
        <v>655</v>
      </c>
      <c r="P20" s="652"/>
      <c r="Q20" s="652"/>
      <c r="R20" s="229">
        <v>6000000</v>
      </c>
    </row>
    <row r="21" spans="1:18" ht="30.9" customHeight="1" thickTop="1" thickBot="1">
      <c r="A21" s="176">
        <v>45767</v>
      </c>
      <c r="B21" s="178" t="s">
        <v>487</v>
      </c>
      <c r="C21" s="183">
        <v>389181</v>
      </c>
      <c r="D21" s="183">
        <v>510295</v>
      </c>
      <c r="E21" s="183">
        <f t="shared" si="0"/>
        <v>-121114</v>
      </c>
      <c r="F21" s="183">
        <v>-11</v>
      </c>
      <c r="G21" s="183">
        <v>0</v>
      </c>
      <c r="H21" s="221">
        <f t="shared" si="1"/>
        <v>1481049</v>
      </c>
      <c r="I21" s="644" t="s">
        <v>497</v>
      </c>
      <c r="J21" s="644"/>
      <c r="K21" s="644"/>
      <c r="L21" s="644"/>
      <c r="M21" s="644"/>
      <c r="N21" s="644"/>
      <c r="O21" s="653" t="s">
        <v>247</v>
      </c>
      <c r="P21" s="653"/>
      <c r="Q21" s="653"/>
      <c r="R21" s="270">
        <f>SUM(R12:R20)</f>
        <v>12524462</v>
      </c>
    </row>
    <row r="22" spans="1:18" ht="30.9" customHeight="1" thickTop="1" thickBot="1">
      <c r="A22" s="176">
        <v>45768</v>
      </c>
      <c r="B22" s="177" t="s">
        <v>488</v>
      </c>
      <c r="C22" s="183">
        <v>380275</v>
      </c>
      <c r="D22" s="183">
        <v>242262</v>
      </c>
      <c r="E22" s="183">
        <f t="shared" si="0"/>
        <v>138013</v>
      </c>
      <c r="F22" s="183">
        <v>0</v>
      </c>
      <c r="G22" s="183">
        <v>0</v>
      </c>
      <c r="H22" s="221">
        <f t="shared" si="1"/>
        <v>1619062</v>
      </c>
      <c r="I22" s="235" t="s">
        <v>625</v>
      </c>
      <c r="J22" s="222" t="s">
        <v>664</v>
      </c>
      <c r="K22" s="222" t="s">
        <v>142</v>
      </c>
      <c r="L22" s="222" t="s">
        <v>638</v>
      </c>
      <c r="M22" s="222" t="s">
        <v>494</v>
      </c>
      <c r="N22" s="254" t="s">
        <v>247</v>
      </c>
      <c r="O22" s="661"/>
      <c r="P22" s="662"/>
      <c r="Q22" s="662"/>
      <c r="R22" s="662"/>
    </row>
    <row r="23" spans="1:18" ht="30.9" customHeight="1" thickTop="1" thickBot="1">
      <c r="A23" s="176">
        <v>45769</v>
      </c>
      <c r="B23" s="177" t="s">
        <v>489</v>
      </c>
      <c r="C23" s="183">
        <v>233850</v>
      </c>
      <c r="D23" s="183">
        <v>190270</v>
      </c>
      <c r="E23" s="183">
        <f t="shared" si="0"/>
        <v>43580</v>
      </c>
      <c r="F23" s="183">
        <v>-85</v>
      </c>
      <c r="G23" s="183">
        <v>0</v>
      </c>
      <c r="H23" s="221">
        <f t="shared" si="1"/>
        <v>1662557</v>
      </c>
      <c r="I23" s="237">
        <v>706</v>
      </c>
      <c r="J23" s="237">
        <v>50000</v>
      </c>
      <c r="K23" s="237">
        <v>0</v>
      </c>
      <c r="L23" s="237">
        <v>33000</v>
      </c>
      <c r="M23" s="237">
        <v>42780</v>
      </c>
      <c r="N23" s="255">
        <f>SUM(J23:M23)</f>
        <v>125780</v>
      </c>
      <c r="O23" s="647" t="s">
        <v>665</v>
      </c>
      <c r="P23" s="647"/>
      <c r="Q23" s="647"/>
      <c r="R23" s="647"/>
    </row>
    <row r="24" spans="1:18" ht="30.9" customHeight="1" thickTop="1" thickBot="1">
      <c r="A24" s="176">
        <v>45770</v>
      </c>
      <c r="B24" s="177" t="s">
        <v>490</v>
      </c>
      <c r="C24" s="183">
        <v>372889</v>
      </c>
      <c r="D24" s="183">
        <v>718572</v>
      </c>
      <c r="E24" s="183">
        <f t="shared" si="0"/>
        <v>-345683</v>
      </c>
      <c r="F24" s="183">
        <v>0</v>
      </c>
      <c r="G24" s="183">
        <v>0</v>
      </c>
      <c r="H24" s="184">
        <f t="shared" si="1"/>
        <v>1316874</v>
      </c>
      <c r="O24" s="656" t="s">
        <v>666</v>
      </c>
      <c r="P24" s="658"/>
      <c r="Q24" s="657"/>
      <c r="R24" s="232"/>
    </row>
    <row r="25" spans="1:18" ht="30.9" customHeight="1" thickTop="1" thickBot="1">
      <c r="A25" s="176">
        <v>45771</v>
      </c>
      <c r="B25" s="177" t="s">
        <v>491</v>
      </c>
      <c r="C25" s="183">
        <v>354516</v>
      </c>
      <c r="D25" s="183">
        <v>182617</v>
      </c>
      <c r="E25" s="183">
        <f t="shared" si="0"/>
        <v>171899</v>
      </c>
      <c r="F25" s="183">
        <v>-455</v>
      </c>
      <c r="G25" s="183">
        <v>0</v>
      </c>
      <c r="H25" s="184">
        <f t="shared" si="1"/>
        <v>1488318</v>
      </c>
      <c r="I25" s="664" t="s">
        <v>672</v>
      </c>
      <c r="J25" s="664"/>
      <c r="K25" s="664"/>
      <c r="L25" s="664"/>
      <c r="M25" s="664"/>
      <c r="N25" s="664"/>
      <c r="O25" s="268"/>
      <c r="P25" s="656"/>
      <c r="Q25" s="657"/>
      <c r="R25" s="232"/>
    </row>
    <row r="26" spans="1:18" ht="30.9" customHeight="1" thickTop="1" thickBot="1">
      <c r="A26" s="176">
        <v>45772</v>
      </c>
      <c r="B26" s="178" t="s">
        <v>485</v>
      </c>
      <c r="C26" s="183">
        <v>1503777</v>
      </c>
      <c r="D26" s="183">
        <v>297677</v>
      </c>
      <c r="E26" s="183">
        <f t="shared" si="0"/>
        <v>1206100</v>
      </c>
      <c r="F26" s="183">
        <v>0</v>
      </c>
      <c r="G26" s="183">
        <v>0</v>
      </c>
      <c r="H26" s="184">
        <f t="shared" si="1"/>
        <v>2694418</v>
      </c>
      <c r="I26" s="280"/>
      <c r="J26" s="665" t="s">
        <v>699</v>
      </c>
      <c r="K26" s="665"/>
      <c r="L26" s="665"/>
      <c r="M26" s="665"/>
      <c r="N26" s="665"/>
      <c r="O26" s="268"/>
      <c r="P26" s="656"/>
      <c r="Q26" s="657"/>
      <c r="R26" s="232"/>
    </row>
    <row r="27" spans="1:18" ht="30.9" customHeight="1" thickTop="1" thickBot="1">
      <c r="A27" s="176">
        <v>45773</v>
      </c>
      <c r="B27" s="178" t="s">
        <v>486</v>
      </c>
      <c r="C27" s="183">
        <v>938886</v>
      </c>
      <c r="D27" s="183">
        <v>275451</v>
      </c>
      <c r="E27" s="183">
        <f t="shared" si="0"/>
        <v>663435</v>
      </c>
      <c r="F27" s="183">
        <v>-45</v>
      </c>
      <c r="G27" s="183">
        <v>0</v>
      </c>
      <c r="H27" s="184">
        <f t="shared" si="1"/>
        <v>3357808</v>
      </c>
      <c r="I27" s="71"/>
      <c r="J27" s="665" t="s">
        <v>698</v>
      </c>
      <c r="K27" s="665"/>
      <c r="L27" s="665"/>
      <c r="M27" s="665"/>
      <c r="N27" s="665"/>
      <c r="O27" s="268"/>
      <c r="P27" s="656"/>
      <c r="Q27" s="657"/>
      <c r="R27" s="232"/>
    </row>
    <row r="28" spans="1:18" ht="30.9" customHeight="1" thickTop="1" thickBot="1">
      <c r="A28" s="176">
        <v>45774</v>
      </c>
      <c r="B28" s="178" t="s">
        <v>487</v>
      </c>
      <c r="C28" s="183">
        <v>503877</v>
      </c>
      <c r="D28" s="183">
        <v>572911</v>
      </c>
      <c r="E28" s="183">
        <f t="shared" si="0"/>
        <v>-69034</v>
      </c>
      <c r="F28" s="183">
        <v>-451</v>
      </c>
      <c r="G28" s="183">
        <v>0</v>
      </c>
      <c r="H28" s="184">
        <f t="shared" si="1"/>
        <v>3288323</v>
      </c>
      <c r="I28" s="71"/>
      <c r="J28" s="670" t="s">
        <v>701</v>
      </c>
      <c r="K28" s="670"/>
      <c r="L28" s="670"/>
      <c r="M28" s="670"/>
      <c r="N28" s="670"/>
      <c r="O28" s="268"/>
      <c r="P28" s="656"/>
      <c r="Q28" s="657"/>
      <c r="R28" s="232"/>
    </row>
    <row r="29" spans="1:18" ht="30.9" customHeight="1" thickTop="1" thickBot="1">
      <c r="A29" s="176">
        <v>45775</v>
      </c>
      <c r="B29" s="177" t="s">
        <v>488</v>
      </c>
      <c r="C29" s="183">
        <v>522822</v>
      </c>
      <c r="D29" s="183">
        <v>541780</v>
      </c>
      <c r="E29" s="183">
        <f t="shared" si="0"/>
        <v>-18958</v>
      </c>
      <c r="F29" s="183">
        <v>-4</v>
      </c>
      <c r="G29" s="183">
        <v>0</v>
      </c>
      <c r="H29" s="184">
        <f t="shared" si="1"/>
        <v>3269361</v>
      </c>
      <c r="I29" s="71"/>
      <c r="J29" s="665"/>
      <c r="K29" s="665"/>
      <c r="L29" s="665"/>
      <c r="M29" s="665"/>
      <c r="N29" s="665"/>
      <c r="O29" s="658" t="s">
        <v>667</v>
      </c>
      <c r="P29" s="658"/>
      <c r="Q29" s="657"/>
      <c r="R29" s="232"/>
    </row>
    <row r="30" spans="1:18" ht="30.9" customHeight="1" thickTop="1" thickBot="1">
      <c r="A30" s="176">
        <v>45776</v>
      </c>
      <c r="B30" s="177" t="s">
        <v>489</v>
      </c>
      <c r="C30" s="183">
        <v>580679</v>
      </c>
      <c r="D30" s="183">
        <v>838508</v>
      </c>
      <c r="E30" s="183">
        <f t="shared" si="0"/>
        <v>-257829</v>
      </c>
      <c r="F30" s="183">
        <v>0</v>
      </c>
      <c r="G30" s="183">
        <v>0</v>
      </c>
      <c r="H30" s="184">
        <f t="shared" si="1"/>
        <v>3011532</v>
      </c>
      <c r="I30" s="71"/>
      <c r="J30" s="665"/>
      <c r="K30" s="665"/>
      <c r="L30" s="665"/>
      <c r="M30" s="665"/>
      <c r="N30" s="665"/>
      <c r="O30" s="268"/>
      <c r="P30" s="656"/>
      <c r="Q30" s="657"/>
      <c r="R30" s="232"/>
    </row>
    <row r="31" spans="1:18" ht="30.9" customHeight="1" thickTop="1" thickBot="1">
      <c r="A31" s="176">
        <v>45777</v>
      </c>
      <c r="B31" s="177" t="s">
        <v>490</v>
      </c>
      <c r="C31" s="183">
        <v>471104</v>
      </c>
      <c r="D31" s="183">
        <v>1393068</v>
      </c>
      <c r="E31" s="183">
        <f t="shared" si="0"/>
        <v>-921964</v>
      </c>
      <c r="F31" s="183">
        <v>0</v>
      </c>
      <c r="G31" s="183">
        <v>0</v>
      </c>
      <c r="H31" s="184">
        <f>H30+E31+F31</f>
        <v>2089568</v>
      </c>
      <c r="I31" s="71"/>
      <c r="J31" s="665"/>
      <c r="K31" s="665"/>
      <c r="L31" s="665"/>
      <c r="M31" s="665"/>
      <c r="N31" s="665"/>
      <c r="O31" s="269"/>
      <c r="P31" s="659"/>
      <c r="Q31" s="660"/>
      <c r="R31" s="232"/>
    </row>
    <row r="32" spans="1:18" ht="30.9" customHeight="1" thickTop="1" thickBot="1">
      <c r="A32" s="176"/>
      <c r="B32" s="177"/>
      <c r="C32" s="183"/>
      <c r="D32" s="183">
        <v>50000</v>
      </c>
      <c r="E32" s="183">
        <f t="shared" si="0"/>
        <v>-50000</v>
      </c>
      <c r="F32" s="183"/>
      <c r="G32" s="183">
        <v>0</v>
      </c>
      <c r="H32" s="184">
        <f t="shared" si="1"/>
        <v>2039568</v>
      </c>
      <c r="I32" s="71"/>
      <c r="J32" s="665"/>
      <c r="K32" s="665"/>
      <c r="L32" s="665"/>
      <c r="M32" s="665"/>
      <c r="N32" s="665"/>
      <c r="O32" s="269"/>
      <c r="P32" s="659"/>
      <c r="Q32" s="660"/>
      <c r="R32" s="232"/>
    </row>
    <row r="33" spans="1:17" ht="30.9" customHeight="1" thickTop="1">
      <c r="A33" s="264"/>
      <c r="B33" s="265"/>
      <c r="C33" s="183"/>
      <c r="D33" s="183"/>
      <c r="E33" s="183"/>
      <c r="F33" s="183"/>
      <c r="G33" s="183">
        <v>0</v>
      </c>
      <c r="H33" s="184">
        <f t="shared" si="1"/>
        <v>2039568</v>
      </c>
      <c r="I33" s="71"/>
      <c r="J33" s="665"/>
      <c r="K33" s="665"/>
      <c r="L33" s="665"/>
      <c r="M33" s="665"/>
      <c r="N33" s="665"/>
      <c r="P33" s="81"/>
      <c r="Q33" s="81"/>
    </row>
    <row r="34" spans="1:17" ht="45" customHeight="1">
      <c r="A34" s="476" t="s">
        <v>247</v>
      </c>
      <c r="B34" s="477"/>
      <c r="C34" s="145">
        <f>SUM(C2:C33)</f>
        <v>18224357</v>
      </c>
      <c r="D34" s="145">
        <f>SUM(D2:D33)</f>
        <v>16179744</v>
      </c>
      <c r="E34" s="145">
        <f>SUM(E2:E33)</f>
        <v>2044613</v>
      </c>
      <c r="F34" s="145">
        <f>SUM(F2:F33)</f>
        <v>-5045</v>
      </c>
      <c r="G34" s="145">
        <f>SUM(G2:G33)</f>
        <v>0</v>
      </c>
      <c r="H34" s="145">
        <f>C34-D34+G34</f>
        <v>2044613</v>
      </c>
    </row>
    <row r="35" spans="1:17">
      <c r="A35" s="69"/>
    </row>
    <row r="36" spans="1:17">
      <c r="A36" s="69"/>
    </row>
    <row r="37" spans="1:17">
      <c r="A37" s="69"/>
    </row>
    <row r="38" spans="1:17">
      <c r="A38" s="69"/>
    </row>
    <row r="39" spans="1:17">
      <c r="A39" s="69"/>
    </row>
    <row r="40" spans="1:17" ht="21" customHeight="1">
      <c r="A40" s="69"/>
    </row>
    <row r="41" spans="1:17" ht="23.1" customHeight="1">
      <c r="A41" s="69"/>
    </row>
    <row r="42" spans="1:17">
      <c r="A42" s="69"/>
    </row>
    <row r="43" spans="1:17" ht="29.1" customHeight="1">
      <c r="A43" s="69"/>
    </row>
    <row r="44" spans="1:17" ht="15" customHeight="1">
      <c r="A44" s="69"/>
    </row>
    <row r="45" spans="1:17">
      <c r="A45" s="69"/>
    </row>
    <row r="46" spans="1:17">
      <c r="A46" s="69"/>
    </row>
    <row r="47" spans="1:17">
      <c r="A47" s="69"/>
    </row>
    <row r="48" spans="1:17">
      <c r="A48" s="69"/>
    </row>
    <row r="49" spans="1:1">
      <c r="A49" s="69"/>
    </row>
    <row r="50" spans="1:1">
      <c r="A50" s="69"/>
    </row>
    <row r="51" spans="1:1" ht="18.899999999999999" customHeight="1">
      <c r="A51" s="69"/>
    </row>
  </sheetData>
  <mergeCells count="55">
    <mergeCell ref="M3:N3"/>
    <mergeCell ref="A1:B1"/>
    <mergeCell ref="I1:N1"/>
    <mergeCell ref="O1:R1"/>
    <mergeCell ref="I2:N2"/>
    <mergeCell ref="O2:R2"/>
    <mergeCell ref="O11:R11"/>
    <mergeCell ref="I4:I5"/>
    <mergeCell ref="M4:N4"/>
    <mergeCell ref="M5:N5"/>
    <mergeCell ref="O5:R5"/>
    <mergeCell ref="I6:N6"/>
    <mergeCell ref="O6:P6"/>
    <mergeCell ref="Q6:R6"/>
    <mergeCell ref="M7:N7"/>
    <mergeCell ref="M8:N8"/>
    <mergeCell ref="J9:N9"/>
    <mergeCell ref="I10:N10"/>
    <mergeCell ref="I11:N11"/>
    <mergeCell ref="O12:Q12"/>
    <mergeCell ref="O13:P14"/>
    <mergeCell ref="I14:N14"/>
    <mergeCell ref="O15:O16"/>
    <mergeCell ref="P15:Q15"/>
    <mergeCell ref="I16:K16"/>
    <mergeCell ref="L16:N16"/>
    <mergeCell ref="P16:Q16"/>
    <mergeCell ref="J26:N26"/>
    <mergeCell ref="P26:Q26"/>
    <mergeCell ref="I17:N17"/>
    <mergeCell ref="P17:Q17"/>
    <mergeCell ref="O18:Q18"/>
    <mergeCell ref="O19:Q19"/>
    <mergeCell ref="O20:Q20"/>
    <mergeCell ref="I21:N21"/>
    <mergeCell ref="O21:Q21"/>
    <mergeCell ref="O22:R22"/>
    <mergeCell ref="O23:R23"/>
    <mergeCell ref="O24:Q24"/>
    <mergeCell ref="I25:N25"/>
    <mergeCell ref="P25:Q25"/>
    <mergeCell ref="J27:N27"/>
    <mergeCell ref="P27:Q27"/>
    <mergeCell ref="J28:N28"/>
    <mergeCell ref="P28:Q28"/>
    <mergeCell ref="J29:N29"/>
    <mergeCell ref="O29:Q29"/>
    <mergeCell ref="J33:N33"/>
    <mergeCell ref="A34:B34"/>
    <mergeCell ref="J30:N30"/>
    <mergeCell ref="P30:Q30"/>
    <mergeCell ref="J31:N31"/>
    <mergeCell ref="P31:Q31"/>
    <mergeCell ref="J32:N32"/>
    <mergeCell ref="P32:Q32"/>
  </mergeCells>
  <pageMargins left="0.7" right="0.7" top="0.75" bottom="0.75" header="0.3" footer="0.3"/>
  <pageSetup paperSize="9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36B14-3874-4AB8-BC17-3ADD20C57770}">
  <dimension ref="A1:AJ51"/>
  <sheetViews>
    <sheetView topLeftCell="K1" zoomScaleNormal="100" workbookViewId="0">
      <pane ySplit="1" topLeftCell="A17" activePane="bottomLeft" state="frozen"/>
      <selection pane="bottomLeft" activeCell="AA26" sqref="AA26:AA31"/>
    </sheetView>
  </sheetViews>
  <sheetFormatPr defaultColWidth="10.6328125" defaultRowHeight="18"/>
  <cols>
    <col min="1" max="1" width="5.90625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6.81640625" style="69" customWidth="1"/>
    <col min="7" max="7" width="4.54296875" style="69" customWidth="1"/>
    <col min="8" max="8" width="12.453125" style="69" customWidth="1"/>
    <col min="9" max="9" width="4.1796875" style="69" customWidth="1"/>
    <col min="10" max="15" width="11.90625" style="69" customWidth="1"/>
    <col min="16" max="16" width="3" style="69" customWidth="1"/>
    <col min="17" max="17" width="9.90625" style="69" customWidth="1"/>
    <col min="18" max="23" width="10" style="69" customWidth="1"/>
    <col min="24" max="24" width="13.1796875" style="69" customWidth="1"/>
    <col min="25" max="25" width="13.1796875" style="296" customWidth="1"/>
    <col min="26" max="26" width="5.81640625" style="297" customWidth="1"/>
    <col min="27" max="27" width="13.1796875" style="69" customWidth="1"/>
    <col min="28" max="28" width="13.81640625" style="296" customWidth="1"/>
    <col min="29" max="29" width="4.90625" style="297" customWidth="1"/>
    <col min="30" max="30" width="10.81640625" style="296" customWidth="1"/>
    <col min="31" max="32" width="7" style="69" customWidth="1"/>
    <col min="33" max="33" width="11.453125" style="69" customWidth="1"/>
    <col min="34" max="34" width="21" style="69" customWidth="1"/>
    <col min="35" max="16384" width="10.6328125" style="69"/>
  </cols>
  <sheetData>
    <row r="1" spans="1:34" ht="38.25" customHeight="1" thickTop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133" t="s">
        <v>463</v>
      </c>
      <c r="H1" s="220" t="s">
        <v>464</v>
      </c>
      <c r="I1" s="710"/>
      <c r="J1" s="338" t="s">
        <v>705</v>
      </c>
      <c r="K1" s="338" t="s">
        <v>741</v>
      </c>
      <c r="L1" s="338" t="s">
        <v>707</v>
      </c>
      <c r="M1" s="338" t="s">
        <v>708</v>
      </c>
      <c r="N1" s="338" t="s">
        <v>710</v>
      </c>
      <c r="O1" s="338" t="s">
        <v>742</v>
      </c>
      <c r="P1" s="675"/>
      <c r="Q1" s="723" t="s">
        <v>702</v>
      </c>
      <c r="R1" s="723"/>
      <c r="S1" s="723"/>
      <c r="T1" s="723"/>
      <c r="U1" s="723"/>
      <c r="V1" s="723"/>
      <c r="W1" s="723"/>
      <c r="X1" s="676" t="s">
        <v>718</v>
      </c>
      <c r="Y1" s="677"/>
      <c r="Z1" s="677"/>
      <c r="AA1" s="677"/>
      <c r="AB1" s="677"/>
      <c r="AC1" s="678"/>
      <c r="AD1" s="281"/>
      <c r="AE1" s="631" t="s">
        <v>642</v>
      </c>
      <c r="AF1" s="632"/>
      <c r="AG1" s="632"/>
      <c r="AH1" s="632"/>
    </row>
    <row r="2" spans="1:34" ht="30.9" customHeight="1" thickTop="1" thickBot="1">
      <c r="A2" s="176">
        <v>45778</v>
      </c>
      <c r="B2" s="177" t="s">
        <v>491</v>
      </c>
      <c r="C2" s="183">
        <v>949479</v>
      </c>
      <c r="D2" s="183">
        <v>516192</v>
      </c>
      <c r="E2" s="183">
        <f>C2-D2</f>
        <v>433287</v>
      </c>
      <c r="F2" s="183">
        <v>0</v>
      </c>
      <c r="G2" s="183">
        <v>0</v>
      </c>
      <c r="H2" s="221">
        <f>E2+F2</f>
        <v>433287</v>
      </c>
      <c r="I2" s="710"/>
      <c r="J2" s="339">
        <f>D2-SUM(K2:O2)</f>
        <v>483979</v>
      </c>
      <c r="K2" s="339">
        <f>11055+9000</f>
        <v>20055</v>
      </c>
      <c r="L2" s="339">
        <v>12158</v>
      </c>
      <c r="M2" s="339"/>
      <c r="N2" s="339"/>
      <c r="O2" s="339"/>
      <c r="P2" s="675"/>
      <c r="Q2" s="709" t="s">
        <v>249</v>
      </c>
      <c r="R2" s="709"/>
      <c r="S2" s="709"/>
      <c r="T2" s="709"/>
      <c r="U2" s="709"/>
      <c r="V2" s="709"/>
      <c r="W2" s="709"/>
      <c r="X2" s="679" t="s">
        <v>711</v>
      </c>
      <c r="Y2" s="680"/>
      <c r="Z2" s="680"/>
      <c r="AA2" s="680"/>
      <c r="AB2" s="681">
        <f>Z13+AC13</f>
        <v>0.88942638377253624</v>
      </c>
      <c r="AC2" s="682"/>
      <c r="AD2" s="81"/>
      <c r="AE2" s="627" t="s">
        <v>638</v>
      </c>
      <c r="AF2" s="628"/>
      <c r="AG2" s="628"/>
      <c r="AH2" s="628"/>
    </row>
    <row r="3" spans="1:34" ht="30.9" customHeight="1" thickTop="1" thickBot="1">
      <c r="A3" s="176">
        <v>45779</v>
      </c>
      <c r="B3" s="178" t="s">
        <v>485</v>
      </c>
      <c r="C3" s="183">
        <v>1059838</v>
      </c>
      <c r="D3" s="183">
        <v>650204</v>
      </c>
      <c r="E3" s="183">
        <f t="shared" ref="E3:E33" si="0">C3-D3</f>
        <v>409634</v>
      </c>
      <c r="F3" s="183">
        <v>-100</v>
      </c>
      <c r="G3" s="183">
        <v>0</v>
      </c>
      <c r="H3" s="221">
        <f>H2+E3+F3</f>
        <v>842821</v>
      </c>
      <c r="I3" s="710"/>
      <c r="J3" s="339">
        <f t="shared" ref="J3:J32" si="1">D3-SUM(K3:O3)</f>
        <v>642541</v>
      </c>
      <c r="K3" s="339">
        <f>7663</f>
        <v>7663</v>
      </c>
      <c r="L3" s="339"/>
      <c r="M3" s="339"/>
      <c r="N3" s="339"/>
      <c r="O3" s="339"/>
      <c r="P3" s="675"/>
      <c r="Q3" s="725" t="s">
        <v>247</v>
      </c>
      <c r="R3" s="726"/>
      <c r="S3" s="222" t="s">
        <v>251</v>
      </c>
      <c r="T3" s="222" t="s">
        <v>252</v>
      </c>
      <c r="U3" s="222" t="s">
        <v>449</v>
      </c>
      <c r="V3" s="659" t="s">
        <v>704</v>
      </c>
      <c r="W3" s="724"/>
      <c r="X3" s="713" t="s">
        <v>713</v>
      </c>
      <c r="Y3" s="714"/>
      <c r="Z3" s="714"/>
      <c r="AA3" s="715" t="s">
        <v>712</v>
      </c>
      <c r="AB3" s="715"/>
      <c r="AC3" s="716"/>
      <c r="AD3" s="81"/>
      <c r="AE3" s="246"/>
      <c r="AF3" s="247"/>
      <c r="AG3" s="247"/>
      <c r="AH3" s="247"/>
    </row>
    <row r="4" spans="1:34" ht="30.9" customHeight="1" thickTop="1" thickBot="1">
      <c r="A4" s="176">
        <v>45780</v>
      </c>
      <c r="B4" s="178" t="s">
        <v>486</v>
      </c>
      <c r="C4" s="183">
        <v>723294</v>
      </c>
      <c r="D4" s="183">
        <v>313528</v>
      </c>
      <c r="E4" s="183">
        <f t="shared" si="0"/>
        <v>409766</v>
      </c>
      <c r="F4" s="183">
        <v>-952</v>
      </c>
      <c r="G4" s="183">
        <v>0</v>
      </c>
      <c r="H4" s="221">
        <f t="shared" ref="H4:H33" si="2">H3+E4+F4</f>
        <v>1251635</v>
      </c>
      <c r="I4" s="710"/>
      <c r="J4" s="339">
        <f t="shared" si="1"/>
        <v>304662</v>
      </c>
      <c r="K4" s="339"/>
      <c r="L4" s="339"/>
      <c r="M4" s="339">
        <v>3366</v>
      </c>
      <c r="N4" s="339"/>
      <c r="O4" s="339">
        <v>5500</v>
      </c>
      <c r="P4" s="675"/>
      <c r="Q4" s="727">
        <f>C34</f>
        <v>19619825</v>
      </c>
      <c r="R4" s="728"/>
      <c r="S4" s="224">
        <v>0</v>
      </c>
      <c r="T4" s="224">
        <v>0</v>
      </c>
      <c r="U4" s="224">
        <f>F34</f>
        <v>-6480</v>
      </c>
      <c r="V4" s="224">
        <v>29761</v>
      </c>
      <c r="W4" s="306"/>
      <c r="X4" s="319" t="s">
        <v>714</v>
      </c>
      <c r="Y4" s="243">
        <v>132550</v>
      </c>
      <c r="Z4" s="312">
        <f>Y4/$Q$4</f>
        <v>6.7559216251928851E-3</v>
      </c>
      <c r="AA4" s="328" t="s">
        <v>719</v>
      </c>
      <c r="AB4" s="243">
        <f>SUM(Q13:W13)+75000</f>
        <v>999600</v>
      </c>
      <c r="AC4" s="313">
        <f>AB4/$Q$4</f>
        <v>5.0948466665732238E-2</v>
      </c>
      <c r="AE4" s="249"/>
      <c r="AF4" s="250"/>
      <c r="AG4" s="250"/>
      <c r="AH4" s="250"/>
    </row>
    <row r="5" spans="1:34" ht="30.9" customHeight="1" thickTop="1" thickBot="1">
      <c r="A5" s="176">
        <v>45781</v>
      </c>
      <c r="B5" s="178" t="s">
        <v>487</v>
      </c>
      <c r="C5" s="183">
        <v>468840</v>
      </c>
      <c r="D5" s="183">
        <v>376707</v>
      </c>
      <c r="E5" s="183">
        <f t="shared" si="0"/>
        <v>92133</v>
      </c>
      <c r="F5" s="183">
        <v>-200</v>
      </c>
      <c r="G5" s="183">
        <v>0</v>
      </c>
      <c r="H5" s="221">
        <f t="shared" si="2"/>
        <v>1343568</v>
      </c>
      <c r="I5" s="710"/>
      <c r="J5" s="339">
        <f t="shared" si="1"/>
        <v>376707</v>
      </c>
      <c r="K5" s="339"/>
      <c r="L5" s="339"/>
      <c r="M5" s="339"/>
      <c r="N5" s="339"/>
      <c r="O5" s="339"/>
      <c r="P5" s="675"/>
      <c r="Q5" s="729"/>
      <c r="R5" s="730"/>
      <c r="S5" s="225">
        <f>S4/Q4</f>
        <v>0</v>
      </c>
      <c r="T5" s="225">
        <f>T4/Q4</f>
        <v>0</v>
      </c>
      <c r="U5" s="226">
        <f>U4/Q4</f>
        <v>-3.3027817526405054E-4</v>
      </c>
      <c r="V5" s="226">
        <f>V4/Q4</f>
        <v>1.516884070066884E-3</v>
      </c>
      <c r="W5" s="307"/>
      <c r="X5" s="319" t="s">
        <v>715</v>
      </c>
      <c r="Y5" s="243">
        <v>26055</v>
      </c>
      <c r="Z5" s="312">
        <f t="shared" ref="Z5:Z11" si="3">Y5/$Q$4</f>
        <v>1.3279934963742032E-3</v>
      </c>
      <c r="AA5" s="328" t="s">
        <v>720</v>
      </c>
      <c r="AB5" s="243">
        <f>SUM(Q14:W14)</f>
        <v>0</v>
      </c>
      <c r="AC5" s="313">
        <f t="shared" ref="AC5:AC12" si="4">AB5/$Q$4</f>
        <v>0</v>
      </c>
      <c r="AE5" s="654" t="s">
        <v>639</v>
      </c>
      <c r="AF5" s="655"/>
      <c r="AG5" s="655"/>
      <c r="AH5" s="655"/>
    </row>
    <row r="6" spans="1:34" ht="30.9" customHeight="1" thickTop="1" thickBot="1">
      <c r="A6" s="176">
        <v>45782</v>
      </c>
      <c r="B6" s="177" t="s">
        <v>488</v>
      </c>
      <c r="C6" s="183">
        <v>415370</v>
      </c>
      <c r="D6" s="183">
        <v>329718</v>
      </c>
      <c r="E6" s="183">
        <f t="shared" si="0"/>
        <v>85652</v>
      </c>
      <c r="F6" s="183">
        <v>0</v>
      </c>
      <c r="G6" s="183">
        <v>0</v>
      </c>
      <c r="H6" s="221">
        <f t="shared" si="2"/>
        <v>1429220</v>
      </c>
      <c r="I6" s="710"/>
      <c r="J6" s="339">
        <f t="shared" si="1"/>
        <v>289272</v>
      </c>
      <c r="K6" s="339">
        <v>8898</v>
      </c>
      <c r="L6" s="339"/>
      <c r="M6" s="339"/>
      <c r="N6" s="339">
        <v>31548</v>
      </c>
      <c r="O6" s="339"/>
      <c r="P6" s="675"/>
      <c r="Q6" s="702" t="s">
        <v>250</v>
      </c>
      <c r="R6" s="702"/>
      <c r="S6" s="702"/>
      <c r="T6" s="702"/>
      <c r="U6" s="702"/>
      <c r="V6" s="702"/>
      <c r="W6" s="702"/>
      <c r="X6" s="319" t="s">
        <v>716</v>
      </c>
      <c r="Y6" s="243">
        <v>5280</v>
      </c>
      <c r="Z6" s="312">
        <f t="shared" si="3"/>
        <v>2.6911555021515225E-4</v>
      </c>
      <c r="AA6" s="328" t="s">
        <v>721</v>
      </c>
      <c r="AB6" s="243">
        <v>48397</v>
      </c>
      <c r="AC6" s="313">
        <f t="shared" si="4"/>
        <v>2.4667396370762736E-3</v>
      </c>
      <c r="AE6" s="630" t="s">
        <v>231</v>
      </c>
      <c r="AF6" s="630"/>
      <c r="AG6" s="490"/>
      <c r="AH6" s="490"/>
    </row>
    <row r="7" spans="1:34" ht="30.9" customHeight="1" thickTop="1" thickBot="1">
      <c r="A7" s="176">
        <v>45783</v>
      </c>
      <c r="B7" s="177" t="s">
        <v>489</v>
      </c>
      <c r="C7" s="183">
        <v>388189</v>
      </c>
      <c r="D7" s="183">
        <v>821606</v>
      </c>
      <c r="E7" s="183">
        <f t="shared" si="0"/>
        <v>-433417</v>
      </c>
      <c r="F7" s="183">
        <v>0</v>
      </c>
      <c r="G7" s="183">
        <v>0</v>
      </c>
      <c r="H7" s="221">
        <f t="shared" si="2"/>
        <v>995803</v>
      </c>
      <c r="I7" s="710"/>
      <c r="J7" s="339">
        <f t="shared" si="1"/>
        <v>821606</v>
      </c>
      <c r="K7" s="339"/>
      <c r="L7" s="339"/>
      <c r="M7" s="339"/>
      <c r="N7" s="339"/>
      <c r="O7" s="339"/>
      <c r="P7" s="675"/>
      <c r="Q7" s="329" t="s">
        <v>705</v>
      </c>
      <c r="R7" s="290" t="s">
        <v>253</v>
      </c>
      <c r="S7" s="288" t="s">
        <v>624</v>
      </c>
      <c r="T7" s="222"/>
      <c r="U7" s="703" t="s">
        <v>247</v>
      </c>
      <c r="V7" s="704"/>
      <c r="W7" s="704"/>
      <c r="X7" s="319" t="s">
        <v>717</v>
      </c>
      <c r="Y7" s="243">
        <v>33000</v>
      </c>
      <c r="Z7" s="312">
        <f t="shared" si="3"/>
        <v>1.6819721888447017E-3</v>
      </c>
      <c r="AA7" s="328" t="s">
        <v>722</v>
      </c>
      <c r="AB7" s="243">
        <f>2890+3396</f>
        <v>6286</v>
      </c>
      <c r="AC7" s="313">
        <f t="shared" si="4"/>
        <v>3.2039021754781195E-4</v>
      </c>
      <c r="AE7" s="242" t="s">
        <v>640</v>
      </c>
      <c r="AF7" s="243">
        <v>300000</v>
      </c>
    </row>
    <row r="8" spans="1:34" ht="30.9" customHeight="1" thickTop="1" thickBot="1">
      <c r="A8" s="176">
        <v>45784</v>
      </c>
      <c r="B8" s="177" t="s">
        <v>490</v>
      </c>
      <c r="C8" s="183">
        <v>412545</v>
      </c>
      <c r="D8" s="183">
        <v>838601</v>
      </c>
      <c r="E8" s="183">
        <f t="shared" si="0"/>
        <v>-426056</v>
      </c>
      <c r="F8" s="183">
        <v>0</v>
      </c>
      <c r="G8" s="183">
        <v>0</v>
      </c>
      <c r="H8" s="221">
        <f t="shared" si="2"/>
        <v>569747</v>
      </c>
      <c r="I8" s="710"/>
      <c r="J8" s="339">
        <f t="shared" si="1"/>
        <v>838601</v>
      </c>
      <c r="K8" s="339"/>
      <c r="L8" s="339"/>
      <c r="M8" s="339"/>
      <c r="N8" s="339"/>
      <c r="O8" s="339"/>
      <c r="P8" s="675"/>
      <c r="Q8" s="330">
        <f>D34</f>
        <v>16415400</v>
      </c>
      <c r="R8" s="291">
        <f>T16</f>
        <v>999600</v>
      </c>
      <c r="S8" s="289">
        <f>V19</f>
        <v>208180</v>
      </c>
      <c r="T8" s="229"/>
      <c r="U8" s="705">
        <f>SUM(Q8:T8)</f>
        <v>17623180</v>
      </c>
      <c r="V8" s="706"/>
      <c r="W8" s="706"/>
      <c r="X8" s="319" t="s">
        <v>723</v>
      </c>
      <c r="Y8" s="243">
        <v>5500</v>
      </c>
      <c r="Z8" s="312">
        <f t="shared" si="3"/>
        <v>2.8032869814078362E-4</v>
      </c>
      <c r="AA8" s="328" t="s">
        <v>708</v>
      </c>
      <c r="AB8" s="243">
        <f>M34</f>
        <v>23014</v>
      </c>
      <c r="AC8" s="313">
        <f t="shared" si="4"/>
        <v>1.1729972107294535E-3</v>
      </c>
      <c r="AE8" s="242" t="s">
        <v>641</v>
      </c>
      <c r="AF8" s="243">
        <v>55000</v>
      </c>
    </row>
    <row r="9" spans="1:34" ht="30.9" customHeight="1" thickTop="1" thickBot="1">
      <c r="A9" s="176">
        <v>45785</v>
      </c>
      <c r="B9" s="177" t="s">
        <v>491</v>
      </c>
      <c r="C9" s="183">
        <v>457935</v>
      </c>
      <c r="D9" s="183">
        <v>44180</v>
      </c>
      <c r="E9" s="183">
        <f t="shared" si="0"/>
        <v>413755</v>
      </c>
      <c r="F9" s="183">
        <v>-411</v>
      </c>
      <c r="G9" s="183">
        <v>0</v>
      </c>
      <c r="H9" s="221">
        <f t="shared" si="2"/>
        <v>983091</v>
      </c>
      <c r="I9" s="710"/>
      <c r="J9" s="339">
        <f t="shared" si="1"/>
        <v>44180</v>
      </c>
      <c r="K9" s="339"/>
      <c r="L9" s="339"/>
      <c r="M9" s="339"/>
      <c r="N9" s="339"/>
      <c r="O9" s="339"/>
      <c r="P9" s="675"/>
      <c r="Q9" s="331" t="s">
        <v>266</v>
      </c>
      <c r="R9" s="731">
        <f>Q4-U8-U4+T4</f>
        <v>2003125</v>
      </c>
      <c r="S9" s="732"/>
      <c r="T9" s="732"/>
      <c r="U9" s="732"/>
      <c r="V9" s="732"/>
      <c r="W9" s="732"/>
      <c r="X9" s="319" t="s">
        <v>724</v>
      </c>
      <c r="Y9" s="243">
        <v>187000</v>
      </c>
      <c r="Z9" s="312">
        <f t="shared" si="3"/>
        <v>9.5311757367866432E-3</v>
      </c>
      <c r="AA9" s="328" t="s">
        <v>707</v>
      </c>
      <c r="AB9" s="243">
        <f>L34</f>
        <v>75496</v>
      </c>
      <c r="AC9" s="313">
        <f t="shared" si="4"/>
        <v>3.8479446172430183E-3</v>
      </c>
      <c r="AE9" s="241" t="s">
        <v>495</v>
      </c>
      <c r="AF9" s="243">
        <v>35000</v>
      </c>
    </row>
    <row r="10" spans="1:34" ht="30.9" customHeight="1" thickTop="1" thickBot="1">
      <c r="A10" s="176">
        <v>45786</v>
      </c>
      <c r="B10" s="178" t="s">
        <v>485</v>
      </c>
      <c r="C10" s="183">
        <v>673180</v>
      </c>
      <c r="D10" s="183">
        <v>675272</v>
      </c>
      <c r="E10" s="183">
        <f t="shared" si="0"/>
        <v>-2092</v>
      </c>
      <c r="F10" s="183">
        <v>0</v>
      </c>
      <c r="G10" s="183">
        <v>0</v>
      </c>
      <c r="H10" s="221">
        <f t="shared" si="2"/>
        <v>980999</v>
      </c>
      <c r="I10" s="710"/>
      <c r="J10" s="339">
        <f t="shared" si="1"/>
        <v>641550</v>
      </c>
      <c r="K10" s="339">
        <v>6062</v>
      </c>
      <c r="L10" s="339"/>
      <c r="M10" s="339"/>
      <c r="N10" s="339">
        <v>27660</v>
      </c>
      <c r="O10" s="339"/>
      <c r="P10" s="675"/>
      <c r="Q10" s="708" t="s">
        <v>257</v>
      </c>
      <c r="R10" s="708"/>
      <c r="S10" s="708"/>
      <c r="T10" s="708"/>
      <c r="U10" s="708"/>
      <c r="V10" s="708"/>
      <c r="W10" s="708"/>
      <c r="X10" s="319" t="s">
        <v>743</v>
      </c>
      <c r="Y10" s="243">
        <v>90800</v>
      </c>
      <c r="Z10" s="312">
        <f t="shared" si="3"/>
        <v>4.6279719620333009E-3</v>
      </c>
      <c r="AA10" s="328" t="s">
        <v>706</v>
      </c>
      <c r="AB10" s="243">
        <f>K34</f>
        <v>127052</v>
      </c>
      <c r="AC10" s="313">
        <f t="shared" si="4"/>
        <v>6.4756948647605164E-3</v>
      </c>
      <c r="AE10" s="244" t="s">
        <v>73</v>
      </c>
      <c r="AF10" s="245">
        <f>SUM(AF7:AF9)</f>
        <v>390000</v>
      </c>
      <c r="AG10" s="252"/>
      <c r="AH10" s="252"/>
    </row>
    <row r="11" spans="1:34" ht="30.9" customHeight="1" thickTop="1" thickBot="1">
      <c r="A11" s="176">
        <v>45787</v>
      </c>
      <c r="B11" s="178" t="s">
        <v>486</v>
      </c>
      <c r="C11" s="183">
        <v>1052333</v>
      </c>
      <c r="D11" s="183">
        <v>185384</v>
      </c>
      <c r="E11" s="183">
        <f t="shared" si="0"/>
        <v>866949</v>
      </c>
      <c r="F11" s="183">
        <v>-841</v>
      </c>
      <c r="G11" s="183">
        <v>0</v>
      </c>
      <c r="H11" s="221">
        <f>H10+E11+F11</f>
        <v>1847107</v>
      </c>
      <c r="I11" s="710"/>
      <c r="J11" s="339">
        <f t="shared" si="1"/>
        <v>179575</v>
      </c>
      <c r="K11" s="339"/>
      <c r="L11" s="339">
        <v>3739</v>
      </c>
      <c r="M11" s="339">
        <v>2070</v>
      </c>
      <c r="N11" s="339"/>
      <c r="O11" s="339"/>
      <c r="P11" s="675"/>
      <c r="Q11" s="707" t="s">
        <v>477</v>
      </c>
      <c r="R11" s="707"/>
      <c r="S11" s="707"/>
      <c r="T11" s="707"/>
      <c r="U11" s="707"/>
      <c r="V11" s="707"/>
      <c r="W11" s="707"/>
      <c r="X11" s="319" t="s">
        <v>744</v>
      </c>
      <c r="Y11" s="243">
        <v>313600</v>
      </c>
      <c r="Z11" s="312">
        <f t="shared" si="3"/>
        <v>1.598383267944541E-2</v>
      </c>
      <c r="AA11" s="328" t="s">
        <v>705</v>
      </c>
      <c r="AB11" s="243">
        <f>J34</f>
        <v>15063976</v>
      </c>
      <c r="AC11" s="313">
        <f t="shared" si="4"/>
        <v>0.76779359652800161</v>
      </c>
      <c r="AE11" s="647" t="s">
        <v>643</v>
      </c>
      <c r="AF11" s="647"/>
      <c r="AG11" s="647"/>
      <c r="AH11" s="647"/>
    </row>
    <row r="12" spans="1:34" ht="30.9" customHeight="1" thickTop="1" thickBot="1">
      <c r="A12" s="176">
        <v>45788</v>
      </c>
      <c r="B12" s="178" t="s">
        <v>487</v>
      </c>
      <c r="C12" s="183">
        <v>469218</v>
      </c>
      <c r="D12" s="183">
        <v>632916</v>
      </c>
      <c r="E12" s="183">
        <f t="shared" si="0"/>
        <v>-163698</v>
      </c>
      <c r="F12" s="183">
        <v>0</v>
      </c>
      <c r="G12" s="183">
        <v>0</v>
      </c>
      <c r="H12" s="221">
        <f t="shared" si="2"/>
        <v>1683409</v>
      </c>
      <c r="I12" s="710"/>
      <c r="J12" s="339">
        <f t="shared" si="1"/>
        <v>604870</v>
      </c>
      <c r="K12" s="339">
        <v>20400</v>
      </c>
      <c r="L12" s="339">
        <v>7646</v>
      </c>
      <c r="M12" s="339"/>
      <c r="N12" s="339"/>
      <c r="O12" s="339"/>
      <c r="P12" s="675"/>
      <c r="Q12" s="269" t="s">
        <v>478</v>
      </c>
      <c r="R12" s="229" t="s">
        <v>479</v>
      </c>
      <c r="S12" s="229" t="s">
        <v>480</v>
      </c>
      <c r="T12" s="229" t="s">
        <v>455</v>
      </c>
      <c r="U12" s="229" t="s">
        <v>468</v>
      </c>
      <c r="V12" s="258" t="s">
        <v>230</v>
      </c>
      <c r="W12" s="308" t="s">
        <v>670</v>
      </c>
      <c r="X12" s="320"/>
      <c r="Y12" s="243"/>
      <c r="Z12" s="312"/>
      <c r="AA12" s="328" t="s">
        <v>725</v>
      </c>
      <c r="AB12" s="243">
        <f>N34</f>
        <v>312784</v>
      </c>
      <c r="AC12" s="313">
        <f t="shared" si="4"/>
        <v>1.5942242094412157E-2</v>
      </c>
      <c r="AE12" s="650" t="s">
        <v>644</v>
      </c>
      <c r="AF12" s="650"/>
      <c r="AG12" s="650"/>
      <c r="AH12" s="229">
        <v>0</v>
      </c>
    </row>
    <row r="13" spans="1:34" ht="30.9" customHeight="1" thickTop="1" thickBot="1">
      <c r="A13" s="176">
        <v>45789</v>
      </c>
      <c r="B13" s="177" t="s">
        <v>488</v>
      </c>
      <c r="C13" s="183">
        <v>396098</v>
      </c>
      <c r="D13" s="183">
        <v>749401</v>
      </c>
      <c r="E13" s="183">
        <f t="shared" si="0"/>
        <v>-353303</v>
      </c>
      <c r="F13" s="183">
        <v>0</v>
      </c>
      <c r="G13" s="183">
        <v>0</v>
      </c>
      <c r="H13" s="221">
        <f t="shared" si="2"/>
        <v>1330106</v>
      </c>
      <c r="I13" s="710"/>
      <c r="J13" s="339">
        <f t="shared" si="1"/>
        <v>739944</v>
      </c>
      <c r="K13" s="339">
        <v>9457</v>
      </c>
      <c r="L13" s="339"/>
      <c r="M13" s="339"/>
      <c r="N13" s="339"/>
      <c r="O13" s="339"/>
      <c r="P13" s="675"/>
      <c r="Q13" s="332">
        <f>AF10-75000</f>
        <v>315000</v>
      </c>
      <c r="R13" s="229">
        <v>55000</v>
      </c>
      <c r="S13" s="229">
        <v>128500</v>
      </c>
      <c r="T13" s="229">
        <f>75*1100</f>
        <v>82500</v>
      </c>
      <c r="U13" s="229">
        <f>66*1100</f>
        <v>72600</v>
      </c>
      <c r="V13" s="229">
        <v>150000</v>
      </c>
      <c r="W13" s="266">
        <f>110*1100</f>
        <v>121000</v>
      </c>
      <c r="X13" s="311" t="s">
        <v>709</v>
      </c>
      <c r="Y13" s="317">
        <f>SUM(Y4:Y12)</f>
        <v>793785</v>
      </c>
      <c r="Z13" s="312">
        <f>SUM(Z4:Z12)</f>
        <v>4.045831193703308E-2</v>
      </c>
      <c r="AA13" s="327" t="s">
        <v>709</v>
      </c>
      <c r="AB13" s="317">
        <f>SUM(AB4:AB12)</f>
        <v>16656605</v>
      </c>
      <c r="AC13" s="313">
        <f>SUM(AC4:AC12)</f>
        <v>0.84896807183550316</v>
      </c>
      <c r="AE13" s="650" t="s">
        <v>645</v>
      </c>
      <c r="AF13" s="650"/>
      <c r="AG13" s="261" t="s">
        <v>646</v>
      </c>
      <c r="AH13" s="229">
        <v>2365016</v>
      </c>
    </row>
    <row r="14" spans="1:34" ht="30.9" customHeight="1" thickTop="1" thickBot="1">
      <c r="A14" s="176">
        <v>45790</v>
      </c>
      <c r="B14" s="177" t="s">
        <v>489</v>
      </c>
      <c r="C14" s="183">
        <v>548633</v>
      </c>
      <c r="D14" s="183">
        <v>63075</v>
      </c>
      <c r="E14" s="183">
        <f t="shared" si="0"/>
        <v>485558</v>
      </c>
      <c r="F14" s="183">
        <v>-12</v>
      </c>
      <c r="G14" s="183">
        <v>0</v>
      </c>
      <c r="H14" s="221">
        <f t="shared" si="2"/>
        <v>1815652</v>
      </c>
      <c r="I14" s="710"/>
      <c r="J14" s="339">
        <f t="shared" si="1"/>
        <v>63075</v>
      </c>
      <c r="K14" s="339"/>
      <c r="L14" s="339"/>
      <c r="M14" s="339"/>
      <c r="N14" s="339"/>
      <c r="O14" s="339"/>
      <c r="P14" s="675"/>
      <c r="Q14" s="333">
        <v>0</v>
      </c>
      <c r="R14" s="287">
        <v>0</v>
      </c>
      <c r="S14" s="287">
        <v>0</v>
      </c>
      <c r="T14" s="287">
        <v>0</v>
      </c>
      <c r="U14" s="287">
        <v>0</v>
      </c>
      <c r="V14" s="287">
        <v>0</v>
      </c>
      <c r="W14" s="309">
        <v>0</v>
      </c>
      <c r="X14" s="700" t="s">
        <v>726</v>
      </c>
      <c r="Y14" s="701"/>
      <c r="Z14" s="701"/>
      <c r="AA14" s="701"/>
      <c r="AB14" s="681">
        <f>Z21+AC21</f>
        <v>1.0618545272447639E-2</v>
      </c>
      <c r="AC14" s="682"/>
      <c r="AD14" s="81"/>
      <c r="AE14" s="650"/>
      <c r="AF14" s="650"/>
      <c r="AG14" s="261" t="s">
        <v>647</v>
      </c>
      <c r="AH14" s="229">
        <v>293211</v>
      </c>
    </row>
    <row r="15" spans="1:34" ht="30.9" customHeight="1" thickTop="1" thickBot="1">
      <c r="A15" s="176">
        <v>45791</v>
      </c>
      <c r="B15" s="177" t="s">
        <v>490</v>
      </c>
      <c r="C15" s="183">
        <v>420960</v>
      </c>
      <c r="D15" s="183">
        <v>1057329</v>
      </c>
      <c r="E15" s="183">
        <f t="shared" si="0"/>
        <v>-636369</v>
      </c>
      <c r="F15" s="183">
        <v>-514</v>
      </c>
      <c r="G15" s="183">
        <v>0</v>
      </c>
      <c r="H15" s="221">
        <f t="shared" si="2"/>
        <v>1178769</v>
      </c>
      <c r="I15" s="710"/>
      <c r="J15" s="339">
        <f t="shared" si="1"/>
        <v>1057329</v>
      </c>
      <c r="K15" s="339"/>
      <c r="L15" s="339"/>
      <c r="M15" s="339"/>
      <c r="N15" s="339"/>
      <c r="O15" s="339"/>
      <c r="P15" s="675"/>
      <c r="Q15" s="334">
        <f>SUM(Q13:Q14)</f>
        <v>315000</v>
      </c>
      <c r="R15" s="234">
        <f t="shared" ref="R15:W15" si="5">SUM(R13:R14)</f>
        <v>55000</v>
      </c>
      <c r="S15" s="234">
        <f t="shared" si="5"/>
        <v>128500</v>
      </c>
      <c r="T15" s="234">
        <f t="shared" si="5"/>
        <v>82500</v>
      </c>
      <c r="U15" s="234">
        <f t="shared" si="5"/>
        <v>72600</v>
      </c>
      <c r="V15" s="234">
        <f t="shared" si="5"/>
        <v>150000</v>
      </c>
      <c r="W15" s="260">
        <f t="shared" si="5"/>
        <v>121000</v>
      </c>
      <c r="X15" s="719" t="s">
        <v>729</v>
      </c>
      <c r="Y15" s="720"/>
      <c r="Z15" s="720"/>
      <c r="AA15" s="717" t="s">
        <v>730</v>
      </c>
      <c r="AB15" s="717"/>
      <c r="AC15" s="718"/>
      <c r="AD15" s="81"/>
      <c r="AE15" s="650" t="s">
        <v>648</v>
      </c>
      <c r="AF15" s="650" t="s">
        <v>649</v>
      </c>
      <c r="AG15" s="650"/>
      <c r="AH15" s="229">
        <v>13227</v>
      </c>
    </row>
    <row r="16" spans="1:34" ht="30.9" customHeight="1" thickTop="1" thickBot="1">
      <c r="A16" s="176">
        <v>45792</v>
      </c>
      <c r="B16" s="177" t="s">
        <v>491</v>
      </c>
      <c r="C16" s="183">
        <v>895919</v>
      </c>
      <c r="D16" s="183">
        <v>139798</v>
      </c>
      <c r="E16" s="183">
        <f t="shared" si="0"/>
        <v>756121</v>
      </c>
      <c r="F16" s="183">
        <v>0</v>
      </c>
      <c r="G16" s="183">
        <v>0</v>
      </c>
      <c r="H16" s="221">
        <f t="shared" si="2"/>
        <v>1934890</v>
      </c>
      <c r="I16" s="710"/>
      <c r="J16" s="339">
        <f t="shared" si="1"/>
        <v>120160</v>
      </c>
      <c r="K16" s="339">
        <v>6000</v>
      </c>
      <c r="L16" s="339">
        <v>13638</v>
      </c>
      <c r="M16" s="339"/>
      <c r="N16" s="339"/>
      <c r="O16" s="339"/>
      <c r="P16" s="675"/>
      <c r="Q16" s="698" t="s">
        <v>247</v>
      </c>
      <c r="R16" s="641"/>
      <c r="S16" s="641"/>
      <c r="T16" s="648">
        <f>SUM(R15:W15)+AF10</f>
        <v>999600</v>
      </c>
      <c r="U16" s="699"/>
      <c r="V16" s="699"/>
      <c r="W16" s="699"/>
      <c r="X16" s="324" t="s">
        <v>728</v>
      </c>
      <c r="Y16" s="243">
        <f>T23</f>
        <v>32400</v>
      </c>
      <c r="Z16" s="312">
        <f>Y16/$Q$4</f>
        <v>1.6513908763202527E-3</v>
      </c>
      <c r="AA16" s="321" t="s">
        <v>731</v>
      </c>
      <c r="AB16" s="243">
        <f>V4</f>
        <v>29761</v>
      </c>
      <c r="AC16" s="313">
        <f>AB16/$Q$4</f>
        <v>1.516884070066884E-3</v>
      </c>
      <c r="AE16" s="650"/>
      <c r="AF16" s="650" t="s">
        <v>650</v>
      </c>
      <c r="AG16" s="650"/>
      <c r="AH16" s="229">
        <v>372890</v>
      </c>
    </row>
    <row r="17" spans="1:34" ht="30.9" customHeight="1" thickTop="1" thickBot="1">
      <c r="A17" s="176">
        <v>45793</v>
      </c>
      <c r="B17" s="178" t="s">
        <v>485</v>
      </c>
      <c r="C17" s="183">
        <v>1126216</v>
      </c>
      <c r="D17" s="183">
        <v>157147</v>
      </c>
      <c r="E17" s="183">
        <f t="shared" si="0"/>
        <v>969069</v>
      </c>
      <c r="F17" s="183">
        <v>-451</v>
      </c>
      <c r="G17" s="183">
        <v>0</v>
      </c>
      <c r="H17" s="221">
        <f t="shared" si="2"/>
        <v>2903508</v>
      </c>
      <c r="I17" s="710"/>
      <c r="J17" s="339">
        <f t="shared" si="1"/>
        <v>108750</v>
      </c>
      <c r="K17" s="339"/>
      <c r="L17" s="339"/>
      <c r="M17" s="339"/>
      <c r="N17" s="339"/>
      <c r="O17" s="339">
        <v>48397</v>
      </c>
      <c r="P17" s="675"/>
      <c r="Q17" s="688" t="s">
        <v>482</v>
      </c>
      <c r="R17" s="643"/>
      <c r="S17" s="643"/>
      <c r="T17" s="643"/>
      <c r="U17" s="643"/>
      <c r="V17" s="649"/>
      <c r="W17" s="283"/>
      <c r="X17" s="324" t="s">
        <v>727</v>
      </c>
      <c r="Y17" s="243">
        <f>U23</f>
        <v>92780</v>
      </c>
      <c r="Z17" s="312">
        <f t="shared" ref="Z17:Z19" si="6">Y17/$Q$4</f>
        <v>4.7288902933639828E-3</v>
      </c>
      <c r="AA17" s="321" t="s">
        <v>732</v>
      </c>
      <c r="AB17" s="243">
        <f>Q23</f>
        <v>3393</v>
      </c>
      <c r="AC17" s="313">
        <f t="shared" ref="AC17" si="7">AB17/$Q$4</f>
        <v>1.7293732232575979E-4</v>
      </c>
      <c r="AE17" s="261" t="s">
        <v>651</v>
      </c>
      <c r="AF17" s="650" t="s">
        <v>652</v>
      </c>
      <c r="AG17" s="650"/>
      <c r="AH17" s="229">
        <v>812296</v>
      </c>
    </row>
    <row r="18" spans="1:34" ht="30.9" customHeight="1" thickTop="1" thickBot="1">
      <c r="A18" s="176">
        <v>45794</v>
      </c>
      <c r="B18" s="178" t="s">
        <v>486</v>
      </c>
      <c r="C18" s="183">
        <v>850714</v>
      </c>
      <c r="D18" s="183">
        <v>543702</v>
      </c>
      <c r="E18" s="183">
        <f t="shared" si="0"/>
        <v>307012</v>
      </c>
      <c r="F18" s="183">
        <v>-741</v>
      </c>
      <c r="G18" s="183">
        <v>0</v>
      </c>
      <c r="H18" s="221">
        <f t="shared" si="2"/>
        <v>3209779</v>
      </c>
      <c r="I18" s="710"/>
      <c r="J18" s="339">
        <f t="shared" si="1"/>
        <v>538002</v>
      </c>
      <c r="K18" s="339"/>
      <c r="L18" s="339"/>
      <c r="M18" s="339">
        <v>5700</v>
      </c>
      <c r="N18" s="339"/>
      <c r="O18" s="339"/>
      <c r="P18" s="675"/>
      <c r="Q18" s="284"/>
      <c r="R18" s="235"/>
      <c r="S18" s="222"/>
      <c r="T18" s="294" t="s">
        <v>703</v>
      </c>
      <c r="U18" s="236" t="s">
        <v>498</v>
      </c>
      <c r="V18" s="683" t="s">
        <v>247</v>
      </c>
      <c r="W18" s="684"/>
      <c r="X18" s="324" t="s">
        <v>733</v>
      </c>
      <c r="Y18" s="243">
        <f>S23</f>
        <v>0</v>
      </c>
      <c r="Z18" s="312">
        <f t="shared" si="6"/>
        <v>0</v>
      </c>
      <c r="AA18" s="322"/>
      <c r="AB18" s="243"/>
      <c r="AC18" s="313"/>
      <c r="AE18" s="650" t="s">
        <v>697</v>
      </c>
      <c r="AF18" s="650"/>
      <c r="AG18" s="650"/>
      <c r="AH18" s="229">
        <v>1067000</v>
      </c>
    </row>
    <row r="19" spans="1:34" ht="30.9" customHeight="1" thickTop="1" thickBot="1">
      <c r="A19" s="176">
        <v>45795</v>
      </c>
      <c r="B19" s="178" t="s">
        <v>487</v>
      </c>
      <c r="C19" s="183">
        <v>374314</v>
      </c>
      <c r="D19" s="183">
        <v>994416</v>
      </c>
      <c r="E19" s="183">
        <f t="shared" si="0"/>
        <v>-620102</v>
      </c>
      <c r="F19" s="183">
        <v>0</v>
      </c>
      <c r="G19" s="183">
        <v>0</v>
      </c>
      <c r="H19" s="221">
        <f t="shared" si="2"/>
        <v>2589677</v>
      </c>
      <c r="I19" s="710"/>
      <c r="J19" s="339">
        <f t="shared" si="1"/>
        <v>977676</v>
      </c>
      <c r="K19" s="339">
        <f>8700+7000</f>
        <v>15700</v>
      </c>
      <c r="L19" s="339"/>
      <c r="M19" s="339"/>
      <c r="N19" s="339">
        <v>1040</v>
      </c>
      <c r="O19" s="339"/>
      <c r="P19" s="675"/>
      <c r="Q19" s="335"/>
      <c r="R19" s="237"/>
      <c r="S19" s="237"/>
      <c r="T19" s="295">
        <v>33000</v>
      </c>
      <c r="U19" s="238">
        <f>V23</f>
        <v>175180</v>
      </c>
      <c r="V19" s="685">
        <f>SUM(Q19:U19)</f>
        <v>208180</v>
      </c>
      <c r="W19" s="686"/>
      <c r="X19" s="324" t="s">
        <v>734</v>
      </c>
      <c r="Y19" s="243">
        <f>R23</f>
        <v>50000</v>
      </c>
      <c r="Z19" s="312">
        <f t="shared" si="6"/>
        <v>2.5484427103707602E-3</v>
      </c>
      <c r="AA19" s="322"/>
      <c r="AB19" s="243"/>
      <c r="AC19" s="313"/>
      <c r="AE19" s="652" t="s">
        <v>654</v>
      </c>
      <c r="AF19" s="652"/>
      <c r="AG19" s="652"/>
      <c r="AH19" s="229">
        <v>6335494</v>
      </c>
    </row>
    <row r="20" spans="1:34" ht="30.9" customHeight="1" thickTop="1" thickBot="1">
      <c r="A20" s="176">
        <v>45796</v>
      </c>
      <c r="B20" s="177" t="s">
        <v>488</v>
      </c>
      <c r="C20" s="183">
        <v>420908</v>
      </c>
      <c r="D20" s="183">
        <v>567058</v>
      </c>
      <c r="E20" s="183">
        <f t="shared" si="0"/>
        <v>-146150</v>
      </c>
      <c r="F20" s="183">
        <v>-41</v>
      </c>
      <c r="G20" s="183">
        <v>0</v>
      </c>
      <c r="H20" s="221">
        <f t="shared" si="2"/>
        <v>2443486</v>
      </c>
      <c r="I20" s="710"/>
      <c r="J20" s="339">
        <f t="shared" si="1"/>
        <v>567058</v>
      </c>
      <c r="K20" s="339"/>
      <c r="L20" s="339"/>
      <c r="M20" s="339"/>
      <c r="N20" s="339"/>
      <c r="O20" s="339"/>
      <c r="P20" s="675"/>
      <c r="Q20" s="269"/>
      <c r="R20" s="232"/>
      <c r="S20" s="232"/>
      <c r="T20" s="232"/>
      <c r="U20" s="232"/>
      <c r="V20" s="232"/>
      <c r="W20" s="310"/>
      <c r="X20" s="325"/>
      <c r="Y20" s="243"/>
      <c r="Z20" s="312"/>
      <c r="AA20" s="314"/>
      <c r="AB20" s="243"/>
      <c r="AC20" s="313"/>
      <c r="AE20" s="652" t="s">
        <v>655</v>
      </c>
      <c r="AF20" s="652"/>
      <c r="AG20" s="652"/>
      <c r="AH20" s="229">
        <v>6000000</v>
      </c>
    </row>
    <row r="21" spans="1:34" ht="30.9" customHeight="1" thickTop="1" thickBot="1">
      <c r="A21" s="176">
        <v>45797</v>
      </c>
      <c r="B21" s="177" t="s">
        <v>489</v>
      </c>
      <c r="C21" s="183">
        <v>336508</v>
      </c>
      <c r="D21" s="183">
        <v>631326</v>
      </c>
      <c r="E21" s="183">
        <f t="shared" si="0"/>
        <v>-294818</v>
      </c>
      <c r="F21" s="183">
        <v>-146</v>
      </c>
      <c r="G21" s="183">
        <v>0</v>
      </c>
      <c r="H21" s="221">
        <f t="shared" si="2"/>
        <v>2148522</v>
      </c>
      <c r="I21" s="710"/>
      <c r="J21" s="339">
        <f t="shared" si="1"/>
        <v>631326</v>
      </c>
      <c r="K21" s="339"/>
      <c r="L21" s="339"/>
      <c r="M21" s="339"/>
      <c r="N21" s="339"/>
      <c r="O21" s="339"/>
      <c r="P21" s="675"/>
      <c r="Q21" s="687" t="s">
        <v>497</v>
      </c>
      <c r="R21" s="687"/>
      <c r="S21" s="687"/>
      <c r="T21" s="687"/>
      <c r="U21" s="687"/>
      <c r="V21" s="687"/>
      <c r="W21" s="687"/>
      <c r="X21" s="326" t="s">
        <v>709</v>
      </c>
      <c r="Y21" s="318">
        <f>SUM(Y16:Y20)</f>
        <v>175180</v>
      </c>
      <c r="Z21" s="315">
        <f>SUM(Z16:Z20)</f>
        <v>8.9287238800549954E-3</v>
      </c>
      <c r="AA21" s="323" t="s">
        <v>709</v>
      </c>
      <c r="AB21" s="318">
        <f>SUM(AB16:AB20)</f>
        <v>33154</v>
      </c>
      <c r="AC21" s="316">
        <f>SUM(AC16:AC20)</f>
        <v>1.6898213923926438E-3</v>
      </c>
      <c r="AE21" s="653" t="s">
        <v>247</v>
      </c>
      <c r="AF21" s="653"/>
      <c r="AG21" s="653"/>
      <c r="AH21" s="270">
        <f>SUM(AH12:AH20)</f>
        <v>17259134</v>
      </c>
    </row>
    <row r="22" spans="1:34" ht="30.9" customHeight="1" thickTop="1" thickBot="1">
      <c r="A22" s="176">
        <v>45798</v>
      </c>
      <c r="B22" s="177" t="s">
        <v>490</v>
      </c>
      <c r="C22" s="183">
        <v>250622</v>
      </c>
      <c r="D22" s="183">
        <v>810381</v>
      </c>
      <c r="E22" s="183">
        <f t="shared" si="0"/>
        <v>-559759</v>
      </c>
      <c r="F22" s="183">
        <v>0</v>
      </c>
      <c r="G22" s="183">
        <v>0</v>
      </c>
      <c r="H22" s="221">
        <f t="shared" si="2"/>
        <v>1588763</v>
      </c>
      <c r="I22" s="710"/>
      <c r="J22" s="339">
        <f t="shared" si="1"/>
        <v>810381</v>
      </c>
      <c r="K22" s="339"/>
      <c r="L22" s="339"/>
      <c r="M22" s="339"/>
      <c r="N22" s="339"/>
      <c r="O22" s="339"/>
      <c r="P22" s="675"/>
      <c r="Q22" s="336" t="s">
        <v>625</v>
      </c>
      <c r="R22" s="299" t="s">
        <v>664</v>
      </c>
      <c r="S22" s="299" t="s">
        <v>733</v>
      </c>
      <c r="T22" s="299" t="s">
        <v>728</v>
      </c>
      <c r="U22" s="299" t="s">
        <v>727</v>
      </c>
      <c r="V22" s="690" t="s">
        <v>247</v>
      </c>
      <c r="W22" s="691"/>
      <c r="X22" s="694" t="s">
        <v>745</v>
      </c>
      <c r="Y22" s="695"/>
      <c r="Z22" s="695"/>
      <c r="AA22" s="695"/>
      <c r="AB22" s="721">
        <f>AB14+AB2</f>
        <v>0.9000449290449839</v>
      </c>
      <c r="AC22" s="721"/>
      <c r="AE22" s="661"/>
      <c r="AF22" s="662"/>
      <c r="AG22" s="662"/>
      <c r="AH22" s="662"/>
    </row>
    <row r="23" spans="1:34" ht="30.9" customHeight="1" thickTop="1" thickBot="1">
      <c r="A23" s="176">
        <v>45799</v>
      </c>
      <c r="B23" s="177" t="s">
        <v>491</v>
      </c>
      <c r="C23" s="183">
        <v>639332</v>
      </c>
      <c r="D23" s="183">
        <v>393158</v>
      </c>
      <c r="E23" s="183">
        <f t="shared" si="0"/>
        <v>246174</v>
      </c>
      <c r="F23" s="183">
        <v>0</v>
      </c>
      <c r="G23" s="183">
        <v>0</v>
      </c>
      <c r="H23" s="221">
        <f t="shared" si="2"/>
        <v>1834937</v>
      </c>
      <c r="I23" s="710"/>
      <c r="J23" s="339">
        <f t="shared" si="1"/>
        <v>379512</v>
      </c>
      <c r="K23" s="339">
        <v>9000</v>
      </c>
      <c r="L23" s="339"/>
      <c r="M23" s="339">
        <v>4646</v>
      </c>
      <c r="N23" s="339"/>
      <c r="O23" s="339"/>
      <c r="P23" s="675"/>
      <c r="Q23" s="335">
        <v>3393</v>
      </c>
      <c r="R23" s="298">
        <v>50000</v>
      </c>
      <c r="S23" s="298">
        <v>0</v>
      </c>
      <c r="T23" s="298">
        <v>32400</v>
      </c>
      <c r="U23" s="298">
        <v>92780</v>
      </c>
      <c r="V23" s="692">
        <f>SUM(R23:U23)</f>
        <v>175180</v>
      </c>
      <c r="W23" s="693"/>
      <c r="X23" s="696"/>
      <c r="Y23" s="697"/>
      <c r="Z23" s="697"/>
      <c r="AA23" s="697"/>
      <c r="AB23" s="722"/>
      <c r="AC23" s="722"/>
      <c r="AE23" s="647" t="s">
        <v>665</v>
      </c>
      <c r="AF23" s="647"/>
      <c r="AG23" s="647"/>
      <c r="AH23" s="647"/>
    </row>
    <row r="24" spans="1:34" ht="30.9" customHeight="1" thickTop="1" thickBot="1">
      <c r="A24" s="176">
        <v>45800</v>
      </c>
      <c r="B24" s="178" t="s">
        <v>485</v>
      </c>
      <c r="C24" s="183">
        <v>1366411</v>
      </c>
      <c r="D24" s="183">
        <v>143072</v>
      </c>
      <c r="E24" s="183">
        <f t="shared" si="0"/>
        <v>1223339</v>
      </c>
      <c r="F24" s="183">
        <v>-417</v>
      </c>
      <c r="G24" s="183">
        <v>0</v>
      </c>
      <c r="H24" s="184">
        <f t="shared" si="2"/>
        <v>3057859</v>
      </c>
      <c r="I24" s="710"/>
      <c r="J24" s="339">
        <f t="shared" si="1"/>
        <v>125792</v>
      </c>
      <c r="K24" s="339"/>
      <c r="L24" s="339"/>
      <c r="M24" s="339"/>
      <c r="N24" s="339">
        <v>17280</v>
      </c>
      <c r="O24" s="339"/>
      <c r="P24" s="675"/>
      <c r="X24" s="711" t="s">
        <v>735</v>
      </c>
      <c r="Y24" s="711"/>
      <c r="Z24" s="711"/>
      <c r="AA24" s="711"/>
      <c r="AB24" s="711"/>
      <c r="AC24" s="711"/>
      <c r="AE24" s="656" t="s">
        <v>666</v>
      </c>
      <c r="AF24" s="658"/>
      <c r="AG24" s="657"/>
      <c r="AH24" s="232"/>
    </row>
    <row r="25" spans="1:34" ht="30.9" customHeight="1" thickTop="1" thickBot="1">
      <c r="A25" s="176">
        <v>45801</v>
      </c>
      <c r="B25" s="178" t="s">
        <v>486</v>
      </c>
      <c r="C25" s="183">
        <v>768211</v>
      </c>
      <c r="D25" s="183">
        <v>768332</v>
      </c>
      <c r="E25" s="183">
        <f t="shared" si="0"/>
        <v>-121</v>
      </c>
      <c r="F25" s="183">
        <v>-521</v>
      </c>
      <c r="G25" s="183">
        <v>0</v>
      </c>
      <c r="H25" s="184">
        <f t="shared" si="2"/>
        <v>3057217</v>
      </c>
      <c r="I25" s="710"/>
      <c r="J25" s="339">
        <f t="shared" si="1"/>
        <v>552885</v>
      </c>
      <c r="K25" s="339">
        <v>6010</v>
      </c>
      <c r="L25" s="339">
        <v>21837</v>
      </c>
      <c r="M25" s="339"/>
      <c r="N25" s="339">
        <v>600</v>
      </c>
      <c r="O25" s="339">
        <v>187000</v>
      </c>
      <c r="P25" s="675"/>
      <c r="Q25" s="689" t="s">
        <v>672</v>
      </c>
      <c r="R25" s="664"/>
      <c r="S25" s="664"/>
      <c r="T25" s="664"/>
      <c r="U25" s="664"/>
      <c r="V25" s="664"/>
      <c r="W25" s="285"/>
      <c r="X25" s="300"/>
      <c r="Y25" s="712" t="s">
        <v>739</v>
      </c>
      <c r="Z25" s="712"/>
      <c r="AA25" s="301" t="s">
        <v>738</v>
      </c>
      <c r="AB25" s="712" t="s">
        <v>740</v>
      </c>
      <c r="AC25" s="712"/>
      <c r="AE25" s="268"/>
      <c r="AF25" s="656"/>
      <c r="AG25" s="657"/>
      <c r="AH25" s="232"/>
    </row>
    <row r="26" spans="1:34" ht="30.9" customHeight="1" thickTop="1" thickBot="1">
      <c r="A26" s="176">
        <v>45802</v>
      </c>
      <c r="B26" s="178" t="s">
        <v>487</v>
      </c>
      <c r="C26" s="183">
        <v>646146</v>
      </c>
      <c r="D26" s="183">
        <v>279563</v>
      </c>
      <c r="E26" s="183">
        <f t="shared" si="0"/>
        <v>366583</v>
      </c>
      <c r="F26" s="183">
        <v>0</v>
      </c>
      <c r="G26" s="183">
        <v>0</v>
      </c>
      <c r="H26" s="184">
        <f t="shared" si="2"/>
        <v>3423800</v>
      </c>
      <c r="I26" s="710"/>
      <c r="J26" s="339">
        <f t="shared" si="1"/>
        <v>278790</v>
      </c>
      <c r="K26" s="339"/>
      <c r="L26" s="339"/>
      <c r="M26" s="339"/>
      <c r="N26" s="339">
        <v>773</v>
      </c>
      <c r="O26" s="339"/>
      <c r="P26" s="675"/>
      <c r="Q26" s="337"/>
      <c r="R26" s="665" t="s">
        <v>753</v>
      </c>
      <c r="S26" s="665"/>
      <c r="T26" s="665"/>
      <c r="U26" s="665"/>
      <c r="V26" s="665"/>
      <c r="W26" s="286"/>
      <c r="X26" s="302" t="s">
        <v>736</v>
      </c>
      <c r="Y26" s="303">
        <v>18224357</v>
      </c>
      <c r="Z26" s="305">
        <f>(AA26/Y26)-100%</f>
        <v>7.6571590427031211E-2</v>
      </c>
      <c r="AA26" s="304">
        <f>C34</f>
        <v>19619825</v>
      </c>
      <c r="AB26" s="303">
        <v>14861786</v>
      </c>
      <c r="AC26" s="305">
        <f>AA26/AB26-100%</f>
        <v>0.32015257116473084</v>
      </c>
      <c r="AE26" s="268"/>
      <c r="AF26" s="656"/>
      <c r="AG26" s="657"/>
      <c r="AH26" s="232"/>
    </row>
    <row r="27" spans="1:34" ht="30.9" customHeight="1" thickTop="1" thickBot="1">
      <c r="A27" s="176">
        <v>45803</v>
      </c>
      <c r="B27" s="177" t="s">
        <v>488</v>
      </c>
      <c r="C27" s="183">
        <v>461449</v>
      </c>
      <c r="D27" s="183">
        <v>417110</v>
      </c>
      <c r="E27" s="183">
        <f t="shared" si="0"/>
        <v>44339</v>
      </c>
      <c r="F27" s="183">
        <v>0</v>
      </c>
      <c r="G27" s="183">
        <v>0</v>
      </c>
      <c r="H27" s="184">
        <f t="shared" si="2"/>
        <v>3468139</v>
      </c>
      <c r="I27" s="710"/>
      <c r="J27" s="339">
        <f t="shared" si="1"/>
        <v>417110</v>
      </c>
      <c r="K27" s="339"/>
      <c r="L27" s="339"/>
      <c r="M27" s="339"/>
      <c r="N27" s="339"/>
      <c r="O27" s="339"/>
      <c r="P27" s="675"/>
      <c r="Q27" s="282"/>
      <c r="R27" s="665" t="s">
        <v>752</v>
      </c>
      <c r="S27" s="665"/>
      <c r="T27" s="665"/>
      <c r="U27" s="665"/>
      <c r="V27" s="665"/>
      <c r="W27" s="286"/>
      <c r="X27" s="302" t="s">
        <v>510</v>
      </c>
      <c r="Y27" s="303">
        <f>'2025_4'!M8</f>
        <v>17246124</v>
      </c>
      <c r="Z27" s="305">
        <f>(AA27/Y27)-100%</f>
        <v>2.1863231413620898E-2</v>
      </c>
      <c r="AA27" s="304">
        <f>U8</f>
        <v>17623180</v>
      </c>
      <c r="AB27" s="303">
        <f>'2024_5'!M8</f>
        <v>13682046</v>
      </c>
      <c r="AC27" s="305">
        <f>AA27/AB27-100%</f>
        <v>0.28805150925526779</v>
      </c>
      <c r="AE27" s="268"/>
      <c r="AF27" s="656"/>
      <c r="AG27" s="657"/>
      <c r="AH27" s="232"/>
    </row>
    <row r="28" spans="1:34" ht="30.9" customHeight="1" thickTop="1" thickBot="1">
      <c r="A28" s="176">
        <v>45804</v>
      </c>
      <c r="B28" s="177" t="s">
        <v>489</v>
      </c>
      <c r="C28" s="183">
        <v>501169</v>
      </c>
      <c r="D28" s="183">
        <v>359550</v>
      </c>
      <c r="E28" s="183">
        <f t="shared" si="0"/>
        <v>141619</v>
      </c>
      <c r="F28" s="183">
        <v>-254</v>
      </c>
      <c r="G28" s="183">
        <v>0</v>
      </c>
      <c r="H28" s="184">
        <f t="shared" si="2"/>
        <v>3609504</v>
      </c>
      <c r="I28" s="710"/>
      <c r="J28" s="339">
        <f t="shared" si="1"/>
        <v>214939</v>
      </c>
      <c r="K28" s="339">
        <v>3520</v>
      </c>
      <c r="L28" s="339"/>
      <c r="M28" s="339">
        <v>7232</v>
      </c>
      <c r="N28" s="339">
        <v>33883</v>
      </c>
      <c r="O28" s="339">
        <f>2890+6286+90800</f>
        <v>99976</v>
      </c>
      <c r="P28" s="675"/>
      <c r="Q28" s="282"/>
      <c r="R28" s="665" t="s">
        <v>751</v>
      </c>
      <c r="S28" s="665"/>
      <c r="T28" s="665"/>
      <c r="U28" s="665"/>
      <c r="V28" s="665"/>
      <c r="W28" s="286"/>
      <c r="X28" s="302" t="s">
        <v>737</v>
      </c>
      <c r="Y28" s="303">
        <f>'2025_4'!J9</f>
        <v>954902</v>
      </c>
      <c r="Z28" s="305">
        <f>(AA28/Y28)-100%</f>
        <v>1.0977283532760431</v>
      </c>
      <c r="AA28" s="304">
        <f>R9</f>
        <v>2003125</v>
      </c>
      <c r="AB28" s="303">
        <f>'2024_5'!J9</f>
        <v>1179740</v>
      </c>
      <c r="AC28" s="305">
        <f>AA28/AB28-100%</f>
        <v>0.69793768118398969</v>
      </c>
      <c r="AE28" s="268"/>
      <c r="AF28" s="656"/>
      <c r="AG28" s="657"/>
      <c r="AH28" s="232"/>
    </row>
    <row r="29" spans="1:34" ht="30.9" customHeight="1" thickTop="1" thickBot="1">
      <c r="A29" s="176">
        <v>45805</v>
      </c>
      <c r="B29" s="177" t="s">
        <v>490</v>
      </c>
      <c r="C29" s="183">
        <v>415420</v>
      </c>
      <c r="D29" s="183">
        <v>1236702</v>
      </c>
      <c r="E29" s="183">
        <f t="shared" si="0"/>
        <v>-821282</v>
      </c>
      <c r="F29" s="183">
        <v>-51</v>
      </c>
      <c r="G29" s="183">
        <v>0</v>
      </c>
      <c r="H29" s="184">
        <f t="shared" si="2"/>
        <v>2788171</v>
      </c>
      <c r="I29" s="710"/>
      <c r="J29" s="339">
        <f t="shared" si="1"/>
        <v>908815</v>
      </c>
      <c r="K29" s="339">
        <f>6778+7509</f>
        <v>14287</v>
      </c>
      <c r="L29" s="339"/>
      <c r="M29" s="339"/>
      <c r="N29" s="339"/>
      <c r="O29" s="339">
        <v>313600</v>
      </c>
      <c r="P29" s="675"/>
      <c r="Q29" s="282"/>
      <c r="R29" s="665"/>
      <c r="S29" s="665"/>
      <c r="T29" s="665"/>
      <c r="U29" s="665"/>
      <c r="V29" s="665"/>
      <c r="W29" s="286"/>
      <c r="X29" s="302" t="s">
        <v>757</v>
      </c>
      <c r="Y29" s="341">
        <v>3684</v>
      </c>
      <c r="Z29" s="305">
        <f t="shared" ref="Z29:Z31" si="8">(AA29/Y29)-100%</f>
        <v>9.473398479913131E-2</v>
      </c>
      <c r="AA29" s="342">
        <v>4033</v>
      </c>
      <c r="AB29" s="341">
        <v>3524</v>
      </c>
      <c r="AC29" s="305">
        <f t="shared" ref="AC29:AC31" si="9">AA29/AB29-100%</f>
        <v>0.14443813847900122</v>
      </c>
      <c r="AE29" s="658" t="s">
        <v>667</v>
      </c>
      <c r="AF29" s="658"/>
      <c r="AG29" s="657"/>
      <c r="AH29" s="232"/>
    </row>
    <row r="30" spans="1:34" ht="30.9" customHeight="1" thickTop="1" thickBot="1">
      <c r="A30" s="176">
        <v>45806</v>
      </c>
      <c r="B30" s="177" t="s">
        <v>491</v>
      </c>
      <c r="C30" s="183">
        <v>491236</v>
      </c>
      <c r="D30" s="183">
        <v>779059</v>
      </c>
      <c r="E30" s="183">
        <f t="shared" si="0"/>
        <v>-287823</v>
      </c>
      <c r="F30" s="183">
        <v>0</v>
      </c>
      <c r="G30" s="183">
        <v>0</v>
      </c>
      <c r="H30" s="184">
        <f t="shared" si="2"/>
        <v>2500348</v>
      </c>
      <c r="I30" s="710"/>
      <c r="J30" s="339">
        <f t="shared" si="1"/>
        <v>620454</v>
      </c>
      <c r="K30" s="339"/>
      <c r="L30" s="339"/>
      <c r="M30" s="339"/>
      <c r="N30" s="339"/>
      <c r="O30" s="339">
        <f>132550+26055</f>
        <v>158605</v>
      </c>
      <c r="P30" s="675"/>
      <c r="Q30" s="282"/>
      <c r="R30" s="665"/>
      <c r="S30" s="665"/>
      <c r="T30" s="665"/>
      <c r="U30" s="665"/>
      <c r="V30" s="665"/>
      <c r="W30" s="286"/>
      <c r="X30" s="302" t="s">
        <v>758</v>
      </c>
      <c r="Y30" s="303">
        <f>Y26/Y29</f>
        <v>4946.8938653637351</v>
      </c>
      <c r="Z30" s="305">
        <f t="shared" si="8"/>
        <v>-1.6590692007641183E-2</v>
      </c>
      <c r="AA30" s="304">
        <f>AA26/AA29</f>
        <v>4864.8214728489957</v>
      </c>
      <c r="AB30" s="303">
        <f>AB26/AB29</f>
        <v>4217.3059023836549</v>
      </c>
      <c r="AC30" s="305">
        <f t="shared" si="9"/>
        <v>0.15353772893243511</v>
      </c>
      <c r="AE30" s="268"/>
      <c r="AF30" s="656"/>
      <c r="AG30" s="657"/>
      <c r="AH30" s="232"/>
    </row>
    <row r="31" spans="1:34" ht="30.9" customHeight="1" thickTop="1" thickBot="1">
      <c r="A31" s="176">
        <v>45807</v>
      </c>
      <c r="B31" s="178" t="s">
        <v>485</v>
      </c>
      <c r="C31" s="183">
        <v>742011</v>
      </c>
      <c r="D31" s="183">
        <v>344562</v>
      </c>
      <c r="E31" s="183">
        <f t="shared" si="0"/>
        <v>397449</v>
      </c>
      <c r="F31" s="183">
        <v>-244</v>
      </c>
      <c r="G31" s="183">
        <v>0</v>
      </c>
      <c r="H31" s="184">
        <f>H30+E31+F31</f>
        <v>2897553</v>
      </c>
      <c r="I31" s="710"/>
      <c r="J31" s="339">
        <f t="shared" si="1"/>
        <v>328084</v>
      </c>
      <c r="K31" s="339"/>
      <c r="L31" s="339">
        <v>16478</v>
      </c>
      <c r="M31" s="339"/>
      <c r="N31" s="339"/>
      <c r="O31" s="339"/>
      <c r="P31" s="675"/>
      <c r="Q31" s="282"/>
      <c r="R31" s="665"/>
      <c r="S31" s="665"/>
      <c r="T31" s="665"/>
      <c r="U31" s="665"/>
      <c r="V31" s="665"/>
      <c r="W31" s="286"/>
      <c r="X31" s="302" t="s">
        <v>756</v>
      </c>
      <c r="Y31" s="303">
        <f>Y26/30</f>
        <v>607478.56666666665</v>
      </c>
      <c r="Z31" s="305">
        <f t="shared" si="8"/>
        <v>4.1843474606804598E-2</v>
      </c>
      <c r="AA31" s="304">
        <f>AA26/31</f>
        <v>632897.58064516133</v>
      </c>
      <c r="AB31" s="303">
        <f>AB26/31</f>
        <v>479412.45161290321</v>
      </c>
      <c r="AC31" s="305">
        <f t="shared" si="9"/>
        <v>0.32015257116473084</v>
      </c>
      <c r="AE31" s="269"/>
      <c r="AF31" s="659"/>
      <c r="AG31" s="660"/>
      <c r="AH31" s="232"/>
    </row>
    <row r="32" spans="1:34" ht="30.9" customHeight="1" thickTop="1" thickBot="1">
      <c r="A32" s="176">
        <v>45808</v>
      </c>
      <c r="B32" s="178" t="s">
        <v>486</v>
      </c>
      <c r="C32" s="183">
        <v>897327</v>
      </c>
      <c r="D32" s="183">
        <v>396351</v>
      </c>
      <c r="E32" s="183">
        <f t="shared" si="0"/>
        <v>500976</v>
      </c>
      <c r="F32" s="183">
        <v>-584</v>
      </c>
      <c r="G32" s="183">
        <v>0</v>
      </c>
      <c r="H32" s="184">
        <f t="shared" si="2"/>
        <v>3397945</v>
      </c>
      <c r="I32" s="710"/>
      <c r="J32" s="339">
        <f t="shared" si="1"/>
        <v>396351</v>
      </c>
      <c r="K32" s="339"/>
      <c r="L32" s="339"/>
      <c r="M32" s="339"/>
      <c r="N32" s="339"/>
      <c r="O32" s="339"/>
      <c r="P32" s="675"/>
      <c r="Q32" s="282"/>
      <c r="R32" s="665"/>
      <c r="S32" s="665"/>
      <c r="T32" s="665"/>
      <c r="U32" s="665"/>
      <c r="V32" s="665"/>
      <c r="W32" s="286"/>
      <c r="AE32" s="269"/>
      <c r="AF32" s="659"/>
      <c r="AG32" s="660"/>
      <c r="AH32" s="232"/>
    </row>
    <row r="33" spans="1:36" ht="30.9" customHeight="1" thickTop="1">
      <c r="A33" s="264"/>
      <c r="B33" s="265"/>
      <c r="C33" s="183"/>
      <c r="D33" s="293">
        <v>200000</v>
      </c>
      <c r="E33" s="293">
        <f t="shared" si="0"/>
        <v>-200000</v>
      </c>
      <c r="F33" s="183"/>
      <c r="G33" s="183">
        <v>0</v>
      </c>
      <c r="H33" s="184">
        <f t="shared" si="2"/>
        <v>3197945</v>
      </c>
      <c r="I33" s="710"/>
      <c r="J33" s="339">
        <f t="shared" ref="J33" si="10">D33-SUM(K33:N33)</f>
        <v>0</v>
      </c>
      <c r="K33" s="339"/>
      <c r="L33" s="339"/>
      <c r="M33" s="339"/>
      <c r="N33" s="339">
        <v>200000</v>
      </c>
      <c r="O33" s="339"/>
      <c r="P33" s="675"/>
      <c r="Q33" s="282"/>
      <c r="R33" s="665"/>
      <c r="S33" s="665"/>
      <c r="T33" s="665"/>
      <c r="U33" s="665"/>
      <c r="V33" s="665"/>
      <c r="W33" s="286"/>
      <c r="AF33" s="81"/>
      <c r="AG33" s="81"/>
    </row>
    <row r="34" spans="1:36" ht="45" customHeight="1">
      <c r="A34" s="672" t="s">
        <v>247</v>
      </c>
      <c r="B34" s="673"/>
      <c r="C34" s="292">
        <f>SUM(C2:C33)</f>
        <v>19619825</v>
      </c>
      <c r="D34" s="292">
        <f>SUM(D2:D33)</f>
        <v>16415400</v>
      </c>
      <c r="E34" s="292">
        <f>SUM(E2:E33)</f>
        <v>3204425</v>
      </c>
      <c r="F34" s="292">
        <f>SUM(F2:F33)</f>
        <v>-6480</v>
      </c>
      <c r="G34" s="292">
        <f>SUM(G2:G33)</f>
        <v>0</v>
      </c>
      <c r="H34" s="292">
        <f>C34-D34+G34</f>
        <v>3204425</v>
      </c>
      <c r="I34" s="710"/>
      <c r="J34" s="340">
        <f>SUM(J2:J33)</f>
        <v>15063976</v>
      </c>
      <c r="K34" s="340">
        <f t="shared" ref="K34:O34" si="11">SUM(K2:K33)</f>
        <v>127052</v>
      </c>
      <c r="L34" s="340">
        <f t="shared" si="11"/>
        <v>75496</v>
      </c>
      <c r="M34" s="340">
        <f t="shared" si="11"/>
        <v>23014</v>
      </c>
      <c r="N34" s="340">
        <f t="shared" si="11"/>
        <v>312784</v>
      </c>
      <c r="O34" s="340">
        <f t="shared" si="11"/>
        <v>813078</v>
      </c>
      <c r="P34" s="675"/>
      <c r="AE34" s="674"/>
      <c r="AF34" s="674"/>
      <c r="AG34" s="674"/>
      <c r="AH34" s="674"/>
      <c r="AI34" s="674"/>
      <c r="AJ34" s="674"/>
    </row>
    <row r="35" spans="1:36">
      <c r="A35" s="69"/>
    </row>
    <row r="36" spans="1:36">
      <c r="A36" s="69"/>
    </row>
    <row r="37" spans="1:36">
      <c r="A37" s="69"/>
    </row>
    <row r="38" spans="1:36">
      <c r="A38" s="69"/>
    </row>
    <row r="39" spans="1:36">
      <c r="A39" s="69"/>
    </row>
    <row r="40" spans="1:36" ht="21" customHeight="1">
      <c r="A40" s="69"/>
    </row>
    <row r="41" spans="1:36" ht="23.1" customHeight="1">
      <c r="A41" s="69"/>
    </row>
    <row r="42" spans="1:36">
      <c r="A42" s="69"/>
    </row>
    <row r="43" spans="1:36" ht="29.1" customHeight="1">
      <c r="A43" s="69"/>
    </row>
    <row r="44" spans="1:36" ht="15" customHeight="1">
      <c r="A44" s="69"/>
    </row>
    <row r="45" spans="1:36">
      <c r="A45" s="69"/>
    </row>
    <row r="46" spans="1:36">
      <c r="A46" s="69"/>
    </row>
    <row r="47" spans="1:36">
      <c r="A47" s="69"/>
    </row>
    <row r="48" spans="1:36">
      <c r="A48" s="69"/>
    </row>
    <row r="49" spans="1:1">
      <c r="A49" s="69"/>
    </row>
    <row r="50" spans="1:1">
      <c r="A50" s="69"/>
    </row>
    <row r="51" spans="1:1" ht="18.899999999999999" customHeight="1">
      <c r="A51" s="69"/>
    </row>
  </sheetData>
  <mergeCells count="74">
    <mergeCell ref="Q1:W1"/>
    <mergeCell ref="V3:W3"/>
    <mergeCell ref="Q3:R3"/>
    <mergeCell ref="Q4:R5"/>
    <mergeCell ref="R9:W9"/>
    <mergeCell ref="A1:B1"/>
    <mergeCell ref="AE1:AH1"/>
    <mergeCell ref="AE2:AH2"/>
    <mergeCell ref="Q2:W2"/>
    <mergeCell ref="I1:I34"/>
    <mergeCell ref="X24:AC24"/>
    <mergeCell ref="AB25:AC25"/>
    <mergeCell ref="Y25:Z25"/>
    <mergeCell ref="X3:Z3"/>
    <mergeCell ref="AA3:AC3"/>
    <mergeCell ref="AA15:AC15"/>
    <mergeCell ref="X15:Z15"/>
    <mergeCell ref="AE11:AH11"/>
    <mergeCell ref="AE5:AH5"/>
    <mergeCell ref="AE6:AF6"/>
    <mergeCell ref="AB22:AC23"/>
    <mergeCell ref="AG6:AH6"/>
    <mergeCell ref="Q6:W6"/>
    <mergeCell ref="U7:W7"/>
    <mergeCell ref="U8:W8"/>
    <mergeCell ref="AE12:AG12"/>
    <mergeCell ref="Q11:W11"/>
    <mergeCell ref="Q10:W10"/>
    <mergeCell ref="AE13:AF14"/>
    <mergeCell ref="AE15:AE16"/>
    <mergeCell ref="AF15:AG15"/>
    <mergeCell ref="Q16:S16"/>
    <mergeCell ref="AF16:AG16"/>
    <mergeCell ref="T16:W16"/>
    <mergeCell ref="X14:AA14"/>
    <mergeCell ref="AB14:AC14"/>
    <mergeCell ref="R26:V26"/>
    <mergeCell ref="AF26:AG26"/>
    <mergeCell ref="Q17:V17"/>
    <mergeCell ref="AF17:AG17"/>
    <mergeCell ref="AE18:AG18"/>
    <mergeCell ref="AE19:AG19"/>
    <mergeCell ref="AE20:AG20"/>
    <mergeCell ref="AE21:AG21"/>
    <mergeCell ref="AE22:AH22"/>
    <mergeCell ref="AE23:AH23"/>
    <mergeCell ref="AE24:AG24"/>
    <mergeCell ref="Q25:V25"/>
    <mergeCell ref="AF25:AG25"/>
    <mergeCell ref="V22:W22"/>
    <mergeCell ref="V23:W23"/>
    <mergeCell ref="X22:AA23"/>
    <mergeCell ref="R27:V27"/>
    <mergeCell ref="AF27:AG27"/>
    <mergeCell ref="R28:V28"/>
    <mergeCell ref="AF28:AG28"/>
    <mergeCell ref="R29:V29"/>
    <mergeCell ref="AE29:AG29"/>
    <mergeCell ref="R33:V33"/>
    <mergeCell ref="A34:B34"/>
    <mergeCell ref="R30:V30"/>
    <mergeCell ref="AF30:AG30"/>
    <mergeCell ref="R31:V31"/>
    <mergeCell ref="AF31:AG31"/>
    <mergeCell ref="R32:V32"/>
    <mergeCell ref="AF32:AG32"/>
    <mergeCell ref="AE34:AJ34"/>
    <mergeCell ref="P1:P34"/>
    <mergeCell ref="X1:AC1"/>
    <mergeCell ref="X2:AA2"/>
    <mergeCell ref="AB2:AC2"/>
    <mergeCell ref="V18:W18"/>
    <mergeCell ref="V19:W19"/>
    <mergeCell ref="Q21:W21"/>
  </mergeCells>
  <conditionalFormatting sqref="K2:O32">
    <cfRule type="cellIs" dxfId="99" priority="1" operator="greaterThan">
      <formula>0</formula>
    </cfRule>
    <cfRule type="cellIs" dxfId="98" priority="2" operator="equal">
      <formula>0</formula>
    </cfRule>
    <cfRule type="cellIs" dxfId="97" priority="3" operator="equal">
      <formula>"¥11.055"</formula>
    </cfRule>
    <cfRule type="cellIs" dxfId="96" priority="4" operator="equal">
      <formula>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6113-1B97-4A0B-8EB3-E26887C6E1C9}">
  <dimension ref="A1:AJ51"/>
  <sheetViews>
    <sheetView topLeftCell="M1" zoomScaleNormal="100" workbookViewId="0">
      <pane ySplit="1" topLeftCell="A17" activePane="bottomLeft" state="frozen"/>
      <selection pane="bottomLeft" activeCell="AA26" sqref="AA26:AA31"/>
    </sheetView>
  </sheetViews>
  <sheetFormatPr defaultColWidth="10.6328125" defaultRowHeight="18"/>
  <cols>
    <col min="1" max="1" width="5.90625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6.81640625" style="69" customWidth="1"/>
    <col min="7" max="7" width="4.54296875" style="69" customWidth="1"/>
    <col min="8" max="8" width="12.453125" style="69" customWidth="1"/>
    <col min="9" max="9" width="4.1796875" style="69" customWidth="1"/>
    <col min="10" max="15" width="11.90625" style="69" customWidth="1"/>
    <col min="16" max="16" width="3" style="69" customWidth="1"/>
    <col min="17" max="17" width="9.90625" style="69" customWidth="1"/>
    <col min="18" max="23" width="10" style="69" customWidth="1"/>
    <col min="24" max="24" width="13.1796875" style="69" customWidth="1"/>
    <col min="25" max="25" width="13.1796875" style="296" customWidth="1"/>
    <col min="26" max="26" width="5.81640625" style="297" customWidth="1"/>
    <col min="27" max="27" width="13.1796875" style="69" customWidth="1"/>
    <col min="28" max="28" width="13.81640625" style="296" customWidth="1"/>
    <col min="29" max="29" width="4.90625" style="297" customWidth="1"/>
    <col min="30" max="30" width="10.81640625" style="296" customWidth="1"/>
    <col min="31" max="32" width="7" style="69" customWidth="1"/>
    <col min="33" max="33" width="11.453125" style="69" customWidth="1"/>
    <col min="34" max="34" width="21" style="69" customWidth="1"/>
    <col min="35" max="16384" width="10.6328125" style="69"/>
  </cols>
  <sheetData>
    <row r="1" spans="1:34" ht="38.25" customHeight="1" thickTop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133" t="s">
        <v>463</v>
      </c>
      <c r="H1" s="220" t="s">
        <v>464</v>
      </c>
      <c r="I1" s="710"/>
      <c r="J1" s="338" t="s">
        <v>705</v>
      </c>
      <c r="K1" s="338" t="s">
        <v>741</v>
      </c>
      <c r="L1" s="338" t="s">
        <v>707</v>
      </c>
      <c r="M1" s="338" t="s">
        <v>708</v>
      </c>
      <c r="N1" s="338" t="s">
        <v>710</v>
      </c>
      <c r="O1" s="338" t="s">
        <v>742</v>
      </c>
      <c r="P1" s="675"/>
      <c r="Q1" s="723" t="s">
        <v>754</v>
      </c>
      <c r="R1" s="723"/>
      <c r="S1" s="723"/>
      <c r="T1" s="723"/>
      <c r="U1" s="723"/>
      <c r="V1" s="723"/>
      <c r="W1" s="723"/>
      <c r="X1" s="676" t="s">
        <v>718</v>
      </c>
      <c r="Y1" s="677"/>
      <c r="Z1" s="677"/>
      <c r="AA1" s="677"/>
      <c r="AB1" s="677"/>
      <c r="AC1" s="678"/>
      <c r="AD1" s="281"/>
      <c r="AE1" s="631" t="s">
        <v>642</v>
      </c>
      <c r="AF1" s="632"/>
      <c r="AG1" s="632"/>
      <c r="AH1" s="632"/>
    </row>
    <row r="2" spans="1:34" ht="30.9" customHeight="1" thickTop="1" thickBot="1">
      <c r="A2" s="176">
        <v>45809</v>
      </c>
      <c r="B2" s="178" t="s">
        <v>487</v>
      </c>
      <c r="C2" s="183">
        <v>464914</v>
      </c>
      <c r="D2" s="183">
        <v>262450</v>
      </c>
      <c r="E2" s="183">
        <f>C2-D2</f>
        <v>202464</v>
      </c>
      <c r="F2" s="183">
        <v>0</v>
      </c>
      <c r="G2" s="183">
        <v>0</v>
      </c>
      <c r="H2" s="221">
        <f>E2+F2</f>
        <v>202464</v>
      </c>
      <c r="I2" s="710"/>
      <c r="J2" s="339">
        <f>D2-SUM(K2:O2)</f>
        <v>262450</v>
      </c>
      <c r="K2" s="339"/>
      <c r="L2" s="339"/>
      <c r="M2" s="339"/>
      <c r="N2" s="339"/>
      <c r="O2" s="339"/>
      <c r="P2" s="675"/>
      <c r="Q2" s="709" t="s">
        <v>249</v>
      </c>
      <c r="R2" s="709"/>
      <c r="S2" s="709"/>
      <c r="T2" s="709"/>
      <c r="U2" s="709"/>
      <c r="V2" s="709"/>
      <c r="W2" s="709"/>
      <c r="X2" s="679" t="s">
        <v>711</v>
      </c>
      <c r="Y2" s="680"/>
      <c r="Z2" s="680"/>
      <c r="AA2" s="680"/>
      <c r="AB2" s="681">
        <f>Z13+AC13</f>
        <v>0.91808519400467337</v>
      </c>
      <c r="AC2" s="682"/>
      <c r="AD2" s="81"/>
      <c r="AE2" s="627" t="s">
        <v>638</v>
      </c>
      <c r="AF2" s="628"/>
      <c r="AG2" s="628"/>
      <c r="AH2" s="628"/>
    </row>
    <row r="3" spans="1:34" ht="30.9" customHeight="1" thickTop="1" thickBot="1">
      <c r="A3" s="176">
        <v>45810</v>
      </c>
      <c r="B3" s="177" t="s">
        <v>488</v>
      </c>
      <c r="C3" s="183">
        <v>393165</v>
      </c>
      <c r="D3" s="183">
        <v>681162</v>
      </c>
      <c r="E3" s="183">
        <f t="shared" ref="E3:E33" si="0">C3-D3</f>
        <v>-287997</v>
      </c>
      <c r="F3" s="183">
        <v>-100</v>
      </c>
      <c r="G3" s="183">
        <v>0</v>
      </c>
      <c r="H3" s="221">
        <f>H2+E3+F3</f>
        <v>-85633</v>
      </c>
      <c r="I3" s="710"/>
      <c r="J3" s="339">
        <f t="shared" ref="J3:J33" si="1">D3-SUM(K3:O3)</f>
        <v>674046</v>
      </c>
      <c r="K3" s="339">
        <v>7116</v>
      </c>
      <c r="L3" s="339"/>
      <c r="M3" s="339"/>
      <c r="N3" s="339"/>
      <c r="O3" s="339"/>
      <c r="P3" s="675"/>
      <c r="Q3" s="725" t="s">
        <v>247</v>
      </c>
      <c r="R3" s="726"/>
      <c r="S3" s="222" t="s">
        <v>251</v>
      </c>
      <c r="T3" s="222" t="s">
        <v>252</v>
      </c>
      <c r="U3" s="222" t="s">
        <v>449</v>
      </c>
      <c r="V3" s="659" t="s">
        <v>704</v>
      </c>
      <c r="W3" s="724"/>
      <c r="X3" s="713" t="s">
        <v>713</v>
      </c>
      <c r="Y3" s="714"/>
      <c r="Z3" s="714"/>
      <c r="AA3" s="715" t="s">
        <v>712</v>
      </c>
      <c r="AB3" s="715"/>
      <c r="AC3" s="716"/>
      <c r="AD3" s="81"/>
      <c r="AE3" s="246"/>
      <c r="AF3" s="247"/>
      <c r="AG3" s="247"/>
      <c r="AH3" s="247"/>
    </row>
    <row r="4" spans="1:34" ht="30.9" customHeight="1" thickTop="1" thickBot="1">
      <c r="A4" s="176">
        <v>45811</v>
      </c>
      <c r="B4" s="177" t="s">
        <v>489</v>
      </c>
      <c r="C4" s="183">
        <v>442082</v>
      </c>
      <c r="D4" s="183">
        <v>570280</v>
      </c>
      <c r="E4" s="183">
        <f t="shared" si="0"/>
        <v>-128198</v>
      </c>
      <c r="F4" s="183">
        <v>-952</v>
      </c>
      <c r="G4" s="183">
        <v>0</v>
      </c>
      <c r="H4" s="221">
        <f t="shared" ref="H4:H33" si="2">H3+E4+F4</f>
        <v>-214783</v>
      </c>
      <c r="I4" s="710"/>
      <c r="J4" s="339">
        <f t="shared" si="1"/>
        <v>570280</v>
      </c>
      <c r="K4" s="339"/>
      <c r="L4" s="339"/>
      <c r="M4" s="339"/>
      <c r="N4" s="339"/>
      <c r="O4" s="339"/>
      <c r="P4" s="675"/>
      <c r="Q4" s="727">
        <f>C34</f>
        <v>16973354</v>
      </c>
      <c r="R4" s="728"/>
      <c r="S4" s="224">
        <v>0</v>
      </c>
      <c r="T4" s="224">
        <v>0</v>
      </c>
      <c r="U4" s="224">
        <f>-F34</f>
        <v>5896</v>
      </c>
      <c r="V4" s="224">
        <v>13956</v>
      </c>
      <c r="W4" s="306"/>
      <c r="X4" s="319" t="s">
        <v>714</v>
      </c>
      <c r="Y4" s="243">
        <v>132550</v>
      </c>
      <c r="Z4" s="312">
        <f>Y4/$Q$4</f>
        <v>7.8092992109868205E-3</v>
      </c>
      <c r="AA4" s="328" t="s">
        <v>719</v>
      </c>
      <c r="AB4" s="243">
        <f>SUM(Q13:W13)+75000</f>
        <v>959900</v>
      </c>
      <c r="AC4" s="313">
        <f>AB4/$Q$4</f>
        <v>5.6553348265758197E-2</v>
      </c>
      <c r="AE4" s="249"/>
      <c r="AF4" s="250"/>
      <c r="AG4" s="250"/>
      <c r="AH4" s="250"/>
    </row>
    <row r="5" spans="1:34" ht="30.9" customHeight="1" thickTop="1" thickBot="1">
      <c r="A5" s="176">
        <v>45812</v>
      </c>
      <c r="B5" s="177" t="s">
        <v>490</v>
      </c>
      <c r="C5" s="183">
        <v>356423</v>
      </c>
      <c r="D5" s="183">
        <v>134669</v>
      </c>
      <c r="E5" s="183">
        <f t="shared" si="0"/>
        <v>221754</v>
      </c>
      <c r="F5" s="183">
        <v>-200</v>
      </c>
      <c r="G5" s="183">
        <v>0</v>
      </c>
      <c r="H5" s="221">
        <f t="shared" si="2"/>
        <v>6771</v>
      </c>
      <c r="I5" s="710"/>
      <c r="J5" s="339">
        <f t="shared" si="1"/>
        <v>134669</v>
      </c>
      <c r="K5" s="339"/>
      <c r="L5" s="339"/>
      <c r="M5" s="339"/>
      <c r="N5" s="339"/>
      <c r="O5" s="339"/>
      <c r="P5" s="675"/>
      <c r="Q5" s="729"/>
      <c r="R5" s="730"/>
      <c r="S5" s="225">
        <f>S4/Q4</f>
        <v>0</v>
      </c>
      <c r="T5" s="225">
        <f>T4/Q4</f>
        <v>0</v>
      </c>
      <c r="U5" s="226">
        <f>U4/Q4</f>
        <v>3.4736799809866688E-4</v>
      </c>
      <c r="V5" s="226">
        <f>V4/Q4</f>
        <v>8.2222994936651883E-4</v>
      </c>
      <c r="W5" s="307"/>
      <c r="X5" s="319" t="s">
        <v>715</v>
      </c>
      <c r="Y5" s="243">
        <v>26055</v>
      </c>
      <c r="Z5" s="312">
        <f t="shared" ref="Z5:Z11" si="3">Y5/$Q$4</f>
        <v>1.5350531191419209E-3</v>
      </c>
      <c r="AA5" s="328" t="s">
        <v>720</v>
      </c>
      <c r="AB5" s="243">
        <f>SUM(Q14:W14)</f>
        <v>9000</v>
      </c>
      <c r="AC5" s="313">
        <f t="shared" ref="AC5:AC12" si="4">AB5/$Q$4</f>
        <v>5.3024287362415229E-4</v>
      </c>
      <c r="AE5" s="654" t="s">
        <v>639</v>
      </c>
      <c r="AF5" s="655"/>
      <c r="AG5" s="655"/>
      <c r="AH5" s="655"/>
    </row>
    <row r="6" spans="1:34" ht="30.9" customHeight="1" thickTop="1" thickBot="1">
      <c r="A6" s="176">
        <v>45813</v>
      </c>
      <c r="B6" s="177" t="s">
        <v>491</v>
      </c>
      <c r="C6" s="183">
        <v>497900</v>
      </c>
      <c r="D6" s="183">
        <v>356393</v>
      </c>
      <c r="E6" s="183">
        <f t="shared" si="0"/>
        <v>141507</v>
      </c>
      <c r="F6" s="183">
        <v>0</v>
      </c>
      <c r="G6" s="183">
        <v>0</v>
      </c>
      <c r="H6" s="221">
        <f t="shared" si="2"/>
        <v>148278</v>
      </c>
      <c r="I6" s="710"/>
      <c r="J6" s="339">
        <f t="shared" si="1"/>
        <v>240394</v>
      </c>
      <c r="K6" s="339">
        <v>6666</v>
      </c>
      <c r="L6" s="339"/>
      <c r="M6" s="339">
        <v>4636</v>
      </c>
      <c r="N6" s="339">
        <f>1117+68424+35156</f>
        <v>104697</v>
      </c>
      <c r="O6" s="339"/>
      <c r="P6" s="675"/>
      <c r="Q6" s="702" t="s">
        <v>250</v>
      </c>
      <c r="R6" s="702"/>
      <c r="S6" s="702"/>
      <c r="T6" s="702"/>
      <c r="U6" s="702"/>
      <c r="V6" s="702"/>
      <c r="W6" s="702"/>
      <c r="X6" s="319" t="s">
        <v>716</v>
      </c>
      <c r="Y6" s="243">
        <v>6080</v>
      </c>
      <c r="Z6" s="312">
        <f t="shared" si="3"/>
        <v>3.5820851907053845E-4</v>
      </c>
      <c r="AA6" s="328" t="s">
        <v>721</v>
      </c>
      <c r="AB6" s="243">
        <v>68424</v>
      </c>
      <c r="AC6" s="313">
        <f t="shared" si="4"/>
        <v>4.0312598205398883E-3</v>
      </c>
      <c r="AE6" s="630" t="s">
        <v>231</v>
      </c>
      <c r="AF6" s="630"/>
      <c r="AG6" s="490"/>
      <c r="AH6" s="490"/>
    </row>
    <row r="7" spans="1:34" ht="30.9" customHeight="1" thickTop="1" thickBot="1">
      <c r="A7" s="176">
        <v>45814</v>
      </c>
      <c r="B7" s="178" t="s">
        <v>485</v>
      </c>
      <c r="C7" s="183">
        <v>854113</v>
      </c>
      <c r="D7" s="183">
        <v>664172</v>
      </c>
      <c r="E7" s="183">
        <f t="shared" si="0"/>
        <v>189941</v>
      </c>
      <c r="F7" s="183">
        <v>0</v>
      </c>
      <c r="G7" s="183">
        <v>0</v>
      </c>
      <c r="H7" s="221">
        <f t="shared" si="2"/>
        <v>338219</v>
      </c>
      <c r="I7" s="710"/>
      <c r="J7" s="339">
        <f t="shared" si="1"/>
        <v>664172</v>
      </c>
      <c r="K7" s="339"/>
      <c r="L7" s="339"/>
      <c r="M7" s="339"/>
      <c r="N7" s="339"/>
      <c r="O7" s="339"/>
      <c r="P7" s="675"/>
      <c r="Q7" s="329" t="s">
        <v>705</v>
      </c>
      <c r="R7" s="290" t="s">
        <v>253</v>
      </c>
      <c r="S7" s="288" t="s">
        <v>624</v>
      </c>
      <c r="T7" s="222"/>
      <c r="U7" s="703" t="s">
        <v>247</v>
      </c>
      <c r="V7" s="704"/>
      <c r="W7" s="704"/>
      <c r="X7" s="319" t="s">
        <v>717</v>
      </c>
      <c r="Y7" s="243">
        <v>33000</v>
      </c>
      <c r="Z7" s="312">
        <f t="shared" si="3"/>
        <v>1.9442238699552252E-3</v>
      </c>
      <c r="AA7" s="328" t="s">
        <v>722</v>
      </c>
      <c r="AB7" s="243">
        <f>2890+3396</f>
        <v>6286</v>
      </c>
      <c r="AC7" s="313">
        <f t="shared" si="4"/>
        <v>3.7034518928904685E-4</v>
      </c>
      <c r="AE7" s="242" t="s">
        <v>640</v>
      </c>
      <c r="AF7" s="243">
        <v>300000</v>
      </c>
    </row>
    <row r="8" spans="1:34" ht="30.9" customHeight="1" thickTop="1" thickBot="1">
      <c r="A8" s="176">
        <v>45815</v>
      </c>
      <c r="B8" s="178" t="s">
        <v>486</v>
      </c>
      <c r="C8" s="183">
        <v>634142</v>
      </c>
      <c r="D8" s="183">
        <v>822670</v>
      </c>
      <c r="E8" s="183">
        <f t="shared" si="0"/>
        <v>-188528</v>
      </c>
      <c r="F8" s="183">
        <v>0</v>
      </c>
      <c r="G8" s="183">
        <v>0</v>
      </c>
      <c r="H8" s="221">
        <f t="shared" si="2"/>
        <v>149691</v>
      </c>
      <c r="I8" s="710"/>
      <c r="J8" s="339">
        <f t="shared" si="1"/>
        <v>822670</v>
      </c>
      <c r="K8" s="339"/>
      <c r="L8" s="339"/>
      <c r="M8" s="339"/>
      <c r="N8" s="339"/>
      <c r="O8" s="339"/>
      <c r="P8" s="675"/>
      <c r="Q8" s="330">
        <f>D34</f>
        <v>14580320</v>
      </c>
      <c r="R8" s="291">
        <f>T16</f>
        <v>968900</v>
      </c>
      <c r="S8" s="289">
        <f>V19</f>
        <v>165906</v>
      </c>
      <c r="T8" s="229"/>
      <c r="U8" s="705">
        <f>SUM(Q8:T8)</f>
        <v>15715126</v>
      </c>
      <c r="V8" s="706"/>
      <c r="W8" s="706"/>
      <c r="X8" s="319" t="s">
        <v>723</v>
      </c>
      <c r="Y8" s="243">
        <v>5500</v>
      </c>
      <c r="Z8" s="312">
        <f t="shared" si="3"/>
        <v>3.240373116592042E-4</v>
      </c>
      <c r="AA8" s="328" t="s">
        <v>708</v>
      </c>
      <c r="AB8" s="243">
        <f>M34</f>
        <v>15569</v>
      </c>
      <c r="AC8" s="313">
        <f t="shared" si="4"/>
        <v>9.1726125549493635E-4</v>
      </c>
      <c r="AE8" s="242" t="s">
        <v>641</v>
      </c>
      <c r="AF8" s="243">
        <v>55000</v>
      </c>
    </row>
    <row r="9" spans="1:34" ht="30.9" customHeight="1" thickTop="1" thickBot="1">
      <c r="A9" s="176">
        <v>45816</v>
      </c>
      <c r="B9" s="178" t="s">
        <v>487</v>
      </c>
      <c r="C9" s="183">
        <v>356441</v>
      </c>
      <c r="D9" s="183">
        <v>902304</v>
      </c>
      <c r="E9" s="183">
        <f t="shared" si="0"/>
        <v>-545863</v>
      </c>
      <c r="F9" s="183">
        <v>-411</v>
      </c>
      <c r="G9" s="183">
        <v>0</v>
      </c>
      <c r="H9" s="221">
        <f t="shared" si="2"/>
        <v>-396583</v>
      </c>
      <c r="I9" s="710"/>
      <c r="J9" s="339">
        <f t="shared" si="1"/>
        <v>709804</v>
      </c>
      <c r="K9" s="339"/>
      <c r="L9" s="339"/>
      <c r="M9" s="339"/>
      <c r="N9" s="339"/>
      <c r="O9" s="339">
        <f>187000+5500</f>
        <v>192500</v>
      </c>
      <c r="P9" s="675"/>
      <c r="Q9" s="331" t="s">
        <v>266</v>
      </c>
      <c r="R9" s="731">
        <f>Q4-U8-V4-U4</f>
        <v>1238376</v>
      </c>
      <c r="S9" s="732"/>
      <c r="T9" s="732"/>
      <c r="U9" s="732"/>
      <c r="V9" s="732"/>
      <c r="W9" s="732"/>
      <c r="X9" s="319" t="s">
        <v>724</v>
      </c>
      <c r="Y9" s="243">
        <v>187000</v>
      </c>
      <c r="Z9" s="312">
        <f t="shared" si="3"/>
        <v>1.1017268596412942E-2</v>
      </c>
      <c r="AA9" s="328" t="s">
        <v>707</v>
      </c>
      <c r="AB9" s="243">
        <f>L34</f>
        <v>47712</v>
      </c>
      <c r="AC9" s="313">
        <f t="shared" si="4"/>
        <v>2.8109942207061728E-3</v>
      </c>
      <c r="AE9" s="241" t="s">
        <v>495</v>
      </c>
      <c r="AF9" s="243">
        <v>35000</v>
      </c>
    </row>
    <row r="10" spans="1:34" ht="30.9" customHeight="1" thickTop="1" thickBot="1">
      <c r="A10" s="176">
        <v>45817</v>
      </c>
      <c r="B10" s="177" t="s">
        <v>488</v>
      </c>
      <c r="C10" s="183">
        <v>274819</v>
      </c>
      <c r="D10" s="183">
        <v>180285</v>
      </c>
      <c r="E10" s="183">
        <f t="shared" si="0"/>
        <v>94534</v>
      </c>
      <c r="F10" s="183">
        <v>0</v>
      </c>
      <c r="G10" s="183">
        <v>0</v>
      </c>
      <c r="H10" s="221">
        <f t="shared" si="2"/>
        <v>-302049</v>
      </c>
      <c r="I10" s="710"/>
      <c r="J10" s="339">
        <f t="shared" si="1"/>
        <v>180285</v>
      </c>
      <c r="K10" s="339"/>
      <c r="L10" s="339"/>
      <c r="M10" s="339"/>
      <c r="N10" s="339"/>
      <c r="O10" s="339"/>
      <c r="P10" s="675"/>
      <c r="Q10" s="708" t="s">
        <v>257</v>
      </c>
      <c r="R10" s="708"/>
      <c r="S10" s="708"/>
      <c r="T10" s="708"/>
      <c r="U10" s="708"/>
      <c r="V10" s="708"/>
      <c r="W10" s="708"/>
      <c r="X10" s="319" t="s">
        <v>743</v>
      </c>
      <c r="Y10" s="243">
        <v>0</v>
      </c>
      <c r="Z10" s="312">
        <f t="shared" si="3"/>
        <v>0</v>
      </c>
      <c r="AA10" s="328" t="s">
        <v>706</v>
      </c>
      <c r="AB10" s="243">
        <f>K34</f>
        <v>79669</v>
      </c>
      <c r="AC10" s="313">
        <f t="shared" si="4"/>
        <v>4.6937688331958431E-3</v>
      </c>
      <c r="AE10" s="244" t="s">
        <v>73</v>
      </c>
      <c r="AF10" s="245">
        <f>SUM(AF7:AF9)</f>
        <v>390000</v>
      </c>
      <c r="AG10" s="252"/>
      <c r="AH10" s="252"/>
    </row>
    <row r="11" spans="1:34" ht="30.9" customHeight="1" thickTop="1" thickBot="1">
      <c r="A11" s="176">
        <v>45818</v>
      </c>
      <c r="B11" s="177" t="s">
        <v>489</v>
      </c>
      <c r="C11" s="183">
        <v>649453</v>
      </c>
      <c r="D11" s="183">
        <v>0</v>
      </c>
      <c r="E11" s="183">
        <f t="shared" si="0"/>
        <v>649453</v>
      </c>
      <c r="F11" s="183">
        <v>-841</v>
      </c>
      <c r="G11" s="183">
        <v>0</v>
      </c>
      <c r="H11" s="221">
        <f>H10+E11+F11</f>
        <v>346563</v>
      </c>
      <c r="I11" s="710"/>
      <c r="J11" s="339">
        <f t="shared" si="1"/>
        <v>0</v>
      </c>
      <c r="K11" s="339"/>
      <c r="L11" s="339"/>
      <c r="M11" s="339"/>
      <c r="N11" s="339"/>
      <c r="O11" s="339"/>
      <c r="P11" s="675"/>
      <c r="Q11" s="707" t="s">
        <v>477</v>
      </c>
      <c r="R11" s="707"/>
      <c r="S11" s="707"/>
      <c r="T11" s="707"/>
      <c r="U11" s="707"/>
      <c r="V11" s="707"/>
      <c r="W11" s="707"/>
      <c r="X11" s="319" t="s">
        <v>744</v>
      </c>
      <c r="Y11" s="243">
        <v>0</v>
      </c>
      <c r="Z11" s="312">
        <f t="shared" si="3"/>
        <v>0</v>
      </c>
      <c r="AA11" s="328" t="s">
        <v>705</v>
      </c>
      <c r="AB11" s="243">
        <f>J34</f>
        <v>13766469</v>
      </c>
      <c r="AC11" s="313">
        <f t="shared" si="4"/>
        <v>0.81106356469086782</v>
      </c>
      <c r="AE11" s="647" t="s">
        <v>643</v>
      </c>
      <c r="AF11" s="647"/>
      <c r="AG11" s="647"/>
      <c r="AH11" s="647"/>
    </row>
    <row r="12" spans="1:34" ht="30.9" customHeight="1" thickTop="1" thickBot="1">
      <c r="A12" s="176">
        <v>45819</v>
      </c>
      <c r="B12" s="177" t="s">
        <v>490</v>
      </c>
      <c r="C12" s="183">
        <v>420734</v>
      </c>
      <c r="D12" s="183">
        <v>651196</v>
      </c>
      <c r="E12" s="183">
        <f t="shared" si="0"/>
        <v>-230462</v>
      </c>
      <c r="F12" s="183">
        <v>0</v>
      </c>
      <c r="G12" s="183">
        <v>0</v>
      </c>
      <c r="H12" s="221">
        <f t="shared" si="2"/>
        <v>116101</v>
      </c>
      <c r="I12" s="710"/>
      <c r="J12" s="339">
        <f t="shared" si="1"/>
        <v>641544</v>
      </c>
      <c r="K12" s="339">
        <v>7777</v>
      </c>
      <c r="L12" s="339"/>
      <c r="M12" s="339">
        <v>1875</v>
      </c>
      <c r="N12" s="339"/>
      <c r="O12" s="339"/>
      <c r="P12" s="675"/>
      <c r="Q12" s="269" t="s">
        <v>478</v>
      </c>
      <c r="R12" s="229" t="s">
        <v>479</v>
      </c>
      <c r="S12" s="229" t="s">
        <v>480</v>
      </c>
      <c r="T12" s="229" t="s">
        <v>455</v>
      </c>
      <c r="U12" s="229" t="s">
        <v>468</v>
      </c>
      <c r="V12" s="258" t="s">
        <v>230</v>
      </c>
      <c r="W12" s="308" t="s">
        <v>670</v>
      </c>
      <c r="X12" s="320"/>
      <c r="Y12" s="243"/>
      <c r="Z12" s="312"/>
      <c r="AA12" s="328" t="s">
        <v>725</v>
      </c>
      <c r="AB12" s="243">
        <f>N34</f>
        <v>239771</v>
      </c>
      <c r="AC12" s="313">
        <f t="shared" si="4"/>
        <v>1.4126318227970737E-2</v>
      </c>
      <c r="AE12" s="650" t="s">
        <v>644</v>
      </c>
      <c r="AF12" s="650"/>
      <c r="AG12" s="650"/>
      <c r="AH12" s="229">
        <v>0</v>
      </c>
    </row>
    <row r="13" spans="1:34" ht="30.9" customHeight="1" thickTop="1" thickBot="1">
      <c r="A13" s="176">
        <v>45820</v>
      </c>
      <c r="B13" s="177" t="s">
        <v>491</v>
      </c>
      <c r="C13" s="183">
        <v>661417</v>
      </c>
      <c r="D13" s="183">
        <v>136095</v>
      </c>
      <c r="E13" s="183">
        <f t="shared" si="0"/>
        <v>525322</v>
      </c>
      <c r="F13" s="183">
        <v>0</v>
      </c>
      <c r="G13" s="183">
        <v>0</v>
      </c>
      <c r="H13" s="221">
        <f t="shared" si="2"/>
        <v>641423</v>
      </c>
      <c r="I13" s="710"/>
      <c r="J13" s="339">
        <f t="shared" si="1"/>
        <v>117530</v>
      </c>
      <c r="K13" s="339">
        <v>10251</v>
      </c>
      <c r="L13" s="339">
        <v>8314</v>
      </c>
      <c r="M13" s="339"/>
      <c r="N13" s="339"/>
      <c r="O13" s="339"/>
      <c r="P13" s="675"/>
      <c r="Q13" s="332">
        <f>AF10-75000</f>
        <v>315000</v>
      </c>
      <c r="R13" s="229">
        <f>47.5*1100</f>
        <v>52250</v>
      </c>
      <c r="S13" s="229">
        <f>110.5*1100</f>
        <v>121550</v>
      </c>
      <c r="T13" s="229">
        <f>81.5*1100</f>
        <v>89650</v>
      </c>
      <c r="U13" s="229">
        <f>64*1100</f>
        <v>70400</v>
      </c>
      <c r="V13" s="229">
        <v>120000</v>
      </c>
      <c r="W13" s="266">
        <f>105.5*1100</f>
        <v>116050</v>
      </c>
      <c r="X13" s="311" t="s">
        <v>709</v>
      </c>
      <c r="Y13" s="317">
        <f>SUM(Y4:Y12)</f>
        <v>390185</v>
      </c>
      <c r="Z13" s="312">
        <f>SUM(Z4:Z12)</f>
        <v>2.2988090627226648E-2</v>
      </c>
      <c r="AA13" s="327" t="s">
        <v>709</v>
      </c>
      <c r="AB13" s="317">
        <f>SUM(AB4:AB12)</f>
        <v>15192800</v>
      </c>
      <c r="AC13" s="313">
        <f>SUM(AC4:AC12)</f>
        <v>0.89509710337744675</v>
      </c>
      <c r="AE13" s="650" t="s">
        <v>645</v>
      </c>
      <c r="AF13" s="650"/>
      <c r="AG13" s="261" t="s">
        <v>646</v>
      </c>
      <c r="AH13" s="229">
        <v>1900000</v>
      </c>
    </row>
    <row r="14" spans="1:34" ht="30.9" customHeight="1" thickTop="1" thickBot="1">
      <c r="A14" s="176">
        <v>45821</v>
      </c>
      <c r="B14" s="178" t="s">
        <v>485</v>
      </c>
      <c r="C14" s="183">
        <v>1178690</v>
      </c>
      <c r="D14" s="183">
        <v>191067</v>
      </c>
      <c r="E14" s="183">
        <f t="shared" si="0"/>
        <v>987623</v>
      </c>
      <c r="F14" s="183">
        <v>-12</v>
      </c>
      <c r="G14" s="183">
        <v>0</v>
      </c>
      <c r="H14" s="221">
        <f t="shared" si="2"/>
        <v>1629034</v>
      </c>
      <c r="I14" s="710"/>
      <c r="J14" s="339">
        <f t="shared" si="1"/>
        <v>184400</v>
      </c>
      <c r="K14" s="339">
        <v>6667</v>
      </c>
      <c r="L14" s="339"/>
      <c r="M14" s="339"/>
      <c r="N14" s="339"/>
      <c r="O14" s="339"/>
      <c r="P14" s="675"/>
      <c r="Q14" s="333">
        <v>0</v>
      </c>
      <c r="R14" s="287">
        <v>0</v>
      </c>
      <c r="S14" s="287">
        <v>0</v>
      </c>
      <c r="T14" s="287">
        <v>3000</v>
      </c>
      <c r="U14" s="287">
        <v>3000</v>
      </c>
      <c r="V14" s="287">
        <v>0</v>
      </c>
      <c r="W14" s="309">
        <v>3000</v>
      </c>
      <c r="X14" s="700" t="s">
        <v>726</v>
      </c>
      <c r="Y14" s="701"/>
      <c r="Z14" s="701"/>
      <c r="AA14" s="701"/>
      <c r="AB14" s="681">
        <f>Z21+AC21</f>
        <v>9.1954719143900483E-3</v>
      </c>
      <c r="AC14" s="682"/>
      <c r="AD14" s="81"/>
      <c r="AE14" s="650"/>
      <c r="AF14" s="650"/>
      <c r="AG14" s="261" t="s">
        <v>647</v>
      </c>
      <c r="AH14" s="229">
        <v>133394</v>
      </c>
    </row>
    <row r="15" spans="1:34" ht="30.9" customHeight="1" thickTop="1" thickBot="1">
      <c r="A15" s="176">
        <v>45822</v>
      </c>
      <c r="B15" s="178" t="s">
        <v>486</v>
      </c>
      <c r="C15" s="183">
        <v>889904</v>
      </c>
      <c r="D15" s="183">
        <v>384745</v>
      </c>
      <c r="E15" s="183">
        <f t="shared" si="0"/>
        <v>505159</v>
      </c>
      <c r="F15" s="183">
        <v>-514</v>
      </c>
      <c r="G15" s="183">
        <v>0</v>
      </c>
      <c r="H15" s="221">
        <f t="shared" si="2"/>
        <v>2133679</v>
      </c>
      <c r="I15" s="710"/>
      <c r="J15" s="339">
        <f t="shared" si="1"/>
        <v>381613</v>
      </c>
      <c r="K15" s="339"/>
      <c r="L15" s="339"/>
      <c r="M15" s="339">
        <v>2612</v>
      </c>
      <c r="N15" s="339">
        <v>520</v>
      </c>
      <c r="O15" s="339"/>
      <c r="P15" s="675"/>
      <c r="Q15" s="334">
        <f>SUM(Q13:Q14)</f>
        <v>315000</v>
      </c>
      <c r="R15" s="234">
        <f t="shared" ref="R15:W15" si="5">SUM(R13:R14)</f>
        <v>52250</v>
      </c>
      <c r="S15" s="234">
        <f t="shared" si="5"/>
        <v>121550</v>
      </c>
      <c r="T15" s="234">
        <f t="shared" si="5"/>
        <v>92650</v>
      </c>
      <c r="U15" s="234">
        <f t="shared" si="5"/>
        <v>73400</v>
      </c>
      <c r="V15" s="234">
        <f t="shared" si="5"/>
        <v>120000</v>
      </c>
      <c r="W15" s="260">
        <f t="shared" si="5"/>
        <v>119050</v>
      </c>
      <c r="X15" s="719" t="s">
        <v>729</v>
      </c>
      <c r="Y15" s="720"/>
      <c r="Z15" s="720"/>
      <c r="AA15" s="717" t="s">
        <v>730</v>
      </c>
      <c r="AB15" s="717"/>
      <c r="AC15" s="718"/>
      <c r="AD15" s="81"/>
      <c r="AE15" s="650" t="s">
        <v>648</v>
      </c>
      <c r="AF15" s="650" t="s">
        <v>649</v>
      </c>
      <c r="AG15" s="650"/>
      <c r="AH15" s="229">
        <v>33127</v>
      </c>
    </row>
    <row r="16" spans="1:34" ht="30.9" customHeight="1" thickTop="1" thickBot="1">
      <c r="A16" s="176">
        <v>45823</v>
      </c>
      <c r="B16" s="178" t="s">
        <v>487</v>
      </c>
      <c r="C16" s="183">
        <v>397481</v>
      </c>
      <c r="D16" s="183">
        <v>898836</v>
      </c>
      <c r="E16" s="183">
        <f t="shared" si="0"/>
        <v>-501355</v>
      </c>
      <c r="F16" s="183">
        <v>0</v>
      </c>
      <c r="G16" s="183">
        <v>0</v>
      </c>
      <c r="H16" s="221">
        <f t="shared" si="2"/>
        <v>1632324</v>
      </c>
      <c r="I16" s="710"/>
      <c r="J16" s="339">
        <f t="shared" si="1"/>
        <v>893212</v>
      </c>
      <c r="K16" s="339"/>
      <c r="L16" s="339">
        <v>5624</v>
      </c>
      <c r="M16" s="339"/>
      <c r="N16" s="339"/>
      <c r="O16" s="339"/>
      <c r="P16" s="675"/>
      <c r="Q16" s="698" t="s">
        <v>247</v>
      </c>
      <c r="R16" s="641"/>
      <c r="S16" s="641"/>
      <c r="T16" s="648">
        <f>SUM(R15:W15)+AF10</f>
        <v>968900</v>
      </c>
      <c r="U16" s="699"/>
      <c r="V16" s="699"/>
      <c r="W16" s="699"/>
      <c r="X16" s="324" t="s">
        <v>728</v>
      </c>
      <c r="Y16" s="243">
        <f>T23</f>
        <v>22400</v>
      </c>
      <c r="Z16" s="312">
        <f>Y16/$Q$4</f>
        <v>1.3197155965756679E-3</v>
      </c>
      <c r="AA16" s="321" t="s">
        <v>731</v>
      </c>
      <c r="AB16" s="243">
        <f>V4</f>
        <v>13956</v>
      </c>
      <c r="AC16" s="313">
        <f>AB16/$Q$4</f>
        <v>8.2222994936651883E-4</v>
      </c>
      <c r="AE16" s="650"/>
      <c r="AF16" s="650" t="s">
        <v>650</v>
      </c>
      <c r="AG16" s="650"/>
      <c r="AH16" s="229">
        <v>1566251</v>
      </c>
    </row>
    <row r="17" spans="1:34" ht="30.9" customHeight="1" thickTop="1" thickBot="1">
      <c r="A17" s="176">
        <v>45824</v>
      </c>
      <c r="B17" s="177" t="s">
        <v>488</v>
      </c>
      <c r="C17" s="183">
        <v>413714</v>
      </c>
      <c r="D17" s="183">
        <v>575375</v>
      </c>
      <c r="E17" s="183">
        <f t="shared" si="0"/>
        <v>-161661</v>
      </c>
      <c r="F17" s="183">
        <v>-451</v>
      </c>
      <c r="G17" s="183">
        <v>0</v>
      </c>
      <c r="H17" s="221">
        <f t="shared" si="2"/>
        <v>1470212</v>
      </c>
      <c r="I17" s="710"/>
      <c r="J17" s="339">
        <f t="shared" si="1"/>
        <v>575375</v>
      </c>
      <c r="K17" s="339"/>
      <c r="L17" s="339"/>
      <c r="M17" s="339"/>
      <c r="N17" s="339"/>
      <c r="O17" s="339"/>
      <c r="P17" s="675"/>
      <c r="Q17" s="688" t="s">
        <v>482</v>
      </c>
      <c r="R17" s="643"/>
      <c r="S17" s="643"/>
      <c r="T17" s="643"/>
      <c r="U17" s="643"/>
      <c r="V17" s="649"/>
      <c r="W17" s="283"/>
      <c r="X17" s="324" t="s">
        <v>727</v>
      </c>
      <c r="Y17" s="243">
        <f>U23</f>
        <v>50781</v>
      </c>
      <c r="Z17" s="312">
        <f t="shared" ref="Z17:Z19" si="6">Y17/$Q$4</f>
        <v>2.9918070406120085E-3</v>
      </c>
      <c r="AA17" s="321" t="s">
        <v>732</v>
      </c>
      <c r="AB17" s="243">
        <f>Q23</f>
        <v>3320</v>
      </c>
      <c r="AC17" s="313">
        <f t="shared" ref="AC17" si="7">AB17/$Q$4</f>
        <v>1.9560070449246508E-4</v>
      </c>
      <c r="AE17" s="261" t="s">
        <v>651</v>
      </c>
      <c r="AF17" s="650" t="s">
        <v>652</v>
      </c>
      <c r="AG17" s="650"/>
      <c r="AH17" s="229">
        <v>812296</v>
      </c>
    </row>
    <row r="18" spans="1:34" ht="30.9" customHeight="1" thickTop="1" thickBot="1">
      <c r="A18" s="176">
        <v>45825</v>
      </c>
      <c r="B18" s="177" t="s">
        <v>489</v>
      </c>
      <c r="C18" s="183">
        <v>350957</v>
      </c>
      <c r="D18" s="183">
        <v>500168</v>
      </c>
      <c r="E18" s="183">
        <f t="shared" si="0"/>
        <v>-149211</v>
      </c>
      <c r="F18" s="183">
        <v>-741</v>
      </c>
      <c r="G18" s="183">
        <v>0</v>
      </c>
      <c r="H18" s="221">
        <f t="shared" si="2"/>
        <v>1320260</v>
      </c>
      <c r="I18" s="710"/>
      <c r="J18" s="339">
        <f t="shared" si="1"/>
        <v>408675</v>
      </c>
      <c r="K18" s="339">
        <v>7319</v>
      </c>
      <c r="L18" s="339"/>
      <c r="M18" s="339"/>
      <c r="N18" s="339">
        <v>84174</v>
      </c>
      <c r="O18" s="339"/>
      <c r="P18" s="675"/>
      <c r="Q18" s="284"/>
      <c r="R18" s="235"/>
      <c r="S18" s="222"/>
      <c r="T18" s="294" t="s">
        <v>703</v>
      </c>
      <c r="U18" s="236" t="s">
        <v>498</v>
      </c>
      <c r="V18" s="683" t="s">
        <v>247</v>
      </c>
      <c r="W18" s="684"/>
      <c r="X18" s="324" t="s">
        <v>733</v>
      </c>
      <c r="Y18" s="243">
        <f>S23</f>
        <v>9725</v>
      </c>
      <c r="Z18" s="312">
        <f t="shared" si="6"/>
        <v>5.7295688288832008E-4</v>
      </c>
      <c r="AA18" s="322"/>
      <c r="AB18" s="243"/>
      <c r="AC18" s="313"/>
      <c r="AE18" s="650" t="s">
        <v>697</v>
      </c>
      <c r="AF18" s="650"/>
      <c r="AG18" s="650"/>
      <c r="AH18" s="229">
        <v>70000</v>
      </c>
    </row>
    <row r="19" spans="1:34" ht="30.9" customHeight="1" thickTop="1" thickBot="1">
      <c r="A19" s="176">
        <v>45826</v>
      </c>
      <c r="B19" s="177" t="s">
        <v>490</v>
      </c>
      <c r="C19" s="183">
        <v>246800</v>
      </c>
      <c r="D19" s="183">
        <v>983473</v>
      </c>
      <c r="E19" s="183">
        <f t="shared" si="0"/>
        <v>-736673</v>
      </c>
      <c r="F19" s="183">
        <v>0</v>
      </c>
      <c r="G19" s="183">
        <v>0</v>
      </c>
      <c r="H19" s="221">
        <f t="shared" si="2"/>
        <v>583587</v>
      </c>
      <c r="I19" s="710"/>
      <c r="J19" s="339">
        <f t="shared" si="1"/>
        <v>983473</v>
      </c>
      <c r="K19" s="339"/>
      <c r="L19" s="339"/>
      <c r="M19" s="339"/>
      <c r="N19" s="339"/>
      <c r="O19" s="339"/>
      <c r="P19" s="675"/>
      <c r="Q19" s="335"/>
      <c r="R19" s="237"/>
      <c r="S19" s="237"/>
      <c r="T19" s="295">
        <v>33000</v>
      </c>
      <c r="U19" s="238">
        <f>V23</f>
        <v>132906</v>
      </c>
      <c r="V19" s="685">
        <f>SUM(Q19:U19)</f>
        <v>165906</v>
      </c>
      <c r="W19" s="686"/>
      <c r="X19" s="324" t="s">
        <v>734</v>
      </c>
      <c r="Y19" s="243">
        <f>R23</f>
        <v>50000</v>
      </c>
      <c r="Z19" s="312">
        <f t="shared" si="6"/>
        <v>2.9457937423564015E-3</v>
      </c>
      <c r="AA19" s="322"/>
      <c r="AB19" s="243"/>
      <c r="AC19" s="313"/>
      <c r="AE19" s="652" t="s">
        <v>654</v>
      </c>
      <c r="AF19" s="652"/>
      <c r="AG19" s="652"/>
      <c r="AH19" s="229">
        <v>5500390</v>
      </c>
    </row>
    <row r="20" spans="1:34" ht="30.9" customHeight="1" thickTop="1" thickBot="1">
      <c r="A20" s="176">
        <v>45827</v>
      </c>
      <c r="B20" s="177" t="s">
        <v>491</v>
      </c>
      <c r="C20" s="183">
        <v>462095</v>
      </c>
      <c r="D20" s="183">
        <v>158967</v>
      </c>
      <c r="E20" s="183">
        <f t="shared" si="0"/>
        <v>303128</v>
      </c>
      <c r="F20" s="183">
        <v>-41</v>
      </c>
      <c r="G20" s="183">
        <v>0</v>
      </c>
      <c r="H20" s="221">
        <f t="shared" si="2"/>
        <v>886674</v>
      </c>
      <c r="I20" s="710"/>
      <c r="J20" s="339">
        <f t="shared" si="1"/>
        <v>138850</v>
      </c>
      <c r="K20" s="339">
        <f>7699+3850</f>
        <v>11549</v>
      </c>
      <c r="L20" s="339">
        <v>8568</v>
      </c>
      <c r="M20" s="339"/>
      <c r="N20" s="339"/>
      <c r="O20" s="339"/>
      <c r="P20" s="675"/>
      <c r="Q20" s="269"/>
      <c r="R20" s="232"/>
      <c r="S20" s="232"/>
      <c r="T20" s="232"/>
      <c r="U20" s="232"/>
      <c r="V20" s="232"/>
      <c r="W20" s="310"/>
      <c r="X20" s="324" t="s">
        <v>746</v>
      </c>
      <c r="Y20" s="243">
        <f>U4</f>
        <v>5896</v>
      </c>
      <c r="Z20" s="312">
        <f t="shared" ref="Z20" si="8">Y20/$Q$4</f>
        <v>3.4736799809866688E-4</v>
      </c>
      <c r="AA20" s="314"/>
      <c r="AB20" s="243"/>
      <c r="AC20" s="313"/>
      <c r="AE20" s="652" t="s">
        <v>655</v>
      </c>
      <c r="AF20" s="652"/>
      <c r="AG20" s="652"/>
      <c r="AH20" s="229">
        <v>6000000</v>
      </c>
    </row>
    <row r="21" spans="1:34" ht="30.9" customHeight="1" thickTop="1" thickBot="1">
      <c r="A21" s="176">
        <v>45828</v>
      </c>
      <c r="B21" s="178" t="s">
        <v>485</v>
      </c>
      <c r="C21" s="183">
        <v>626104</v>
      </c>
      <c r="D21" s="183">
        <v>115531</v>
      </c>
      <c r="E21" s="183">
        <f t="shared" si="0"/>
        <v>510573</v>
      </c>
      <c r="F21" s="183">
        <v>-146</v>
      </c>
      <c r="G21" s="183">
        <v>0</v>
      </c>
      <c r="H21" s="221">
        <f t="shared" si="2"/>
        <v>1397101</v>
      </c>
      <c r="I21" s="710"/>
      <c r="J21" s="339">
        <f t="shared" si="1"/>
        <v>70745</v>
      </c>
      <c r="K21" s="339"/>
      <c r="L21" s="339"/>
      <c r="M21" s="339">
        <v>6446</v>
      </c>
      <c r="N21" s="339">
        <f>3900+34440</f>
        <v>38340</v>
      </c>
      <c r="O21" s="339"/>
      <c r="P21" s="675"/>
      <c r="Q21" s="687" t="s">
        <v>497</v>
      </c>
      <c r="R21" s="687"/>
      <c r="S21" s="687"/>
      <c r="T21" s="687"/>
      <c r="U21" s="687"/>
      <c r="V21" s="687"/>
      <c r="W21" s="687"/>
      <c r="X21" s="326" t="s">
        <v>709</v>
      </c>
      <c r="Y21" s="318">
        <f>SUM(Y16:Y20)</f>
        <v>138802</v>
      </c>
      <c r="Z21" s="315">
        <f>SUM(Z16:Z20)</f>
        <v>8.1776412605310649E-3</v>
      </c>
      <c r="AA21" s="323" t="s">
        <v>709</v>
      </c>
      <c r="AB21" s="318">
        <f>SUM(AB16:AB20)</f>
        <v>17276</v>
      </c>
      <c r="AC21" s="316">
        <f>SUM(AC16:AC20)</f>
        <v>1.0178306538589838E-3</v>
      </c>
      <c r="AE21" s="653" t="s">
        <v>247</v>
      </c>
      <c r="AF21" s="653"/>
      <c r="AG21" s="653"/>
      <c r="AH21" s="270">
        <f>SUM(AH12:AH20)</f>
        <v>16015458</v>
      </c>
    </row>
    <row r="22" spans="1:34" ht="30.9" customHeight="1" thickTop="1" thickBot="1">
      <c r="A22" s="176">
        <v>45829</v>
      </c>
      <c r="B22" s="178" t="s">
        <v>486</v>
      </c>
      <c r="C22" s="183">
        <v>792281</v>
      </c>
      <c r="D22" s="183">
        <v>220707</v>
      </c>
      <c r="E22" s="183">
        <f t="shared" si="0"/>
        <v>571574</v>
      </c>
      <c r="F22" s="183">
        <v>0</v>
      </c>
      <c r="G22" s="183">
        <v>0</v>
      </c>
      <c r="H22" s="221">
        <f t="shared" si="2"/>
        <v>1968675</v>
      </c>
      <c r="I22" s="710"/>
      <c r="J22" s="339">
        <f t="shared" si="1"/>
        <v>220707</v>
      </c>
      <c r="K22" s="339"/>
      <c r="L22" s="339"/>
      <c r="M22" s="339"/>
      <c r="N22" s="339"/>
      <c r="O22" s="339"/>
      <c r="P22" s="675"/>
      <c r="Q22" s="336" t="s">
        <v>625</v>
      </c>
      <c r="R22" s="299" t="s">
        <v>664</v>
      </c>
      <c r="S22" s="299" t="s">
        <v>733</v>
      </c>
      <c r="T22" s="299" t="s">
        <v>728</v>
      </c>
      <c r="U22" s="299" t="s">
        <v>727</v>
      </c>
      <c r="V22" s="690" t="s">
        <v>247</v>
      </c>
      <c r="W22" s="691"/>
      <c r="X22" s="694" t="s">
        <v>745</v>
      </c>
      <c r="Y22" s="695"/>
      <c r="Z22" s="695"/>
      <c r="AA22" s="695"/>
      <c r="AB22" s="721">
        <f>AB14+AB2</f>
        <v>0.92728066591906344</v>
      </c>
      <c r="AC22" s="721"/>
      <c r="AE22" s="661"/>
      <c r="AF22" s="662"/>
      <c r="AG22" s="662"/>
      <c r="AH22" s="662"/>
    </row>
    <row r="23" spans="1:34" ht="30.9" customHeight="1" thickTop="1" thickBot="1">
      <c r="A23" s="176">
        <v>45830</v>
      </c>
      <c r="B23" s="178" t="s">
        <v>487</v>
      </c>
      <c r="C23" s="183">
        <v>319650</v>
      </c>
      <c r="D23" s="183">
        <v>455436</v>
      </c>
      <c r="E23" s="183">
        <f t="shared" si="0"/>
        <v>-135786</v>
      </c>
      <c r="F23" s="183">
        <v>0</v>
      </c>
      <c r="G23" s="183">
        <v>0</v>
      </c>
      <c r="H23" s="221">
        <f t="shared" si="2"/>
        <v>1832889</v>
      </c>
      <c r="I23" s="710"/>
      <c r="J23" s="339">
        <f t="shared" si="1"/>
        <v>455436</v>
      </c>
      <c r="K23" s="339"/>
      <c r="L23" s="339"/>
      <c r="M23" s="339"/>
      <c r="N23" s="339"/>
      <c r="O23" s="339"/>
      <c r="P23" s="675"/>
      <c r="Q23" s="335">
        <v>3320</v>
      </c>
      <c r="R23" s="298">
        <v>50000</v>
      </c>
      <c r="S23" s="298">
        <v>9725</v>
      </c>
      <c r="T23" s="298">
        <v>22400</v>
      </c>
      <c r="U23" s="298">
        <v>50781</v>
      </c>
      <c r="V23" s="692">
        <f>SUM(R23:U23)</f>
        <v>132906</v>
      </c>
      <c r="W23" s="693"/>
      <c r="X23" s="696"/>
      <c r="Y23" s="697"/>
      <c r="Z23" s="697"/>
      <c r="AA23" s="697"/>
      <c r="AB23" s="722"/>
      <c r="AC23" s="722"/>
      <c r="AE23" s="647" t="s">
        <v>665</v>
      </c>
      <c r="AF23" s="647"/>
      <c r="AG23" s="647"/>
      <c r="AH23" s="647"/>
    </row>
    <row r="24" spans="1:34" ht="30.9" customHeight="1" thickTop="1" thickBot="1">
      <c r="A24" s="176">
        <v>45831</v>
      </c>
      <c r="B24" s="177" t="s">
        <v>488</v>
      </c>
      <c r="C24" s="183">
        <v>293894</v>
      </c>
      <c r="D24" s="183">
        <v>206427</v>
      </c>
      <c r="E24" s="183">
        <f t="shared" si="0"/>
        <v>87467</v>
      </c>
      <c r="F24" s="183">
        <v>-417</v>
      </c>
      <c r="G24" s="183">
        <v>0</v>
      </c>
      <c r="H24" s="184">
        <f t="shared" si="2"/>
        <v>1919939</v>
      </c>
      <c r="I24" s="710"/>
      <c r="J24" s="339">
        <f t="shared" si="1"/>
        <v>198650</v>
      </c>
      <c r="K24" s="339">
        <v>7777</v>
      </c>
      <c r="L24" s="339"/>
      <c r="M24" s="339"/>
      <c r="N24" s="339"/>
      <c r="O24" s="339"/>
      <c r="P24" s="675"/>
      <c r="X24" s="711" t="s">
        <v>735</v>
      </c>
      <c r="Y24" s="711"/>
      <c r="Z24" s="711"/>
      <c r="AA24" s="711"/>
      <c r="AB24" s="711"/>
      <c r="AC24" s="711"/>
      <c r="AE24" s="656" t="s">
        <v>666</v>
      </c>
      <c r="AF24" s="658"/>
      <c r="AG24" s="657"/>
      <c r="AH24" s="232"/>
    </row>
    <row r="25" spans="1:34" ht="30.9" customHeight="1" thickTop="1" thickBot="1">
      <c r="A25" s="176">
        <v>45832</v>
      </c>
      <c r="B25" s="177" t="s">
        <v>489</v>
      </c>
      <c r="C25" s="183">
        <v>358874</v>
      </c>
      <c r="D25" s="183">
        <v>414440</v>
      </c>
      <c r="E25" s="183">
        <f t="shared" si="0"/>
        <v>-55566</v>
      </c>
      <c r="F25" s="183">
        <v>-521</v>
      </c>
      <c r="G25" s="183">
        <v>0</v>
      </c>
      <c r="H25" s="184">
        <f t="shared" si="2"/>
        <v>1863852</v>
      </c>
      <c r="I25" s="710"/>
      <c r="J25" s="339">
        <f t="shared" si="1"/>
        <v>404120</v>
      </c>
      <c r="K25" s="339"/>
      <c r="L25" s="339">
        <v>9800</v>
      </c>
      <c r="M25" s="339"/>
      <c r="N25" s="339">
        <v>520</v>
      </c>
      <c r="O25" s="339"/>
      <c r="P25" s="675"/>
      <c r="Q25" s="689" t="s">
        <v>672</v>
      </c>
      <c r="R25" s="664"/>
      <c r="S25" s="664"/>
      <c r="T25" s="664"/>
      <c r="U25" s="664"/>
      <c r="V25" s="664"/>
      <c r="W25" s="285"/>
      <c r="X25" s="300"/>
      <c r="Y25" s="712" t="s">
        <v>739</v>
      </c>
      <c r="Z25" s="712"/>
      <c r="AA25" s="301" t="s">
        <v>738</v>
      </c>
      <c r="AB25" s="712" t="s">
        <v>740</v>
      </c>
      <c r="AC25" s="712"/>
      <c r="AE25" s="268"/>
      <c r="AF25" s="656"/>
      <c r="AG25" s="657"/>
      <c r="AH25" s="232"/>
    </row>
    <row r="26" spans="1:34" ht="30.9" customHeight="1" thickTop="1" thickBot="1">
      <c r="A26" s="176">
        <v>45833</v>
      </c>
      <c r="B26" s="177" t="s">
        <v>490</v>
      </c>
      <c r="C26" s="183">
        <v>579662</v>
      </c>
      <c r="D26" s="183">
        <v>536562</v>
      </c>
      <c r="E26" s="183">
        <f t="shared" si="0"/>
        <v>43100</v>
      </c>
      <c r="F26" s="183">
        <v>0</v>
      </c>
      <c r="G26" s="183">
        <v>0</v>
      </c>
      <c r="H26" s="184">
        <f t="shared" si="2"/>
        <v>1906952</v>
      </c>
      <c r="I26" s="710"/>
      <c r="J26" s="339">
        <f t="shared" si="1"/>
        <v>519462</v>
      </c>
      <c r="K26" s="339"/>
      <c r="L26" s="339"/>
      <c r="M26" s="339"/>
      <c r="N26" s="339">
        <v>11020</v>
      </c>
      <c r="O26" s="339">
        <v>6080</v>
      </c>
      <c r="P26" s="675"/>
      <c r="Q26" s="337"/>
      <c r="R26" s="665" t="s">
        <v>749</v>
      </c>
      <c r="S26" s="665"/>
      <c r="T26" s="665"/>
      <c r="U26" s="665"/>
      <c r="V26" s="665"/>
      <c r="W26" s="286"/>
      <c r="X26" s="302" t="s">
        <v>736</v>
      </c>
      <c r="Y26" s="303">
        <v>19619825</v>
      </c>
      <c r="Z26" s="305">
        <f>(AA26/Y26)-100%</f>
        <v>-0.13488759456315236</v>
      </c>
      <c r="AA26" s="304">
        <f>C34</f>
        <v>16973354</v>
      </c>
      <c r="AB26" s="303">
        <v>14566013</v>
      </c>
      <c r="AC26" s="305">
        <f>AA26/AB26-100%</f>
        <v>0.16527110060934302</v>
      </c>
      <c r="AE26" s="268"/>
      <c r="AF26" s="656"/>
      <c r="AG26" s="657"/>
      <c r="AH26" s="232"/>
    </row>
    <row r="27" spans="1:34" ht="30.9" customHeight="1" thickTop="1" thickBot="1">
      <c r="A27" s="176">
        <v>45834</v>
      </c>
      <c r="B27" s="177" t="s">
        <v>491</v>
      </c>
      <c r="C27" s="183">
        <v>877677</v>
      </c>
      <c r="D27" s="183">
        <v>420435</v>
      </c>
      <c r="E27" s="183">
        <f t="shared" si="0"/>
        <v>457242</v>
      </c>
      <c r="F27" s="183">
        <v>0</v>
      </c>
      <c r="G27" s="183">
        <v>0</v>
      </c>
      <c r="H27" s="184">
        <f t="shared" si="2"/>
        <v>2364194</v>
      </c>
      <c r="I27" s="710"/>
      <c r="J27" s="339">
        <f t="shared" si="1"/>
        <v>401180</v>
      </c>
      <c r="K27" s="339">
        <v>14547</v>
      </c>
      <c r="L27" s="339">
        <v>4208</v>
      </c>
      <c r="M27" s="339"/>
      <c r="N27" s="339">
        <v>500</v>
      </c>
      <c r="O27" s="339"/>
      <c r="P27" s="675"/>
      <c r="Q27" s="282"/>
      <c r="R27" s="665" t="s">
        <v>747</v>
      </c>
      <c r="S27" s="665"/>
      <c r="T27" s="665"/>
      <c r="U27" s="665"/>
      <c r="V27" s="665"/>
      <c r="W27" s="286"/>
      <c r="X27" s="302" t="s">
        <v>510</v>
      </c>
      <c r="Y27" s="303">
        <v>17623180</v>
      </c>
      <c r="Z27" s="305">
        <f>(AA27/Y27)-100%</f>
        <v>-0.10826956315489034</v>
      </c>
      <c r="AA27" s="304">
        <f>U8</f>
        <v>15715126</v>
      </c>
      <c r="AB27" s="303">
        <v>14075478</v>
      </c>
      <c r="AC27" s="305">
        <f>AA27/AB27-100%</f>
        <v>0.11648968511051638</v>
      </c>
      <c r="AE27" s="268"/>
      <c r="AF27" s="656"/>
      <c r="AG27" s="657"/>
      <c r="AH27" s="232"/>
    </row>
    <row r="28" spans="1:34" ht="30.9" customHeight="1" thickTop="1" thickBot="1">
      <c r="A28" s="176">
        <v>45835</v>
      </c>
      <c r="B28" s="178" t="s">
        <v>485</v>
      </c>
      <c r="C28" s="183">
        <v>1464520</v>
      </c>
      <c r="D28" s="183">
        <v>1054951</v>
      </c>
      <c r="E28" s="183">
        <f t="shared" si="0"/>
        <v>409569</v>
      </c>
      <c r="F28" s="183">
        <v>-254</v>
      </c>
      <c r="G28" s="183">
        <v>0</v>
      </c>
      <c r="H28" s="184">
        <f t="shared" si="2"/>
        <v>2773509</v>
      </c>
      <c r="I28" s="710"/>
      <c r="J28" s="339">
        <f t="shared" si="1"/>
        <v>1054951</v>
      </c>
      <c r="K28" s="339"/>
      <c r="L28" s="339"/>
      <c r="M28" s="339"/>
      <c r="N28" s="339"/>
      <c r="O28" s="339"/>
      <c r="P28" s="675"/>
      <c r="Q28" s="282"/>
      <c r="R28" s="665" t="s">
        <v>748</v>
      </c>
      <c r="S28" s="665"/>
      <c r="T28" s="665"/>
      <c r="U28" s="665"/>
      <c r="V28" s="665"/>
      <c r="W28" s="286"/>
      <c r="X28" s="302" t="s">
        <v>737</v>
      </c>
      <c r="Y28" s="303">
        <v>2003125</v>
      </c>
      <c r="Z28" s="305">
        <f>(AA28/Y28)-100%</f>
        <v>-0.38177797191887675</v>
      </c>
      <c r="AA28" s="304">
        <f>R9</f>
        <v>1238376</v>
      </c>
      <c r="AB28" s="303">
        <f>AB26-AB27</f>
        <v>490535</v>
      </c>
      <c r="AC28" s="305">
        <f>AA28/AB28-100%</f>
        <v>1.5245415719571489</v>
      </c>
      <c r="AE28" s="268"/>
      <c r="AF28" s="656"/>
      <c r="AG28" s="657"/>
      <c r="AH28" s="232"/>
    </row>
    <row r="29" spans="1:34" ht="30.9" customHeight="1" thickTop="1" thickBot="1">
      <c r="A29" s="176">
        <v>45836</v>
      </c>
      <c r="B29" s="178" t="s">
        <v>486</v>
      </c>
      <c r="C29" s="183">
        <v>708246</v>
      </c>
      <c r="D29" s="183">
        <v>1129788</v>
      </c>
      <c r="E29" s="183">
        <f t="shared" si="0"/>
        <v>-421542</v>
      </c>
      <c r="F29" s="183">
        <v>-51</v>
      </c>
      <c r="G29" s="183">
        <v>0</v>
      </c>
      <c r="H29" s="184">
        <f t="shared" si="2"/>
        <v>2351916</v>
      </c>
      <c r="I29" s="710"/>
      <c r="J29" s="339">
        <f t="shared" si="1"/>
        <v>1129788</v>
      </c>
      <c r="K29" s="339"/>
      <c r="L29" s="339"/>
      <c r="M29" s="339"/>
      <c r="N29" s="339"/>
      <c r="O29" s="339"/>
      <c r="P29" s="675"/>
      <c r="Q29" s="282"/>
      <c r="R29" s="665" t="s">
        <v>750</v>
      </c>
      <c r="S29" s="665"/>
      <c r="T29" s="665"/>
      <c r="U29" s="665"/>
      <c r="V29" s="665"/>
      <c r="W29" s="286"/>
      <c r="X29" s="302" t="s">
        <v>757</v>
      </c>
      <c r="Y29" s="341">
        <v>4033</v>
      </c>
      <c r="Z29" s="305">
        <f t="shared" ref="Z29:Z31" si="9">(AA29/Y29)-100%</f>
        <v>-6.74435903793702E-2</v>
      </c>
      <c r="AA29" s="342">
        <v>3761</v>
      </c>
      <c r="AB29" s="341">
        <v>3412</v>
      </c>
      <c r="AC29" s="305">
        <f t="shared" ref="AC29:AC31" si="10">AA29/AB29-100%</f>
        <v>0.10228604923798357</v>
      </c>
      <c r="AE29" s="658" t="s">
        <v>667</v>
      </c>
      <c r="AF29" s="658"/>
      <c r="AG29" s="657"/>
      <c r="AH29" s="232"/>
    </row>
    <row r="30" spans="1:34" ht="30.9" customHeight="1" thickTop="1" thickBot="1">
      <c r="A30" s="176">
        <v>45837</v>
      </c>
      <c r="B30" s="178" t="s">
        <v>487</v>
      </c>
      <c r="C30" s="183">
        <v>586609</v>
      </c>
      <c r="D30" s="183">
        <v>637777</v>
      </c>
      <c r="E30" s="183">
        <f t="shared" si="0"/>
        <v>-51168</v>
      </c>
      <c r="F30" s="183">
        <v>0</v>
      </c>
      <c r="G30" s="183">
        <v>0</v>
      </c>
      <c r="H30" s="184">
        <f t="shared" si="2"/>
        <v>2300748</v>
      </c>
      <c r="I30" s="710"/>
      <c r="J30" s="339">
        <f t="shared" si="1"/>
        <v>626579</v>
      </c>
      <c r="K30" s="339"/>
      <c r="L30" s="339">
        <v>11198</v>
      </c>
      <c r="M30" s="339"/>
      <c r="N30" s="339"/>
      <c r="O30" s="339"/>
      <c r="P30" s="675"/>
      <c r="Q30" s="282"/>
      <c r="R30" s="665"/>
      <c r="S30" s="665"/>
      <c r="T30" s="665"/>
      <c r="U30" s="665"/>
      <c r="V30" s="665"/>
      <c r="W30" s="286"/>
      <c r="X30" s="302" t="s">
        <v>758</v>
      </c>
      <c r="Y30" s="303">
        <f>$Y$26/Y29</f>
        <v>4864.8214728489957</v>
      </c>
      <c r="Z30" s="305">
        <f t="shared" si="9"/>
        <v>-7.2321634903800502E-2</v>
      </c>
      <c r="AA30" s="304">
        <f>AA26/AA29</f>
        <v>4512.9896304174417</v>
      </c>
      <c r="AB30" s="303">
        <f>AB26/AB29</f>
        <v>4269.0542203985933</v>
      </c>
      <c r="AC30" s="305">
        <f t="shared" si="10"/>
        <v>5.7140386939398713E-2</v>
      </c>
      <c r="AE30" s="268"/>
      <c r="AF30" s="656"/>
      <c r="AG30" s="657"/>
      <c r="AH30" s="232"/>
    </row>
    <row r="31" spans="1:34" ht="30.9" customHeight="1" thickTop="1" thickBot="1">
      <c r="A31" s="176">
        <v>45838</v>
      </c>
      <c r="B31" s="177" t="s">
        <v>488</v>
      </c>
      <c r="C31" s="183">
        <v>420593</v>
      </c>
      <c r="D31" s="183">
        <v>233959</v>
      </c>
      <c r="E31" s="183">
        <f t="shared" si="0"/>
        <v>186634</v>
      </c>
      <c r="F31" s="183">
        <v>-244</v>
      </c>
      <c r="G31" s="183">
        <v>0</v>
      </c>
      <c r="H31" s="184">
        <f>H30+E31+F31</f>
        <v>2487138</v>
      </c>
      <c r="I31" s="710"/>
      <c r="J31" s="339">
        <f t="shared" si="1"/>
        <v>101409</v>
      </c>
      <c r="K31" s="339"/>
      <c r="L31" s="339"/>
      <c r="M31" s="339"/>
      <c r="N31" s="339"/>
      <c r="O31" s="339">
        <v>132550</v>
      </c>
      <c r="P31" s="675"/>
      <c r="Q31" s="282"/>
      <c r="R31" s="665"/>
      <c r="S31" s="665"/>
      <c r="T31" s="665"/>
      <c r="U31" s="665"/>
      <c r="V31" s="665"/>
      <c r="W31" s="286"/>
      <c r="X31" s="302" t="s">
        <v>756</v>
      </c>
      <c r="Y31" s="303">
        <f>Y26/31</f>
        <v>632897.58064516133</v>
      </c>
      <c r="Z31" s="305">
        <f t="shared" si="9"/>
        <v>-0.10605051438192414</v>
      </c>
      <c r="AA31" s="304">
        <f>AA26/30</f>
        <v>565778.46666666667</v>
      </c>
      <c r="AB31" s="303">
        <f>AB26/30</f>
        <v>485533.76666666666</v>
      </c>
      <c r="AC31" s="305">
        <f t="shared" si="10"/>
        <v>0.16527110060934325</v>
      </c>
      <c r="AE31" s="269"/>
      <c r="AF31" s="659"/>
      <c r="AG31" s="660"/>
      <c r="AH31" s="232"/>
    </row>
    <row r="32" spans="1:34" ht="30.9" customHeight="1" thickTop="1" thickBot="1">
      <c r="A32" s="176"/>
      <c r="B32" s="178"/>
      <c r="C32" s="183"/>
      <c r="D32" s="183"/>
      <c r="E32" s="183"/>
      <c r="F32" s="183"/>
      <c r="G32" s="183"/>
      <c r="H32" s="184">
        <f t="shared" si="2"/>
        <v>2487138</v>
      </c>
      <c r="I32" s="710"/>
      <c r="J32" s="339">
        <f t="shared" si="1"/>
        <v>0</v>
      </c>
      <c r="K32" s="339"/>
      <c r="L32" s="339"/>
      <c r="M32" s="339"/>
      <c r="N32" s="339"/>
      <c r="O32" s="339"/>
      <c r="P32" s="675"/>
      <c r="Q32" s="282"/>
      <c r="R32" s="665"/>
      <c r="S32" s="665"/>
      <c r="T32" s="665"/>
      <c r="U32" s="665"/>
      <c r="V32" s="665"/>
      <c r="W32" s="286"/>
      <c r="AE32" s="269"/>
      <c r="AF32" s="659"/>
      <c r="AG32" s="660"/>
      <c r="AH32" s="232"/>
    </row>
    <row r="33" spans="1:36" ht="30.9" customHeight="1" thickTop="1">
      <c r="A33" s="264"/>
      <c r="B33" s="265"/>
      <c r="C33" s="183"/>
      <c r="D33" s="293">
        <v>100000</v>
      </c>
      <c r="E33" s="293">
        <f t="shared" si="0"/>
        <v>-100000</v>
      </c>
      <c r="F33" s="183"/>
      <c r="G33" s="183">
        <v>0</v>
      </c>
      <c r="H33" s="184">
        <f t="shared" si="2"/>
        <v>2387138</v>
      </c>
      <c r="I33" s="710"/>
      <c r="J33" s="339">
        <f t="shared" si="1"/>
        <v>0</v>
      </c>
      <c r="K33" s="339"/>
      <c r="L33" s="339"/>
      <c r="M33" s="339"/>
      <c r="N33" s="339"/>
      <c r="O33" s="339">
        <v>100000</v>
      </c>
      <c r="P33" s="675"/>
      <c r="Q33" s="282"/>
      <c r="R33" s="665"/>
      <c r="S33" s="665"/>
      <c r="T33" s="665"/>
      <c r="U33" s="665"/>
      <c r="V33" s="665"/>
      <c r="W33" s="286"/>
      <c r="AF33" s="81"/>
      <c r="AG33" s="81"/>
    </row>
    <row r="34" spans="1:36" ht="45" customHeight="1">
      <c r="A34" s="672" t="s">
        <v>247</v>
      </c>
      <c r="B34" s="673"/>
      <c r="C34" s="292">
        <f>SUM(C2:C33)</f>
        <v>16973354</v>
      </c>
      <c r="D34" s="292">
        <f>SUM(D2:D33)</f>
        <v>14580320</v>
      </c>
      <c r="E34" s="292">
        <f>SUM(E2:E33)</f>
        <v>2393034</v>
      </c>
      <c r="F34" s="292">
        <f>SUM(F2:F33)</f>
        <v>-5896</v>
      </c>
      <c r="G34" s="292">
        <f>SUM(G2:G33)</f>
        <v>0</v>
      </c>
      <c r="H34" s="292">
        <f>C34-D34+G34</f>
        <v>2393034</v>
      </c>
      <c r="I34" s="710"/>
      <c r="J34" s="340">
        <f>SUM(J2:J33)</f>
        <v>13766469</v>
      </c>
      <c r="K34" s="340">
        <f t="shared" ref="K34:O34" si="11">SUM(K2:K33)</f>
        <v>79669</v>
      </c>
      <c r="L34" s="340">
        <f t="shared" si="11"/>
        <v>47712</v>
      </c>
      <c r="M34" s="340">
        <f t="shared" si="11"/>
        <v>15569</v>
      </c>
      <c r="N34" s="340">
        <f t="shared" si="11"/>
        <v>239771</v>
      </c>
      <c r="O34" s="340">
        <f t="shared" si="11"/>
        <v>431130</v>
      </c>
      <c r="P34" s="675"/>
      <c r="AE34" s="674"/>
      <c r="AF34" s="674"/>
      <c r="AG34" s="674"/>
      <c r="AH34" s="674"/>
      <c r="AI34" s="674"/>
      <c r="AJ34" s="674"/>
    </row>
    <row r="35" spans="1:36">
      <c r="A35" s="69"/>
    </row>
    <row r="36" spans="1:36">
      <c r="A36" s="69"/>
    </row>
    <row r="37" spans="1:36">
      <c r="A37" s="69"/>
    </row>
    <row r="38" spans="1:36">
      <c r="A38" s="69"/>
    </row>
    <row r="39" spans="1:36">
      <c r="A39" s="69"/>
    </row>
    <row r="40" spans="1:36" ht="21" customHeight="1">
      <c r="A40" s="69"/>
    </row>
    <row r="41" spans="1:36" ht="23.1" customHeight="1">
      <c r="A41" s="69"/>
    </row>
    <row r="42" spans="1:36">
      <c r="A42" s="69"/>
    </row>
    <row r="43" spans="1:36" ht="29.1" customHeight="1">
      <c r="A43" s="69"/>
    </row>
    <row r="44" spans="1:36" ht="15" customHeight="1">
      <c r="A44" s="69"/>
    </row>
    <row r="45" spans="1:36">
      <c r="A45" s="69"/>
    </row>
    <row r="46" spans="1:36">
      <c r="A46" s="69"/>
    </row>
    <row r="47" spans="1:36">
      <c r="A47" s="69"/>
    </row>
    <row r="48" spans="1:36">
      <c r="A48" s="69"/>
    </row>
    <row r="49" spans="1:1">
      <c r="A49" s="69"/>
    </row>
    <row r="50" spans="1:1">
      <c r="A50" s="69"/>
    </row>
    <row r="51" spans="1:1" ht="18.899999999999999" customHeight="1">
      <c r="A51" s="69"/>
    </row>
  </sheetData>
  <mergeCells count="74">
    <mergeCell ref="AE1:AH1"/>
    <mergeCell ref="Q2:W2"/>
    <mergeCell ref="X2:AA2"/>
    <mergeCell ref="AB2:AC2"/>
    <mergeCell ref="AE2:AH2"/>
    <mergeCell ref="A1:B1"/>
    <mergeCell ref="I1:I34"/>
    <mergeCell ref="P1:P34"/>
    <mergeCell ref="Q1:W1"/>
    <mergeCell ref="X1:AC1"/>
    <mergeCell ref="R9:W9"/>
    <mergeCell ref="Q3:R3"/>
    <mergeCell ref="V3:W3"/>
    <mergeCell ref="X3:Z3"/>
    <mergeCell ref="AA3:AC3"/>
    <mergeCell ref="Q4:R5"/>
    <mergeCell ref="Q6:W6"/>
    <mergeCell ref="Q10:W10"/>
    <mergeCell ref="Q11:W11"/>
    <mergeCell ref="X15:Z15"/>
    <mergeCell ref="AA15:AC15"/>
    <mergeCell ref="AE6:AF6"/>
    <mergeCell ref="AG6:AH6"/>
    <mergeCell ref="U7:W7"/>
    <mergeCell ref="AE5:AH5"/>
    <mergeCell ref="U8:W8"/>
    <mergeCell ref="AE11:AH11"/>
    <mergeCell ref="AE12:AG12"/>
    <mergeCell ref="AE13:AF14"/>
    <mergeCell ref="X14:AA14"/>
    <mergeCell ref="AB14:AC14"/>
    <mergeCell ref="AE15:AE16"/>
    <mergeCell ref="AF15:AG15"/>
    <mergeCell ref="Q16:S16"/>
    <mergeCell ref="T16:W16"/>
    <mergeCell ref="AF16:AG16"/>
    <mergeCell ref="Q17:V17"/>
    <mergeCell ref="AF17:AG17"/>
    <mergeCell ref="V18:W18"/>
    <mergeCell ref="AE18:AG18"/>
    <mergeCell ref="V19:W19"/>
    <mergeCell ref="AE19:AG19"/>
    <mergeCell ref="AE20:AG20"/>
    <mergeCell ref="Q21:W21"/>
    <mergeCell ref="AE21:AG21"/>
    <mergeCell ref="V22:W22"/>
    <mergeCell ref="X22:AA23"/>
    <mergeCell ref="AB22:AC23"/>
    <mergeCell ref="AE22:AH22"/>
    <mergeCell ref="V23:W23"/>
    <mergeCell ref="AE23:AH23"/>
    <mergeCell ref="X24:AC24"/>
    <mergeCell ref="AE24:AG24"/>
    <mergeCell ref="Q25:V25"/>
    <mergeCell ref="Y25:Z25"/>
    <mergeCell ref="AB25:AC25"/>
    <mergeCell ref="AF25:AG25"/>
    <mergeCell ref="R26:V26"/>
    <mergeCell ref="AF26:AG26"/>
    <mergeCell ref="R27:V27"/>
    <mergeCell ref="AF27:AG27"/>
    <mergeCell ref="R28:V28"/>
    <mergeCell ref="AF28:AG28"/>
    <mergeCell ref="R29:V29"/>
    <mergeCell ref="AE29:AG29"/>
    <mergeCell ref="R30:V30"/>
    <mergeCell ref="AF30:AG30"/>
    <mergeCell ref="R31:V31"/>
    <mergeCell ref="AF31:AG31"/>
    <mergeCell ref="R32:V32"/>
    <mergeCell ref="AF32:AG32"/>
    <mergeCell ref="R33:V33"/>
    <mergeCell ref="A34:B34"/>
    <mergeCell ref="AE34:AJ34"/>
  </mergeCells>
  <conditionalFormatting sqref="K2:O32">
    <cfRule type="cellIs" dxfId="95" priority="1" operator="greaterThan">
      <formula>0</formula>
    </cfRule>
    <cfRule type="cellIs" dxfId="94" priority="2" operator="equal">
      <formula>0</formula>
    </cfRule>
    <cfRule type="cellIs" dxfId="93" priority="3" operator="equal">
      <formula>"¥11.055"</formula>
    </cfRule>
    <cfRule type="cellIs" dxfId="92" priority="4" operator="equal">
      <formula>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917BF-85EC-45A8-AA52-D3E1DD627BC7}">
  <dimension ref="A1:AK51"/>
  <sheetViews>
    <sheetView zoomScaleNormal="100" workbookViewId="0">
      <pane ySplit="1" topLeftCell="A11" activePane="bottomLeft" state="frozen"/>
      <selection pane="bottomLeft" activeCell="AD26" sqref="AD26"/>
    </sheetView>
  </sheetViews>
  <sheetFormatPr defaultColWidth="10.6328125" defaultRowHeight="18"/>
  <cols>
    <col min="1" max="1" width="5.90625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6.81640625" style="69" customWidth="1"/>
    <col min="7" max="7" width="4.54296875" style="69" customWidth="1"/>
    <col min="8" max="8" width="12.453125" style="69" customWidth="1"/>
    <col min="9" max="9" width="4.1796875" style="69" customWidth="1"/>
    <col min="10" max="15" width="11.90625" style="69" customWidth="1"/>
    <col min="16" max="16" width="3" style="69" customWidth="1"/>
    <col min="17" max="17" width="9.90625" style="69" customWidth="1"/>
    <col min="18" max="23" width="10" style="69" customWidth="1"/>
    <col min="24" max="24" width="4.54296875" style="69" customWidth="1"/>
    <col min="25" max="25" width="13.1796875" style="69" customWidth="1"/>
    <col min="26" max="26" width="13.1796875" style="296" customWidth="1"/>
    <col min="27" max="27" width="5.81640625" style="297" customWidth="1"/>
    <col min="28" max="28" width="13.1796875" style="69" customWidth="1"/>
    <col min="29" max="29" width="13.81640625" style="296" customWidth="1"/>
    <col min="30" max="30" width="4.90625" style="297" customWidth="1"/>
    <col min="31" max="31" width="10.81640625" style="296" customWidth="1"/>
    <col min="32" max="33" width="7" style="69" customWidth="1"/>
    <col min="34" max="34" width="11.453125" style="69" customWidth="1"/>
    <col min="35" max="35" width="21" style="69" customWidth="1"/>
    <col min="36" max="16384" width="10.6328125" style="69"/>
  </cols>
  <sheetData>
    <row r="1" spans="1:35" ht="38.25" customHeight="1" thickTop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133" t="s">
        <v>463</v>
      </c>
      <c r="H1" s="220" t="s">
        <v>464</v>
      </c>
      <c r="I1" s="710"/>
      <c r="J1" s="338" t="s">
        <v>705</v>
      </c>
      <c r="K1" s="338" t="s">
        <v>741</v>
      </c>
      <c r="L1" s="338" t="s">
        <v>707</v>
      </c>
      <c r="M1" s="338" t="s">
        <v>708</v>
      </c>
      <c r="N1" s="338" t="s">
        <v>710</v>
      </c>
      <c r="O1" s="338" t="s">
        <v>742</v>
      </c>
      <c r="P1" s="675"/>
      <c r="Q1" s="723" t="s">
        <v>755</v>
      </c>
      <c r="R1" s="723"/>
      <c r="S1" s="723"/>
      <c r="T1" s="723"/>
      <c r="U1" s="723"/>
      <c r="V1" s="723"/>
      <c r="W1" s="723"/>
      <c r="X1" s="733"/>
      <c r="Y1" s="676" t="s">
        <v>718</v>
      </c>
      <c r="Z1" s="677"/>
      <c r="AA1" s="677"/>
      <c r="AB1" s="677"/>
      <c r="AC1" s="677"/>
      <c r="AD1" s="678"/>
      <c r="AE1" s="281"/>
      <c r="AF1" s="631" t="s">
        <v>642</v>
      </c>
      <c r="AG1" s="632"/>
      <c r="AH1" s="632"/>
      <c r="AI1" s="632"/>
    </row>
    <row r="2" spans="1:35" ht="30.9" customHeight="1" thickTop="1" thickBot="1">
      <c r="A2" s="176">
        <v>45839</v>
      </c>
      <c r="B2" s="177" t="s">
        <v>489</v>
      </c>
      <c r="C2" s="183">
        <v>690861</v>
      </c>
      <c r="D2" s="183">
        <v>464231</v>
      </c>
      <c r="E2" s="183">
        <f>C2-D2</f>
        <v>226630</v>
      </c>
      <c r="F2" s="183">
        <v>-24</v>
      </c>
      <c r="G2" s="183">
        <v>0</v>
      </c>
      <c r="H2" s="221">
        <f>E2+F2</f>
        <v>226606</v>
      </c>
      <c r="I2" s="710"/>
      <c r="J2" s="339">
        <f>D2-SUM(K2:O2)</f>
        <v>438176</v>
      </c>
      <c r="K2" s="339"/>
      <c r="L2" s="339"/>
      <c r="M2" s="339"/>
      <c r="N2" s="339"/>
      <c r="O2" s="339">
        <v>26055</v>
      </c>
      <c r="P2" s="675"/>
      <c r="Q2" s="709" t="s">
        <v>249</v>
      </c>
      <c r="R2" s="709"/>
      <c r="S2" s="709"/>
      <c r="T2" s="709"/>
      <c r="U2" s="709"/>
      <c r="V2" s="709"/>
      <c r="W2" s="709"/>
      <c r="X2" s="733"/>
      <c r="Y2" s="734" t="s">
        <v>711</v>
      </c>
      <c r="Z2" s="725"/>
      <c r="AA2" s="726"/>
      <c r="AB2" s="346">
        <f>AC13+Z13</f>
        <v>16198140</v>
      </c>
      <c r="AC2" s="681">
        <f>AA13+AD13</f>
        <v>0.95957083064953419</v>
      </c>
      <c r="AD2" s="682"/>
      <c r="AE2" s="81"/>
      <c r="AF2" s="627" t="s">
        <v>638</v>
      </c>
      <c r="AG2" s="628"/>
      <c r="AH2" s="628"/>
      <c r="AI2" s="628"/>
    </row>
    <row r="3" spans="1:35" ht="30.9" customHeight="1" thickTop="1" thickBot="1">
      <c r="A3" s="176">
        <v>45840</v>
      </c>
      <c r="B3" s="177" t="s">
        <v>490</v>
      </c>
      <c r="C3" s="183">
        <v>360054</v>
      </c>
      <c r="D3" s="183">
        <v>1390381</v>
      </c>
      <c r="E3" s="183">
        <f t="shared" ref="E3:E33" si="0">C3-D3</f>
        <v>-1030327</v>
      </c>
      <c r="F3" s="183">
        <v>-22</v>
      </c>
      <c r="G3" s="183">
        <v>0</v>
      </c>
      <c r="H3" s="221">
        <f>H2+E3+F3</f>
        <v>-803743</v>
      </c>
      <c r="I3" s="710"/>
      <c r="J3" s="339">
        <f t="shared" ref="J3:J33" si="1">D3-SUM(K3:O3)</f>
        <v>1379856</v>
      </c>
      <c r="K3" s="339">
        <v>7000</v>
      </c>
      <c r="L3" s="339"/>
      <c r="M3" s="339">
        <v>3205</v>
      </c>
      <c r="N3" s="339">
        <v>320</v>
      </c>
      <c r="O3" s="339"/>
      <c r="P3" s="675"/>
      <c r="Q3" s="725" t="s">
        <v>769</v>
      </c>
      <c r="R3" s="726"/>
      <c r="S3" s="222" t="s">
        <v>251</v>
      </c>
      <c r="T3" s="222" t="s">
        <v>252</v>
      </c>
      <c r="U3" s="222" t="s">
        <v>449</v>
      </c>
      <c r="V3" s="659" t="s">
        <v>773</v>
      </c>
      <c r="W3" s="724"/>
      <c r="X3" s="733"/>
      <c r="Y3" s="713" t="s">
        <v>713</v>
      </c>
      <c r="Z3" s="714"/>
      <c r="AA3" s="714"/>
      <c r="AB3" s="715" t="s">
        <v>712</v>
      </c>
      <c r="AC3" s="715"/>
      <c r="AD3" s="716"/>
      <c r="AE3" s="81"/>
      <c r="AF3" s="246"/>
      <c r="AG3" s="247"/>
      <c r="AH3" s="247"/>
      <c r="AI3" s="247"/>
    </row>
    <row r="4" spans="1:35" ht="30.9" customHeight="1" thickTop="1" thickBot="1">
      <c r="A4" s="176">
        <v>45841</v>
      </c>
      <c r="B4" s="177" t="s">
        <v>491</v>
      </c>
      <c r="C4" s="183">
        <v>600165</v>
      </c>
      <c r="D4" s="183">
        <v>365141</v>
      </c>
      <c r="E4" s="183">
        <f t="shared" si="0"/>
        <v>235024</v>
      </c>
      <c r="F4" s="183">
        <v>0</v>
      </c>
      <c r="G4" s="183">
        <v>0</v>
      </c>
      <c r="H4" s="221">
        <f t="shared" ref="H4:H33" si="2">H3+E4+F4</f>
        <v>-568719</v>
      </c>
      <c r="I4" s="710"/>
      <c r="J4" s="339">
        <f t="shared" si="1"/>
        <v>356232</v>
      </c>
      <c r="K4" s="339">
        <v>8909</v>
      </c>
      <c r="L4" s="339"/>
      <c r="M4" s="339"/>
      <c r="N4" s="339"/>
      <c r="O4" s="339"/>
      <c r="P4" s="675"/>
      <c r="Q4" s="727">
        <f>C34</f>
        <v>16880609</v>
      </c>
      <c r="R4" s="728"/>
      <c r="S4" s="224">
        <v>0</v>
      </c>
      <c r="T4" s="224">
        <v>0</v>
      </c>
      <c r="U4" s="224">
        <f>-F34</f>
        <v>3020</v>
      </c>
      <c r="V4" s="224">
        <v>26215</v>
      </c>
      <c r="W4" s="306"/>
      <c r="X4" s="733"/>
      <c r="Y4" s="319" t="s">
        <v>714</v>
      </c>
      <c r="Z4" s="243">
        <v>132550</v>
      </c>
      <c r="AA4" s="312">
        <f>Z4/$Q$4</f>
        <v>7.8522048582488936E-3</v>
      </c>
      <c r="AB4" s="328" t="s">
        <v>719</v>
      </c>
      <c r="AC4" s="243">
        <f>R8</f>
        <v>1003700</v>
      </c>
      <c r="AD4" s="313">
        <f>AC4/$Q$4</f>
        <v>5.9458755309124214E-2</v>
      </c>
      <c r="AF4" s="249"/>
      <c r="AG4" s="250"/>
      <c r="AH4" s="250"/>
      <c r="AI4" s="250"/>
    </row>
    <row r="5" spans="1:35" ht="30.9" customHeight="1" thickTop="1" thickBot="1">
      <c r="A5" s="176">
        <v>45842</v>
      </c>
      <c r="B5" s="178" t="s">
        <v>485</v>
      </c>
      <c r="C5" s="183">
        <v>813359</v>
      </c>
      <c r="D5" s="183">
        <v>211956</v>
      </c>
      <c r="E5" s="183">
        <f t="shared" si="0"/>
        <v>601403</v>
      </c>
      <c r="F5" s="183">
        <v>-445</v>
      </c>
      <c r="G5" s="183">
        <v>0</v>
      </c>
      <c r="H5" s="221">
        <f t="shared" si="2"/>
        <v>32239</v>
      </c>
      <c r="I5" s="710"/>
      <c r="J5" s="339">
        <f t="shared" si="1"/>
        <v>194785</v>
      </c>
      <c r="K5" s="339"/>
      <c r="L5" s="339">
        <v>10348</v>
      </c>
      <c r="M5" s="339"/>
      <c r="N5" s="339">
        <v>6823</v>
      </c>
      <c r="O5" s="339"/>
      <c r="P5" s="675"/>
      <c r="Q5" s="729"/>
      <c r="R5" s="730"/>
      <c r="S5" s="225">
        <f>S4/Q4</f>
        <v>0</v>
      </c>
      <c r="T5" s="225">
        <f>T4/Q4</f>
        <v>0</v>
      </c>
      <c r="U5" s="226">
        <f>U4/Q4</f>
        <v>1.7890349809061983E-4</v>
      </c>
      <c r="V5" s="226">
        <f>V4/Q4</f>
        <v>1.5529652988230461E-3</v>
      </c>
      <c r="W5" s="307"/>
      <c r="X5" s="733"/>
      <c r="Y5" s="319" t="s">
        <v>715</v>
      </c>
      <c r="Z5" s="243">
        <v>26055</v>
      </c>
      <c r="AA5" s="312">
        <f t="shared" ref="AA5:AA12" si="3">Z5/$Q$4</f>
        <v>1.5434869677983774E-3</v>
      </c>
      <c r="AB5" s="328" t="s">
        <v>720</v>
      </c>
      <c r="AC5" s="243">
        <f>SUM(Q14:W14)</f>
        <v>6000</v>
      </c>
      <c r="AD5" s="313">
        <f t="shared" ref="AD5:AD12" si="4">AC5/$Q$4</f>
        <v>3.554374134250725E-4</v>
      </c>
      <c r="AF5" s="654" t="s">
        <v>639</v>
      </c>
      <c r="AG5" s="655"/>
      <c r="AH5" s="655"/>
      <c r="AI5" s="655"/>
    </row>
    <row r="6" spans="1:35" ht="30.9" customHeight="1" thickTop="1" thickBot="1">
      <c r="A6" s="176">
        <v>45843</v>
      </c>
      <c r="B6" s="178" t="s">
        <v>486</v>
      </c>
      <c r="C6" s="183">
        <v>728237</v>
      </c>
      <c r="D6" s="183">
        <v>722111</v>
      </c>
      <c r="E6" s="183">
        <f t="shared" si="0"/>
        <v>6126</v>
      </c>
      <c r="F6" s="183">
        <v>-554</v>
      </c>
      <c r="G6" s="183">
        <v>0</v>
      </c>
      <c r="H6" s="221">
        <f t="shared" si="2"/>
        <v>37811</v>
      </c>
      <c r="I6" s="710"/>
      <c r="J6" s="339">
        <f t="shared" si="1"/>
        <v>691364</v>
      </c>
      <c r="K6" s="339">
        <v>4545</v>
      </c>
      <c r="L6" s="339"/>
      <c r="M6" s="339"/>
      <c r="N6" s="339">
        <v>26202</v>
      </c>
      <c r="O6" s="339"/>
      <c r="P6" s="675"/>
      <c r="Q6" s="702" t="s">
        <v>250</v>
      </c>
      <c r="R6" s="702"/>
      <c r="S6" s="702"/>
      <c r="T6" s="702"/>
      <c r="U6" s="702"/>
      <c r="V6" s="702"/>
      <c r="W6" s="702"/>
      <c r="X6" s="733"/>
      <c r="Y6" s="319" t="s">
        <v>716</v>
      </c>
      <c r="Z6" s="243">
        <v>6080</v>
      </c>
      <c r="AA6" s="312">
        <f t="shared" si="3"/>
        <v>3.6017657893740683E-4</v>
      </c>
      <c r="AB6" s="328" t="s">
        <v>721</v>
      </c>
      <c r="AC6" s="243">
        <v>92394</v>
      </c>
      <c r="AD6" s="313">
        <f t="shared" si="4"/>
        <v>5.4733807293326914E-3</v>
      </c>
      <c r="AF6" s="630" t="s">
        <v>231</v>
      </c>
      <c r="AG6" s="630"/>
      <c r="AH6" s="490"/>
      <c r="AI6" s="490"/>
    </row>
    <row r="7" spans="1:35" ht="30.9" customHeight="1" thickTop="1" thickBot="1">
      <c r="A7" s="176">
        <v>45844</v>
      </c>
      <c r="B7" s="178" t="s">
        <v>487</v>
      </c>
      <c r="C7" s="183">
        <v>445719</v>
      </c>
      <c r="D7" s="183">
        <v>886953</v>
      </c>
      <c r="E7" s="183">
        <f t="shared" si="0"/>
        <v>-441234</v>
      </c>
      <c r="F7" s="183">
        <v>0</v>
      </c>
      <c r="G7" s="183">
        <v>0</v>
      </c>
      <c r="H7" s="221">
        <f t="shared" si="2"/>
        <v>-403423</v>
      </c>
      <c r="I7" s="710"/>
      <c r="J7" s="339">
        <f t="shared" si="1"/>
        <v>866302</v>
      </c>
      <c r="K7" s="339">
        <v>8451</v>
      </c>
      <c r="L7" s="339"/>
      <c r="M7" s="339"/>
      <c r="N7" s="339">
        <f>700+11500</f>
        <v>12200</v>
      </c>
      <c r="O7" s="339"/>
      <c r="P7" s="675"/>
      <c r="Q7" s="329" t="s">
        <v>705</v>
      </c>
      <c r="R7" s="290" t="s">
        <v>253</v>
      </c>
      <c r="S7" s="288" t="s">
        <v>624</v>
      </c>
      <c r="T7" s="222"/>
      <c r="U7" s="703" t="s">
        <v>247</v>
      </c>
      <c r="V7" s="704"/>
      <c r="W7" s="704"/>
      <c r="X7" s="733"/>
      <c r="Y7" s="319" t="s">
        <v>717</v>
      </c>
      <c r="Z7" s="243">
        <f>T19</f>
        <v>46990</v>
      </c>
      <c r="AA7" s="312">
        <f t="shared" si="3"/>
        <v>2.7836673428073594E-3</v>
      </c>
      <c r="AB7" s="328" t="s">
        <v>722</v>
      </c>
      <c r="AC7" s="243">
        <v>3396</v>
      </c>
      <c r="AD7" s="313">
        <f t="shared" si="4"/>
        <v>2.0117757599859106E-4</v>
      </c>
      <c r="AF7" s="242" t="s">
        <v>640</v>
      </c>
      <c r="AG7" s="243">
        <v>300000</v>
      </c>
    </row>
    <row r="8" spans="1:35" ht="30.9" customHeight="1" thickTop="1" thickBot="1">
      <c r="A8" s="176">
        <v>45845</v>
      </c>
      <c r="B8" s="177" t="s">
        <v>488</v>
      </c>
      <c r="C8" s="183">
        <v>332222</v>
      </c>
      <c r="D8" s="183">
        <v>149860</v>
      </c>
      <c r="E8" s="183">
        <f t="shared" si="0"/>
        <v>182362</v>
      </c>
      <c r="F8" s="183">
        <v>-54</v>
      </c>
      <c r="G8" s="183">
        <v>0</v>
      </c>
      <c r="H8" s="221">
        <f t="shared" si="2"/>
        <v>-221115</v>
      </c>
      <c r="I8" s="710"/>
      <c r="J8" s="339">
        <f t="shared" si="1"/>
        <v>149860</v>
      </c>
      <c r="K8" s="339"/>
      <c r="L8" s="339"/>
      <c r="M8" s="339"/>
      <c r="N8" s="339"/>
      <c r="O8" s="339"/>
      <c r="P8" s="675"/>
      <c r="Q8" s="330">
        <f>D34</f>
        <v>14962005</v>
      </c>
      <c r="R8" s="291">
        <f>T16</f>
        <v>1003700</v>
      </c>
      <c r="S8" s="289">
        <f>V19</f>
        <v>238874</v>
      </c>
      <c r="T8" s="229"/>
      <c r="U8" s="705">
        <f>SUM(Q8:T8)</f>
        <v>16204579</v>
      </c>
      <c r="V8" s="706"/>
      <c r="W8" s="706"/>
      <c r="X8" s="733"/>
      <c r="Y8" s="319" t="s">
        <v>723</v>
      </c>
      <c r="Z8" s="243">
        <v>5500</v>
      </c>
      <c r="AA8" s="312">
        <f t="shared" si="3"/>
        <v>3.2581762897298313E-4</v>
      </c>
      <c r="AB8" s="328" t="s">
        <v>708</v>
      </c>
      <c r="AC8" s="243">
        <f>M34</f>
        <v>13495</v>
      </c>
      <c r="AD8" s="313">
        <f t="shared" si="4"/>
        <v>7.9943798236189231E-4</v>
      </c>
      <c r="AF8" s="242" t="s">
        <v>641</v>
      </c>
      <c r="AG8" s="243">
        <v>55000</v>
      </c>
    </row>
    <row r="9" spans="1:35" ht="30.9" customHeight="1" thickTop="1" thickBot="1">
      <c r="A9" s="176">
        <v>45846</v>
      </c>
      <c r="B9" s="177" t="s">
        <v>489</v>
      </c>
      <c r="C9" s="183">
        <v>435144</v>
      </c>
      <c r="D9" s="183">
        <v>497200</v>
      </c>
      <c r="E9" s="183">
        <f t="shared" si="0"/>
        <v>-62056</v>
      </c>
      <c r="F9" s="183">
        <v>0</v>
      </c>
      <c r="G9" s="183">
        <v>0</v>
      </c>
      <c r="H9" s="221">
        <f t="shared" si="2"/>
        <v>-283171</v>
      </c>
      <c r="I9" s="710"/>
      <c r="J9" s="339">
        <f t="shared" si="1"/>
        <v>495145</v>
      </c>
      <c r="K9" s="339"/>
      <c r="L9" s="339"/>
      <c r="M9" s="339"/>
      <c r="N9" s="339">
        <v>2055</v>
      </c>
      <c r="O9" s="339"/>
      <c r="P9" s="675"/>
      <c r="Q9" s="331" t="s">
        <v>266</v>
      </c>
      <c r="R9" s="731">
        <f>Q4-U8-V4-U4</f>
        <v>646795</v>
      </c>
      <c r="S9" s="732"/>
      <c r="T9" s="732"/>
      <c r="U9" s="732"/>
      <c r="V9" s="732"/>
      <c r="W9" s="732"/>
      <c r="X9" s="733"/>
      <c r="Y9" s="319" t="s">
        <v>724</v>
      </c>
      <c r="Z9" s="243">
        <v>0</v>
      </c>
      <c r="AA9" s="312">
        <f t="shared" si="3"/>
        <v>0</v>
      </c>
      <c r="AB9" s="328" t="s">
        <v>707</v>
      </c>
      <c r="AC9" s="243">
        <f>L34</f>
        <v>45334</v>
      </c>
      <c r="AD9" s="313">
        <f t="shared" si="4"/>
        <v>2.6855666167020396E-3</v>
      </c>
      <c r="AF9" s="241" t="s">
        <v>495</v>
      </c>
      <c r="AG9" s="243">
        <v>35000</v>
      </c>
    </row>
    <row r="10" spans="1:35" ht="30.9" customHeight="1" thickTop="1" thickBot="1">
      <c r="A10" s="176">
        <v>45847</v>
      </c>
      <c r="B10" s="177" t="s">
        <v>490</v>
      </c>
      <c r="C10" s="183">
        <v>213038</v>
      </c>
      <c r="D10" s="183">
        <v>369683</v>
      </c>
      <c r="E10" s="183">
        <f t="shared" si="0"/>
        <v>-156645</v>
      </c>
      <c r="F10" s="183">
        <v>-21</v>
      </c>
      <c r="G10" s="183">
        <v>0</v>
      </c>
      <c r="H10" s="221">
        <f t="shared" si="2"/>
        <v>-439837</v>
      </c>
      <c r="I10" s="710"/>
      <c r="J10" s="339">
        <f t="shared" si="1"/>
        <v>353990</v>
      </c>
      <c r="K10" s="339">
        <v>8461</v>
      </c>
      <c r="L10" s="339"/>
      <c r="M10" s="339">
        <v>7232</v>
      </c>
      <c r="N10" s="339"/>
      <c r="O10" s="339"/>
      <c r="P10" s="675"/>
      <c r="Q10" s="708" t="s">
        <v>257</v>
      </c>
      <c r="R10" s="708"/>
      <c r="S10" s="708"/>
      <c r="T10" s="708"/>
      <c r="U10" s="708"/>
      <c r="V10" s="708"/>
      <c r="W10" s="708"/>
      <c r="X10" s="733"/>
      <c r="Y10" s="319" t="s">
        <v>743</v>
      </c>
      <c r="Z10" s="243">
        <v>0</v>
      </c>
      <c r="AA10" s="312">
        <f t="shared" si="3"/>
        <v>0</v>
      </c>
      <c r="AB10" s="328" t="s">
        <v>706</v>
      </c>
      <c r="AC10" s="243">
        <f>K34</f>
        <v>95177</v>
      </c>
      <c r="AD10" s="313">
        <f t="shared" si="4"/>
        <v>5.6382444495930214E-3</v>
      </c>
      <c r="AF10" s="244" t="s">
        <v>73</v>
      </c>
      <c r="AG10" s="245">
        <f>SUM(AG7:AG9)</f>
        <v>390000</v>
      </c>
      <c r="AH10" s="252"/>
      <c r="AI10" s="252"/>
    </row>
    <row r="11" spans="1:35" ht="30.9" customHeight="1" thickTop="1" thickBot="1">
      <c r="A11" s="176">
        <v>45848</v>
      </c>
      <c r="B11" s="177" t="s">
        <v>491</v>
      </c>
      <c r="C11" s="183">
        <v>816908</v>
      </c>
      <c r="D11" s="183">
        <v>670479</v>
      </c>
      <c r="E11" s="183">
        <f t="shared" si="0"/>
        <v>146429</v>
      </c>
      <c r="F11" s="183">
        <v>-24</v>
      </c>
      <c r="G11" s="183">
        <v>0</v>
      </c>
      <c r="H11" s="221">
        <f>H10+E11+F11</f>
        <v>-293432</v>
      </c>
      <c r="I11" s="710"/>
      <c r="J11" s="339">
        <f t="shared" si="1"/>
        <v>657311</v>
      </c>
      <c r="K11" s="339"/>
      <c r="L11" s="339"/>
      <c r="M11" s="339"/>
      <c r="N11" s="339">
        <v>13168</v>
      </c>
      <c r="O11" s="339"/>
      <c r="P11" s="675"/>
      <c r="Q11" s="707" t="s">
        <v>477</v>
      </c>
      <c r="R11" s="707"/>
      <c r="S11" s="707"/>
      <c r="T11" s="707"/>
      <c r="U11" s="707"/>
      <c r="V11" s="707"/>
      <c r="W11" s="707"/>
      <c r="X11" s="733"/>
      <c r="Y11" s="319" t="s">
        <v>744</v>
      </c>
      <c r="Z11" s="243">
        <v>0</v>
      </c>
      <c r="AA11" s="312">
        <f t="shared" si="3"/>
        <v>0</v>
      </c>
      <c r="AB11" s="328" t="s">
        <v>705</v>
      </c>
      <c r="AC11" s="243">
        <f>J34</f>
        <v>13988049</v>
      </c>
      <c r="AD11" s="313">
        <f t="shared" si="4"/>
        <v>0.82864599257052873</v>
      </c>
      <c r="AF11" s="647" t="s">
        <v>643</v>
      </c>
      <c r="AG11" s="647"/>
      <c r="AH11" s="647"/>
      <c r="AI11" s="647"/>
    </row>
    <row r="12" spans="1:35" ht="30.9" customHeight="1" thickTop="1" thickBot="1">
      <c r="A12" s="176">
        <v>45849</v>
      </c>
      <c r="B12" s="178" t="s">
        <v>485</v>
      </c>
      <c r="C12" s="183">
        <v>1054775</v>
      </c>
      <c r="D12" s="183">
        <v>95540</v>
      </c>
      <c r="E12" s="183">
        <f t="shared" si="0"/>
        <v>959235</v>
      </c>
      <c r="F12" s="183">
        <v>-441</v>
      </c>
      <c r="G12" s="183">
        <v>0</v>
      </c>
      <c r="H12" s="221">
        <f t="shared" si="2"/>
        <v>665362</v>
      </c>
      <c r="I12" s="710"/>
      <c r="J12" s="339">
        <f t="shared" si="1"/>
        <v>95540</v>
      </c>
      <c r="K12" s="339"/>
      <c r="L12" s="339"/>
      <c r="M12" s="339"/>
      <c r="N12" s="339"/>
      <c r="O12" s="339"/>
      <c r="P12" s="675"/>
      <c r="Q12" s="269" t="s">
        <v>478</v>
      </c>
      <c r="R12" s="229" t="s">
        <v>479</v>
      </c>
      <c r="S12" s="229" t="s">
        <v>480</v>
      </c>
      <c r="T12" s="229" t="s">
        <v>455</v>
      </c>
      <c r="U12" s="229" t="s">
        <v>468</v>
      </c>
      <c r="V12" s="258" t="s">
        <v>230</v>
      </c>
      <c r="W12" s="308" t="s">
        <v>670</v>
      </c>
      <c r="X12" s="733"/>
      <c r="Y12" s="345" t="s">
        <v>771</v>
      </c>
      <c r="Z12" s="243">
        <v>200000</v>
      </c>
      <c r="AA12" s="312">
        <f t="shared" si="3"/>
        <v>1.184791378083575E-2</v>
      </c>
      <c r="AB12" s="328" t="s">
        <v>725</v>
      </c>
      <c r="AC12" s="243">
        <f>N34</f>
        <v>533420</v>
      </c>
      <c r="AD12" s="313">
        <f t="shared" si="4"/>
        <v>3.1599570844867031E-2</v>
      </c>
      <c r="AF12" s="650" t="s">
        <v>644</v>
      </c>
      <c r="AG12" s="650"/>
      <c r="AH12" s="650"/>
      <c r="AI12" s="229">
        <v>0</v>
      </c>
    </row>
    <row r="13" spans="1:35" ht="30.9" customHeight="1" thickTop="1" thickBot="1">
      <c r="A13" s="176">
        <v>45850</v>
      </c>
      <c r="B13" s="178" t="s">
        <v>486</v>
      </c>
      <c r="C13" s="183">
        <v>1003223</v>
      </c>
      <c r="D13" s="183">
        <v>353655</v>
      </c>
      <c r="E13" s="183">
        <f t="shared" si="0"/>
        <v>649568</v>
      </c>
      <c r="F13" s="183">
        <v>0</v>
      </c>
      <c r="G13" s="183">
        <v>0</v>
      </c>
      <c r="H13" s="221">
        <f t="shared" si="2"/>
        <v>1314930</v>
      </c>
      <c r="I13" s="710"/>
      <c r="J13" s="339">
        <f t="shared" si="1"/>
        <v>342620</v>
      </c>
      <c r="K13" s="339">
        <v>8650</v>
      </c>
      <c r="L13" s="339"/>
      <c r="M13" s="339"/>
      <c r="N13" s="339">
        <v>2385</v>
      </c>
      <c r="O13" s="339"/>
      <c r="P13" s="675"/>
      <c r="Q13" s="332">
        <f>AG10-75000</f>
        <v>315000</v>
      </c>
      <c r="R13" s="229">
        <f>52*1100</f>
        <v>57200</v>
      </c>
      <c r="S13" s="229">
        <f>28.5*1100</f>
        <v>31350</v>
      </c>
      <c r="T13" s="229">
        <f>137.5*1100</f>
        <v>151250</v>
      </c>
      <c r="U13" s="229">
        <f>87*1100</f>
        <v>95700</v>
      </c>
      <c r="V13" s="229">
        <v>160000</v>
      </c>
      <c r="W13" s="266">
        <f>102*1100</f>
        <v>112200</v>
      </c>
      <c r="X13" s="733"/>
      <c r="Y13" s="311" t="s">
        <v>709</v>
      </c>
      <c r="Z13" s="317">
        <f>SUM(Z4:Z12)</f>
        <v>417175</v>
      </c>
      <c r="AA13" s="312">
        <f>SUM(AA4:AA12)</f>
        <v>2.471326715760077E-2</v>
      </c>
      <c r="AB13" s="327" t="s">
        <v>709</v>
      </c>
      <c r="AC13" s="317">
        <f>SUM(AC4:AC12)</f>
        <v>15780965</v>
      </c>
      <c r="AD13" s="313">
        <f>SUM(AD4:AD12)</f>
        <v>0.93485756349193339</v>
      </c>
      <c r="AF13" s="650" t="s">
        <v>645</v>
      </c>
      <c r="AG13" s="650"/>
      <c r="AH13" s="261" t="s">
        <v>646</v>
      </c>
      <c r="AI13" s="229">
        <v>1000000</v>
      </c>
    </row>
    <row r="14" spans="1:35" ht="30.9" customHeight="1" thickTop="1" thickBot="1">
      <c r="A14" s="176">
        <v>45851</v>
      </c>
      <c r="B14" s="178" t="s">
        <v>487</v>
      </c>
      <c r="C14" s="183">
        <v>314195</v>
      </c>
      <c r="D14" s="183">
        <v>599822</v>
      </c>
      <c r="E14" s="183">
        <f t="shared" si="0"/>
        <v>-285627</v>
      </c>
      <c r="F14" s="183">
        <v>0</v>
      </c>
      <c r="G14" s="183">
        <v>0</v>
      </c>
      <c r="H14" s="221">
        <f t="shared" si="2"/>
        <v>1029303</v>
      </c>
      <c r="I14" s="710"/>
      <c r="J14" s="339">
        <f t="shared" si="1"/>
        <v>599822</v>
      </c>
      <c r="K14" s="339"/>
      <c r="L14" s="339"/>
      <c r="M14" s="339"/>
      <c r="N14" s="339"/>
      <c r="O14" s="339"/>
      <c r="P14" s="675"/>
      <c r="Q14" s="333">
        <v>0</v>
      </c>
      <c r="R14" s="287">
        <v>0</v>
      </c>
      <c r="S14" s="287">
        <v>0</v>
      </c>
      <c r="T14" s="287">
        <v>3000</v>
      </c>
      <c r="U14" s="287">
        <v>0</v>
      </c>
      <c r="V14" s="287">
        <v>0</v>
      </c>
      <c r="W14" s="309">
        <v>3000</v>
      </c>
      <c r="X14" s="733"/>
      <c r="Y14" s="735" t="s">
        <v>726</v>
      </c>
      <c r="Z14" s="736"/>
      <c r="AA14" s="737"/>
      <c r="AB14" s="347">
        <f>Z21+AC21</f>
        <v>161119</v>
      </c>
      <c r="AC14" s="681">
        <f>AA21+AD21</f>
        <v>9.5446201022723765E-3</v>
      </c>
      <c r="AD14" s="682"/>
      <c r="AE14" s="81"/>
      <c r="AF14" s="650"/>
      <c r="AG14" s="650"/>
      <c r="AH14" s="261" t="s">
        <v>647</v>
      </c>
      <c r="AI14" s="229">
        <v>133394</v>
      </c>
    </row>
    <row r="15" spans="1:35" ht="30.9" customHeight="1" thickTop="1" thickBot="1">
      <c r="A15" s="176">
        <v>45852</v>
      </c>
      <c r="B15" s="177" t="s">
        <v>488</v>
      </c>
      <c r="C15" s="183">
        <v>307024</v>
      </c>
      <c r="D15" s="183">
        <v>518307</v>
      </c>
      <c r="E15" s="183">
        <f t="shared" si="0"/>
        <v>-211283</v>
      </c>
      <c r="F15" s="183">
        <v>-11</v>
      </c>
      <c r="G15" s="183">
        <v>0</v>
      </c>
      <c r="H15" s="221">
        <f t="shared" si="2"/>
        <v>818009</v>
      </c>
      <c r="I15" s="710"/>
      <c r="J15" s="339">
        <f t="shared" si="1"/>
        <v>510530</v>
      </c>
      <c r="K15" s="339">
        <v>7777</v>
      </c>
      <c r="L15" s="339"/>
      <c r="M15" s="339"/>
      <c r="N15" s="339"/>
      <c r="O15" s="339"/>
      <c r="P15" s="675"/>
      <c r="Q15" s="334">
        <f>SUM(Q13:Q14)</f>
        <v>315000</v>
      </c>
      <c r="R15" s="234">
        <f t="shared" ref="R15:W15" si="5">SUM(R13:R14)</f>
        <v>57200</v>
      </c>
      <c r="S15" s="234">
        <f t="shared" si="5"/>
        <v>31350</v>
      </c>
      <c r="T15" s="234">
        <f t="shared" si="5"/>
        <v>154250</v>
      </c>
      <c r="U15" s="234">
        <f t="shared" si="5"/>
        <v>95700</v>
      </c>
      <c r="V15" s="234">
        <f t="shared" si="5"/>
        <v>160000</v>
      </c>
      <c r="W15" s="260">
        <f t="shared" si="5"/>
        <v>115200</v>
      </c>
      <c r="X15" s="733"/>
      <c r="Y15" s="719" t="s">
        <v>729</v>
      </c>
      <c r="Z15" s="720"/>
      <c r="AA15" s="720"/>
      <c r="AB15" s="717" t="s">
        <v>730</v>
      </c>
      <c r="AC15" s="717"/>
      <c r="AD15" s="718"/>
      <c r="AE15" s="81"/>
      <c r="AF15" s="650" t="s">
        <v>648</v>
      </c>
      <c r="AG15" s="650" t="s">
        <v>649</v>
      </c>
      <c r="AH15" s="650"/>
      <c r="AI15" s="229">
        <v>33127</v>
      </c>
    </row>
    <row r="16" spans="1:35" ht="30.9" customHeight="1" thickTop="1" thickBot="1">
      <c r="A16" s="176">
        <v>45853</v>
      </c>
      <c r="B16" s="177" t="s">
        <v>489</v>
      </c>
      <c r="C16" s="183">
        <v>668635</v>
      </c>
      <c r="D16" s="183">
        <v>314633</v>
      </c>
      <c r="E16" s="183">
        <f t="shared" si="0"/>
        <v>354002</v>
      </c>
      <c r="F16" s="183">
        <v>0</v>
      </c>
      <c r="G16" s="183">
        <v>0</v>
      </c>
      <c r="H16" s="221">
        <f t="shared" si="2"/>
        <v>1172011</v>
      </c>
      <c r="I16" s="710"/>
      <c r="J16" s="339">
        <f t="shared" si="1"/>
        <v>195756</v>
      </c>
      <c r="K16" s="339"/>
      <c r="L16" s="339"/>
      <c r="M16" s="339"/>
      <c r="N16" s="339">
        <f>16687+320</f>
        <v>17007</v>
      </c>
      <c r="O16" s="339">
        <f>6080+92394+3396</f>
        <v>101870</v>
      </c>
      <c r="P16" s="675"/>
      <c r="Q16" s="698" t="s">
        <v>247</v>
      </c>
      <c r="R16" s="641"/>
      <c r="S16" s="641"/>
      <c r="T16" s="648">
        <f>SUM(R15:W15)+AG10</f>
        <v>1003700</v>
      </c>
      <c r="U16" s="699"/>
      <c r="V16" s="699"/>
      <c r="W16" s="699"/>
      <c r="X16" s="733"/>
      <c r="Y16" s="324" t="s">
        <v>728</v>
      </c>
      <c r="Z16" s="243">
        <f>T23</f>
        <v>43541</v>
      </c>
      <c r="AA16" s="312">
        <f>Z16/$Q$4</f>
        <v>2.5793500696568469E-3</v>
      </c>
      <c r="AB16" s="321" t="s">
        <v>731</v>
      </c>
      <c r="AC16" s="243">
        <f>V4</f>
        <v>26215</v>
      </c>
      <c r="AD16" s="313">
        <f>AC16/$Q$4</f>
        <v>1.5529652988230461E-3</v>
      </c>
      <c r="AF16" s="650"/>
      <c r="AG16" s="650" t="s">
        <v>650</v>
      </c>
      <c r="AH16" s="650"/>
      <c r="AI16" s="229">
        <v>2200000</v>
      </c>
    </row>
    <row r="17" spans="1:35" ht="30.9" customHeight="1" thickTop="1" thickBot="1">
      <c r="A17" s="176">
        <v>45854</v>
      </c>
      <c r="B17" s="177" t="s">
        <v>490</v>
      </c>
      <c r="C17" s="183">
        <v>490519</v>
      </c>
      <c r="D17" s="183">
        <v>960580</v>
      </c>
      <c r="E17" s="183">
        <f t="shared" si="0"/>
        <v>-470061</v>
      </c>
      <c r="F17" s="183">
        <v>-41</v>
      </c>
      <c r="G17" s="183">
        <v>0</v>
      </c>
      <c r="H17" s="221">
        <f t="shared" si="2"/>
        <v>701909</v>
      </c>
      <c r="I17" s="710"/>
      <c r="J17" s="339">
        <f t="shared" si="1"/>
        <v>943528</v>
      </c>
      <c r="K17" s="339"/>
      <c r="L17" s="339">
        <v>17052</v>
      </c>
      <c r="M17" s="339"/>
      <c r="N17" s="339"/>
      <c r="O17" s="339"/>
      <c r="P17" s="675"/>
      <c r="Q17" s="688" t="s">
        <v>482</v>
      </c>
      <c r="R17" s="643"/>
      <c r="S17" s="643"/>
      <c r="T17" s="643"/>
      <c r="U17" s="643"/>
      <c r="V17" s="649"/>
      <c r="W17" s="283"/>
      <c r="X17" s="733"/>
      <c r="Y17" s="324" t="s">
        <v>727</v>
      </c>
      <c r="Z17" s="243">
        <f>U23</f>
        <v>22541</v>
      </c>
      <c r="AA17" s="312">
        <f t="shared" ref="AA17:AA20" si="6">Z17/$Q$4</f>
        <v>1.3353191226690934E-3</v>
      </c>
      <c r="AB17" s="321" t="s">
        <v>732</v>
      </c>
      <c r="AC17" s="243">
        <f>Q23</f>
        <v>3302</v>
      </c>
      <c r="AD17" s="313">
        <f t="shared" ref="AD17" si="7">AC17/$Q$4</f>
        <v>1.9560905652159824E-4</v>
      </c>
      <c r="AF17" s="261" t="s">
        <v>651</v>
      </c>
      <c r="AG17" s="650" t="s">
        <v>652</v>
      </c>
      <c r="AH17" s="650"/>
      <c r="AI17" s="229">
        <v>812296</v>
      </c>
    </row>
    <row r="18" spans="1:35" ht="30.9" customHeight="1" thickTop="1" thickBot="1">
      <c r="A18" s="176">
        <v>45855</v>
      </c>
      <c r="B18" s="177" t="s">
        <v>491</v>
      </c>
      <c r="C18" s="183">
        <v>599946</v>
      </c>
      <c r="D18" s="183">
        <v>665409</v>
      </c>
      <c r="E18" s="183">
        <f t="shared" si="0"/>
        <v>-65463</v>
      </c>
      <c r="F18" s="183">
        <v>0</v>
      </c>
      <c r="G18" s="183">
        <v>0</v>
      </c>
      <c r="H18" s="221">
        <f t="shared" si="2"/>
        <v>636446</v>
      </c>
      <c r="I18" s="710"/>
      <c r="J18" s="339">
        <f t="shared" si="1"/>
        <v>640979</v>
      </c>
      <c r="K18" s="339">
        <v>6600</v>
      </c>
      <c r="L18" s="339">
        <v>7030</v>
      </c>
      <c r="M18" s="339"/>
      <c r="N18" s="339">
        <v>10800</v>
      </c>
      <c r="O18" s="339"/>
      <c r="P18" s="675"/>
      <c r="Q18" s="284"/>
      <c r="R18" s="235"/>
      <c r="S18" s="343" t="s">
        <v>760</v>
      </c>
      <c r="T18" s="294" t="s">
        <v>703</v>
      </c>
      <c r="U18" s="236" t="s">
        <v>498</v>
      </c>
      <c r="V18" s="683" t="s">
        <v>247</v>
      </c>
      <c r="W18" s="684"/>
      <c r="X18" s="733"/>
      <c r="Y18" s="324" t="s">
        <v>733</v>
      </c>
      <c r="Z18" s="243">
        <f>S23</f>
        <v>12500</v>
      </c>
      <c r="AA18" s="312">
        <f t="shared" si="6"/>
        <v>7.4049461130223438E-4</v>
      </c>
      <c r="AB18" s="322"/>
      <c r="AC18" s="243"/>
      <c r="AD18" s="313"/>
      <c r="AF18" s="650" t="s">
        <v>697</v>
      </c>
      <c r="AG18" s="650"/>
      <c r="AH18" s="650"/>
      <c r="AI18" s="229">
        <v>70000</v>
      </c>
    </row>
    <row r="19" spans="1:35" ht="30.9" customHeight="1" thickTop="1" thickBot="1">
      <c r="A19" s="176">
        <v>45856</v>
      </c>
      <c r="B19" s="178" t="s">
        <v>485</v>
      </c>
      <c r="C19" s="183">
        <v>786295</v>
      </c>
      <c r="D19" s="183">
        <v>876891</v>
      </c>
      <c r="E19" s="183">
        <f t="shared" si="0"/>
        <v>-90596</v>
      </c>
      <c r="F19" s="183">
        <v>-223</v>
      </c>
      <c r="G19" s="183">
        <v>0</v>
      </c>
      <c r="H19" s="221">
        <f t="shared" si="2"/>
        <v>545627</v>
      </c>
      <c r="I19" s="710"/>
      <c r="J19" s="339">
        <f t="shared" si="1"/>
        <v>474341</v>
      </c>
      <c r="K19" s="339"/>
      <c r="L19" s="339"/>
      <c r="M19" s="339"/>
      <c r="N19" s="339">
        <v>402550</v>
      </c>
      <c r="O19" s="339"/>
      <c r="P19" s="675"/>
      <c r="Q19" s="335"/>
      <c r="R19" s="237"/>
      <c r="S19" s="344">
        <f>6500*9+1500</f>
        <v>60000</v>
      </c>
      <c r="T19" s="295">
        <f>39940+7050</f>
        <v>46990</v>
      </c>
      <c r="U19" s="238">
        <f>V23</f>
        <v>131884</v>
      </c>
      <c r="V19" s="685">
        <f>SUM(Q19:U19)</f>
        <v>238874</v>
      </c>
      <c r="W19" s="686"/>
      <c r="X19" s="733"/>
      <c r="Y19" s="324" t="s">
        <v>734</v>
      </c>
      <c r="Z19" s="243">
        <f>R23</f>
        <v>50000</v>
      </c>
      <c r="AA19" s="312">
        <f t="shared" si="6"/>
        <v>2.9619784452089375E-3</v>
      </c>
      <c r="AB19" s="322"/>
      <c r="AC19" s="243"/>
      <c r="AD19" s="313"/>
      <c r="AF19" s="652" t="s">
        <v>654</v>
      </c>
      <c r="AG19" s="652"/>
      <c r="AH19" s="652"/>
      <c r="AI19" s="229">
        <v>6466578</v>
      </c>
    </row>
    <row r="20" spans="1:35" ht="30.9" customHeight="1" thickTop="1" thickBot="1">
      <c r="A20" s="176">
        <v>45857</v>
      </c>
      <c r="B20" s="178" t="s">
        <v>486</v>
      </c>
      <c r="C20" s="183">
        <v>707611</v>
      </c>
      <c r="D20" s="183">
        <v>623719</v>
      </c>
      <c r="E20" s="183">
        <f t="shared" si="0"/>
        <v>83892</v>
      </c>
      <c r="F20" s="183">
        <v>-54</v>
      </c>
      <c r="G20" s="183">
        <v>0</v>
      </c>
      <c r="H20" s="221">
        <f t="shared" si="2"/>
        <v>629465</v>
      </c>
      <c r="I20" s="710"/>
      <c r="J20" s="339">
        <f t="shared" si="1"/>
        <v>619875</v>
      </c>
      <c r="K20" s="339"/>
      <c r="L20" s="339">
        <v>786</v>
      </c>
      <c r="M20" s="339">
        <v>3058</v>
      </c>
      <c r="N20" s="339"/>
      <c r="O20" s="339"/>
      <c r="P20" s="675"/>
      <c r="Q20" s="269"/>
      <c r="R20" s="232"/>
      <c r="S20" s="232"/>
      <c r="T20" s="232"/>
      <c r="U20" s="232"/>
      <c r="V20" s="232"/>
      <c r="W20" s="310"/>
      <c r="X20" s="733"/>
      <c r="Y20" s="324" t="s">
        <v>746</v>
      </c>
      <c r="Z20" s="243">
        <f>U4</f>
        <v>3020</v>
      </c>
      <c r="AA20" s="312">
        <f t="shared" si="6"/>
        <v>1.7890349809061983E-4</v>
      </c>
      <c r="AB20" s="314"/>
      <c r="AC20" s="243"/>
      <c r="AD20" s="313"/>
      <c r="AF20" s="652" t="s">
        <v>655</v>
      </c>
      <c r="AG20" s="652"/>
      <c r="AH20" s="652"/>
      <c r="AI20" s="229">
        <v>6000000</v>
      </c>
    </row>
    <row r="21" spans="1:35" ht="30.9" customHeight="1" thickTop="1" thickBot="1">
      <c r="A21" s="176">
        <v>45858</v>
      </c>
      <c r="B21" s="178" t="s">
        <v>487</v>
      </c>
      <c r="C21" s="183">
        <v>416415</v>
      </c>
      <c r="D21" s="183">
        <v>204880</v>
      </c>
      <c r="E21" s="183">
        <f t="shared" si="0"/>
        <v>211535</v>
      </c>
      <c r="F21" s="183">
        <v>2</v>
      </c>
      <c r="G21" s="183">
        <v>0</v>
      </c>
      <c r="H21" s="221">
        <f t="shared" si="2"/>
        <v>841002</v>
      </c>
      <c r="I21" s="710"/>
      <c r="J21" s="339">
        <f t="shared" si="1"/>
        <v>204880</v>
      </c>
      <c r="K21" s="339"/>
      <c r="L21" s="339"/>
      <c r="M21" s="339"/>
      <c r="N21" s="339"/>
      <c r="O21" s="339"/>
      <c r="P21" s="675"/>
      <c r="Q21" s="687" t="s">
        <v>772</v>
      </c>
      <c r="R21" s="687"/>
      <c r="S21" s="687"/>
      <c r="T21" s="687"/>
      <c r="U21" s="687"/>
      <c r="V21" s="687"/>
      <c r="W21" s="687"/>
      <c r="X21" s="733"/>
      <c r="Y21" s="326" t="s">
        <v>709</v>
      </c>
      <c r="Z21" s="318">
        <f>SUM(Z16:Z20)</f>
        <v>131602</v>
      </c>
      <c r="AA21" s="315">
        <f>SUM(AA16:AA20)</f>
        <v>7.7960457469277329E-3</v>
      </c>
      <c r="AB21" s="323" t="s">
        <v>709</v>
      </c>
      <c r="AC21" s="318">
        <f>SUM(AC16:AC20)</f>
        <v>29517</v>
      </c>
      <c r="AD21" s="316">
        <f>SUM(AD16:AD20)</f>
        <v>1.7485743553446443E-3</v>
      </c>
      <c r="AF21" s="653" t="s">
        <v>247</v>
      </c>
      <c r="AG21" s="653"/>
      <c r="AH21" s="653"/>
      <c r="AI21" s="270">
        <f>SUM(AI12:AI20)</f>
        <v>16715395</v>
      </c>
    </row>
    <row r="22" spans="1:35" ht="30.9" customHeight="1" thickTop="1" thickBot="1">
      <c r="A22" s="176">
        <v>45859</v>
      </c>
      <c r="B22" s="177" t="s">
        <v>488</v>
      </c>
      <c r="C22" s="183">
        <v>335943</v>
      </c>
      <c r="D22" s="183">
        <v>325016</v>
      </c>
      <c r="E22" s="183">
        <f t="shared" si="0"/>
        <v>10927</v>
      </c>
      <c r="F22" s="183">
        <v>-1</v>
      </c>
      <c r="G22" s="183">
        <v>0</v>
      </c>
      <c r="H22" s="221">
        <f t="shared" si="2"/>
        <v>851928</v>
      </c>
      <c r="I22" s="710"/>
      <c r="J22" s="339">
        <f t="shared" si="1"/>
        <v>325016</v>
      </c>
      <c r="K22" s="339"/>
      <c r="L22" s="339"/>
      <c r="M22" s="339"/>
      <c r="N22" s="339"/>
      <c r="O22" s="339"/>
      <c r="P22" s="675"/>
      <c r="Q22" s="336" t="s">
        <v>625</v>
      </c>
      <c r="R22" s="299" t="s">
        <v>770</v>
      </c>
      <c r="S22" s="299" t="s">
        <v>733</v>
      </c>
      <c r="T22" s="299" t="s">
        <v>728</v>
      </c>
      <c r="U22" s="299" t="s">
        <v>727</v>
      </c>
      <c r="V22" s="690" t="s">
        <v>247</v>
      </c>
      <c r="W22" s="691"/>
      <c r="X22" s="733"/>
      <c r="Y22" s="694" t="s">
        <v>745</v>
      </c>
      <c r="Z22" s="695"/>
      <c r="AA22" s="695"/>
      <c r="AB22" s="695"/>
      <c r="AC22" s="721">
        <f>AC14+AC2</f>
        <v>0.96911545075180661</v>
      </c>
      <c r="AD22" s="721"/>
      <c r="AF22" s="661"/>
      <c r="AG22" s="662"/>
      <c r="AH22" s="662"/>
      <c r="AI22" s="662"/>
    </row>
    <row r="23" spans="1:35" ht="30.9" customHeight="1" thickTop="1" thickBot="1">
      <c r="A23" s="176">
        <v>45860</v>
      </c>
      <c r="B23" s="177" t="s">
        <v>489</v>
      </c>
      <c r="C23" s="183">
        <v>239658</v>
      </c>
      <c r="D23" s="183">
        <v>107359</v>
      </c>
      <c r="E23" s="183">
        <f t="shared" si="0"/>
        <v>132299</v>
      </c>
      <c r="F23" s="183">
        <v>0</v>
      </c>
      <c r="G23" s="183">
        <v>0</v>
      </c>
      <c r="H23" s="221">
        <f t="shared" si="2"/>
        <v>984227</v>
      </c>
      <c r="I23" s="710"/>
      <c r="J23" s="339">
        <f t="shared" si="1"/>
        <v>107359</v>
      </c>
      <c r="K23" s="339"/>
      <c r="L23" s="339"/>
      <c r="M23" s="339"/>
      <c r="N23" s="339"/>
      <c r="O23" s="339"/>
      <c r="P23" s="675"/>
      <c r="Q23" s="335">
        <v>3302</v>
      </c>
      <c r="R23" s="298">
        <v>50000</v>
      </c>
      <c r="S23" s="298">
        <v>12500</v>
      </c>
      <c r="T23" s="298">
        <v>43541</v>
      </c>
      <c r="U23" s="298">
        <v>22541</v>
      </c>
      <c r="V23" s="692">
        <f>SUM(Q23:U23)</f>
        <v>131884</v>
      </c>
      <c r="W23" s="693"/>
      <c r="X23" s="733"/>
      <c r="Y23" s="696"/>
      <c r="Z23" s="697"/>
      <c r="AA23" s="697"/>
      <c r="AB23" s="697"/>
      <c r="AC23" s="722"/>
      <c r="AD23" s="722"/>
      <c r="AF23" s="647" t="s">
        <v>665</v>
      </c>
      <c r="AG23" s="647"/>
      <c r="AH23" s="647"/>
      <c r="AI23" s="647"/>
    </row>
    <row r="24" spans="1:35" ht="30.9" customHeight="1" thickTop="1" thickBot="1">
      <c r="A24" s="176">
        <v>45861</v>
      </c>
      <c r="B24" s="177" t="s">
        <v>490</v>
      </c>
      <c r="C24" s="183">
        <v>179389</v>
      </c>
      <c r="D24" s="183">
        <v>162438</v>
      </c>
      <c r="E24" s="183">
        <f t="shared" si="0"/>
        <v>16951</v>
      </c>
      <c r="F24" s="183">
        <v>-42</v>
      </c>
      <c r="G24" s="183">
        <v>0</v>
      </c>
      <c r="H24" s="184">
        <f t="shared" si="2"/>
        <v>1001136</v>
      </c>
      <c r="I24" s="710"/>
      <c r="J24" s="339">
        <f t="shared" si="1"/>
        <v>144500</v>
      </c>
      <c r="K24" s="339">
        <v>5000</v>
      </c>
      <c r="L24" s="339">
        <v>10118</v>
      </c>
      <c r="M24" s="339"/>
      <c r="N24" s="339">
        <f>2500+320</f>
        <v>2820</v>
      </c>
      <c r="O24" s="339"/>
      <c r="P24" s="675"/>
      <c r="X24" s="733"/>
      <c r="Y24" s="711" t="s">
        <v>735</v>
      </c>
      <c r="Z24" s="711"/>
      <c r="AA24" s="711"/>
      <c r="AB24" s="711"/>
      <c r="AC24" s="711"/>
      <c r="AD24" s="711"/>
      <c r="AF24" s="656" t="s">
        <v>666</v>
      </c>
      <c r="AG24" s="658"/>
      <c r="AH24" s="657"/>
      <c r="AI24" s="232"/>
    </row>
    <row r="25" spans="1:35" ht="30.9" customHeight="1" thickTop="1" thickBot="1">
      <c r="A25" s="176">
        <v>45862</v>
      </c>
      <c r="B25" s="177" t="s">
        <v>491</v>
      </c>
      <c r="C25" s="183">
        <v>351671</v>
      </c>
      <c r="D25" s="183">
        <v>125800</v>
      </c>
      <c r="E25" s="183">
        <f t="shared" si="0"/>
        <v>225871</v>
      </c>
      <c r="F25" s="183">
        <v>0</v>
      </c>
      <c r="G25" s="183">
        <v>0</v>
      </c>
      <c r="H25" s="184">
        <f t="shared" si="2"/>
        <v>1227007</v>
      </c>
      <c r="I25" s="710"/>
      <c r="J25" s="339">
        <f t="shared" si="1"/>
        <v>118790</v>
      </c>
      <c r="K25" s="339"/>
      <c r="L25" s="339"/>
      <c r="M25" s="339"/>
      <c r="N25" s="339">
        <f>5000+2010</f>
        <v>7010</v>
      </c>
      <c r="O25" s="339"/>
      <c r="P25" s="675"/>
      <c r="Q25" s="689" t="s">
        <v>672</v>
      </c>
      <c r="R25" s="664"/>
      <c r="S25" s="664"/>
      <c r="T25" s="664"/>
      <c r="U25" s="664"/>
      <c r="V25" s="664"/>
      <c r="W25" s="285"/>
      <c r="X25" s="733"/>
      <c r="Y25" s="300"/>
      <c r="Z25" s="712" t="s">
        <v>739</v>
      </c>
      <c r="AA25" s="712"/>
      <c r="AB25" s="301" t="s">
        <v>738</v>
      </c>
      <c r="AC25" s="712" t="s">
        <v>740</v>
      </c>
      <c r="AD25" s="712"/>
      <c r="AF25" s="268"/>
      <c r="AG25" s="656"/>
      <c r="AH25" s="657"/>
      <c r="AI25" s="232"/>
    </row>
    <row r="26" spans="1:35" ht="30.9" customHeight="1" thickTop="1" thickBot="1">
      <c r="A26" s="176">
        <v>45863</v>
      </c>
      <c r="B26" s="178" t="s">
        <v>485</v>
      </c>
      <c r="C26" s="183">
        <v>1076930</v>
      </c>
      <c r="D26" s="183">
        <v>292190</v>
      </c>
      <c r="E26" s="183">
        <f t="shared" si="0"/>
        <v>784740</v>
      </c>
      <c r="F26" s="183">
        <v>-454</v>
      </c>
      <c r="G26" s="183">
        <v>0</v>
      </c>
      <c r="H26" s="184">
        <f t="shared" si="2"/>
        <v>2011293</v>
      </c>
      <c r="I26" s="710"/>
      <c r="J26" s="339">
        <f t="shared" si="1"/>
        <v>279270</v>
      </c>
      <c r="K26" s="339">
        <v>12000</v>
      </c>
      <c r="L26" s="339"/>
      <c r="M26" s="339"/>
      <c r="N26" s="339">
        <v>920</v>
      </c>
      <c r="O26" s="339"/>
      <c r="P26" s="675"/>
      <c r="Q26" s="337"/>
      <c r="R26" s="665" t="s">
        <v>763</v>
      </c>
      <c r="S26" s="665"/>
      <c r="T26" s="665"/>
      <c r="U26" s="665"/>
      <c r="V26" s="665"/>
      <c r="W26" s="286"/>
      <c r="X26" s="733"/>
      <c r="Y26" s="302" t="s">
        <v>736</v>
      </c>
      <c r="Z26" s="303">
        <v>19619825</v>
      </c>
      <c r="AA26" s="305">
        <f>(AB26/Z26)-100%</f>
        <v>-0.1396147009466191</v>
      </c>
      <c r="AB26" s="304">
        <f>C34</f>
        <v>16880609</v>
      </c>
      <c r="AC26" s="303">
        <v>15215209</v>
      </c>
      <c r="AD26" s="305">
        <f>AB26/AC26-100%</f>
        <v>0.10945626839565592</v>
      </c>
      <c r="AF26" s="268"/>
      <c r="AG26" s="656"/>
      <c r="AH26" s="657"/>
      <c r="AI26" s="232"/>
    </row>
    <row r="27" spans="1:35" ht="30.9" customHeight="1" thickTop="1" thickBot="1">
      <c r="A27" s="176">
        <v>45864</v>
      </c>
      <c r="B27" s="178" t="s">
        <v>486</v>
      </c>
      <c r="C27" s="183">
        <v>779548</v>
      </c>
      <c r="D27" s="183">
        <v>65056</v>
      </c>
      <c r="E27" s="183">
        <f t="shared" si="0"/>
        <v>714492</v>
      </c>
      <c r="F27" s="183">
        <v>-14</v>
      </c>
      <c r="G27" s="183">
        <v>0</v>
      </c>
      <c r="H27" s="184">
        <f t="shared" si="2"/>
        <v>2725771</v>
      </c>
      <c r="I27" s="710"/>
      <c r="J27" s="339">
        <f t="shared" si="1"/>
        <v>52272</v>
      </c>
      <c r="K27" s="339">
        <v>12784</v>
      </c>
      <c r="L27" s="339"/>
      <c r="M27" s="339"/>
      <c r="N27" s="339"/>
      <c r="O27" s="339"/>
      <c r="P27" s="675"/>
      <c r="Q27" s="282"/>
      <c r="R27" s="665" t="s">
        <v>761</v>
      </c>
      <c r="S27" s="665"/>
      <c r="T27" s="665"/>
      <c r="U27" s="665"/>
      <c r="V27" s="665"/>
      <c r="W27" s="286"/>
      <c r="X27" s="733"/>
      <c r="Y27" s="302" t="s">
        <v>510</v>
      </c>
      <c r="Z27" s="303">
        <v>17623180</v>
      </c>
      <c r="AA27" s="305">
        <f>(AB27/Z27)-100%</f>
        <v>-8.0496312243306778E-2</v>
      </c>
      <c r="AB27" s="304">
        <f>U8</f>
        <v>16204579</v>
      </c>
      <c r="AC27" s="303">
        <v>13784641</v>
      </c>
      <c r="AD27" s="305">
        <f>AB27/AC27-100%</f>
        <v>0.17555321172310534</v>
      </c>
      <c r="AF27" s="268"/>
      <c r="AG27" s="656"/>
      <c r="AH27" s="657"/>
      <c r="AI27" s="232"/>
    </row>
    <row r="28" spans="1:35" ht="30.9" customHeight="1" thickTop="1" thickBot="1">
      <c r="A28" s="176">
        <v>45865</v>
      </c>
      <c r="B28" s="178" t="s">
        <v>487</v>
      </c>
      <c r="C28" s="183">
        <v>430246</v>
      </c>
      <c r="D28" s="183">
        <v>517311</v>
      </c>
      <c r="E28" s="183">
        <f t="shared" si="0"/>
        <v>-87065</v>
      </c>
      <c r="F28" s="183">
        <v>0</v>
      </c>
      <c r="G28" s="183">
        <v>0</v>
      </c>
      <c r="H28" s="184">
        <f t="shared" si="2"/>
        <v>2638706</v>
      </c>
      <c r="I28" s="710"/>
      <c r="J28" s="339">
        <f t="shared" si="1"/>
        <v>348856</v>
      </c>
      <c r="K28" s="339"/>
      <c r="L28" s="339"/>
      <c r="M28" s="339"/>
      <c r="N28" s="339">
        <v>9850</v>
      </c>
      <c r="O28" s="339">
        <f>132550+26055</f>
        <v>158605</v>
      </c>
      <c r="P28" s="675"/>
      <c r="Q28" s="282"/>
      <c r="R28" s="665" t="s">
        <v>765</v>
      </c>
      <c r="S28" s="665"/>
      <c r="T28" s="665"/>
      <c r="U28" s="665"/>
      <c r="V28" s="665"/>
      <c r="W28" s="286"/>
      <c r="X28" s="733"/>
      <c r="Y28" s="302" t="s">
        <v>737</v>
      </c>
      <c r="Z28" s="303">
        <v>2003125</v>
      </c>
      <c r="AA28" s="305">
        <f>(AB28/Z28)-100%</f>
        <v>-0.67710702028081116</v>
      </c>
      <c r="AB28" s="304">
        <f>R9</f>
        <v>646795</v>
      </c>
      <c r="AC28" s="303">
        <f>AC26-AC27</f>
        <v>1430568</v>
      </c>
      <c r="AD28" s="305">
        <f>AB28/AC28-100%</f>
        <v>-0.54787538935583635</v>
      </c>
      <c r="AF28" s="268"/>
      <c r="AG28" s="656"/>
      <c r="AH28" s="657"/>
      <c r="AI28" s="232"/>
    </row>
    <row r="29" spans="1:35" ht="30.9" customHeight="1" thickTop="1" thickBot="1">
      <c r="A29" s="176">
        <v>45866</v>
      </c>
      <c r="B29" s="177" t="s">
        <v>488</v>
      </c>
      <c r="C29" s="183">
        <v>373338</v>
      </c>
      <c r="D29" s="183">
        <v>357960</v>
      </c>
      <c r="E29" s="183">
        <f t="shared" si="0"/>
        <v>15378</v>
      </c>
      <c r="F29" s="183">
        <v>-41</v>
      </c>
      <c r="G29" s="183">
        <v>0</v>
      </c>
      <c r="H29" s="184">
        <f t="shared" si="2"/>
        <v>2654043</v>
      </c>
      <c r="I29" s="710"/>
      <c r="J29" s="339">
        <f t="shared" si="1"/>
        <v>357960</v>
      </c>
      <c r="K29" s="339"/>
      <c r="L29" s="339"/>
      <c r="M29" s="339"/>
      <c r="N29" s="339"/>
      <c r="O29" s="339"/>
      <c r="P29" s="675"/>
      <c r="Q29" s="282"/>
      <c r="R29" s="665" t="s">
        <v>766</v>
      </c>
      <c r="S29" s="665"/>
      <c r="T29" s="665"/>
      <c r="U29" s="665"/>
      <c r="V29" s="665"/>
      <c r="W29" s="286"/>
      <c r="X29" s="733"/>
      <c r="Y29" s="302" t="s">
        <v>757</v>
      </c>
      <c r="Z29" s="341">
        <v>3761</v>
      </c>
      <c r="AA29" s="305">
        <f t="shared" ref="AA29:AA31" si="8">(AB29/Z29)-100%</f>
        <v>5.2113799521403825E-2</v>
      </c>
      <c r="AB29" s="342">
        <v>3957</v>
      </c>
      <c r="AC29" s="341">
        <v>3512</v>
      </c>
      <c r="AD29" s="305">
        <f t="shared" ref="AD29:AD31" si="9">AB29/AC29-100%</f>
        <v>0.12670842824601358</v>
      </c>
      <c r="AF29" s="658" t="s">
        <v>667</v>
      </c>
      <c r="AG29" s="658"/>
      <c r="AH29" s="657"/>
      <c r="AI29" s="232"/>
    </row>
    <row r="30" spans="1:35" ht="30.9" customHeight="1" thickTop="1" thickBot="1">
      <c r="A30" s="176">
        <v>45867</v>
      </c>
      <c r="B30" s="177" t="s">
        <v>489</v>
      </c>
      <c r="C30" s="183">
        <v>381779</v>
      </c>
      <c r="D30" s="183">
        <v>100523</v>
      </c>
      <c r="E30" s="183">
        <f>C30-D30</f>
        <v>281256</v>
      </c>
      <c r="F30" s="183">
        <v>-11</v>
      </c>
      <c r="G30" s="183">
        <v>0</v>
      </c>
      <c r="H30" s="184">
        <f t="shared" si="2"/>
        <v>2935288</v>
      </c>
      <c r="I30" s="710"/>
      <c r="J30" s="339">
        <f t="shared" si="1"/>
        <v>100523</v>
      </c>
      <c r="K30" s="339"/>
      <c r="L30" s="339"/>
      <c r="M30" s="339"/>
      <c r="N30" s="339"/>
      <c r="O30" s="339"/>
      <c r="P30" s="675"/>
      <c r="Q30" s="282"/>
      <c r="R30" s="670" t="s">
        <v>759</v>
      </c>
      <c r="S30" s="738"/>
      <c r="T30" s="738"/>
      <c r="U30" s="738"/>
      <c r="V30" s="738"/>
      <c r="W30" s="286"/>
      <c r="X30" s="733"/>
      <c r="Y30" s="302" t="s">
        <v>758</v>
      </c>
      <c r="Z30" s="303">
        <v>4512.9896304174399</v>
      </c>
      <c r="AA30" s="305">
        <f t="shared" si="8"/>
        <v>-5.4725973901579739E-2</v>
      </c>
      <c r="AB30" s="304">
        <f>AB26/AB29</f>
        <v>4266.011877685115</v>
      </c>
      <c r="AC30" s="303">
        <f>AC26/AC29</f>
        <v>4332.3488041002274</v>
      </c>
      <c r="AD30" s="305">
        <f t="shared" si="9"/>
        <v>-1.5312000352402322E-2</v>
      </c>
      <c r="AF30" s="268"/>
      <c r="AG30" s="656"/>
      <c r="AH30" s="657"/>
      <c r="AI30" s="232"/>
    </row>
    <row r="31" spans="1:35" ht="30.9" customHeight="1" thickTop="1" thickBot="1">
      <c r="A31" s="176">
        <v>45868</v>
      </c>
      <c r="B31" s="177" t="s">
        <v>490</v>
      </c>
      <c r="C31" s="183">
        <v>326694</v>
      </c>
      <c r="D31" s="183">
        <v>980884</v>
      </c>
      <c r="E31" s="183">
        <f t="shared" ref="E31:E32" si="10">C31-D31</f>
        <v>-654190</v>
      </c>
      <c r="F31" s="183">
        <v>0</v>
      </c>
      <c r="G31" s="183">
        <v>0</v>
      </c>
      <c r="H31" s="184">
        <f>H30+E31+F31</f>
        <v>2281098</v>
      </c>
      <c r="I31" s="710"/>
      <c r="J31" s="339">
        <f t="shared" si="1"/>
        <v>980244</v>
      </c>
      <c r="K31" s="339"/>
      <c r="L31" s="339"/>
      <c r="M31" s="339"/>
      <c r="N31" s="339">
        <v>640</v>
      </c>
      <c r="O31" s="339"/>
      <c r="P31" s="675"/>
      <c r="Q31" s="282"/>
      <c r="R31" s="665" t="s">
        <v>767</v>
      </c>
      <c r="S31" s="665"/>
      <c r="T31" s="665"/>
      <c r="U31" s="665"/>
      <c r="V31" s="665"/>
      <c r="W31" s="286"/>
      <c r="X31" s="733"/>
      <c r="Y31" s="302" t="s">
        <v>756</v>
      </c>
      <c r="Z31" s="303">
        <f>Z26/31</f>
        <v>632897.58064516133</v>
      </c>
      <c r="AA31" s="305">
        <f t="shared" si="8"/>
        <v>-0.1396147009466191</v>
      </c>
      <c r="AB31" s="304">
        <f>AB26/31</f>
        <v>544535.77419354836</v>
      </c>
      <c r="AC31" s="303">
        <f>AC26/31</f>
        <v>490813.19354838709</v>
      </c>
      <c r="AD31" s="305">
        <f t="shared" si="9"/>
        <v>0.10945626839565592</v>
      </c>
      <c r="AF31" s="269"/>
      <c r="AG31" s="659"/>
      <c r="AH31" s="660"/>
      <c r="AI31" s="232"/>
    </row>
    <row r="32" spans="1:35" ht="30.9" customHeight="1" thickTop="1" thickBot="1">
      <c r="A32" s="176">
        <v>45869</v>
      </c>
      <c r="B32" s="177" t="s">
        <v>491</v>
      </c>
      <c r="C32" s="183">
        <v>621068</v>
      </c>
      <c r="D32" s="183">
        <v>886037</v>
      </c>
      <c r="E32" s="183">
        <f t="shared" si="10"/>
        <v>-264969</v>
      </c>
      <c r="F32" s="183">
        <v>-545</v>
      </c>
      <c r="G32" s="183">
        <v>0</v>
      </c>
      <c r="H32" s="184">
        <f t="shared" si="2"/>
        <v>2015584</v>
      </c>
      <c r="I32" s="710"/>
      <c r="J32" s="339">
        <f t="shared" si="1"/>
        <v>862367</v>
      </c>
      <c r="K32" s="339">
        <v>5000</v>
      </c>
      <c r="L32" s="339"/>
      <c r="M32" s="339"/>
      <c r="N32" s="339">
        <v>18670</v>
      </c>
      <c r="O32" s="339"/>
      <c r="P32" s="675"/>
      <c r="Q32" s="282"/>
      <c r="R32" s="665" t="s">
        <v>768</v>
      </c>
      <c r="S32" s="665"/>
      <c r="T32" s="665"/>
      <c r="U32" s="665"/>
      <c r="V32" s="665"/>
      <c r="W32" s="286"/>
      <c r="X32" s="733"/>
      <c r="AF32" s="269"/>
      <c r="AG32" s="659"/>
      <c r="AH32" s="660"/>
      <c r="AI32" s="232"/>
    </row>
    <row r="33" spans="1:37" ht="30.9" customHeight="1" thickTop="1">
      <c r="A33" s="264"/>
      <c r="B33" s="265"/>
      <c r="C33" s="183"/>
      <c r="D33" s="293">
        <v>100000</v>
      </c>
      <c r="E33" s="293">
        <f t="shared" si="0"/>
        <v>-100000</v>
      </c>
      <c r="F33" s="183"/>
      <c r="G33" s="183">
        <v>0</v>
      </c>
      <c r="H33" s="184">
        <f t="shared" si="2"/>
        <v>1915584</v>
      </c>
      <c r="I33" s="710"/>
      <c r="J33" s="339">
        <f t="shared" si="1"/>
        <v>100000</v>
      </c>
      <c r="K33" s="339"/>
      <c r="L33" s="339"/>
      <c r="M33" s="339"/>
      <c r="N33" s="339"/>
      <c r="O33" s="339"/>
      <c r="P33" s="675"/>
      <c r="Q33" s="282"/>
      <c r="R33" s="665"/>
      <c r="S33" s="665"/>
      <c r="T33" s="665"/>
      <c r="U33" s="665"/>
      <c r="V33" s="665"/>
      <c r="W33" s="286"/>
      <c r="X33" s="733"/>
      <c r="AG33" s="81"/>
      <c r="AH33" s="81"/>
    </row>
    <row r="34" spans="1:37" ht="45" customHeight="1">
      <c r="A34" s="672" t="s">
        <v>247</v>
      </c>
      <c r="B34" s="673"/>
      <c r="C34" s="292">
        <f>SUM(C2:C33)</f>
        <v>16880609</v>
      </c>
      <c r="D34" s="292">
        <f>SUM(D2:D33)</f>
        <v>14962005</v>
      </c>
      <c r="E34" s="292">
        <f>SUM(E2:E33)</f>
        <v>1918604</v>
      </c>
      <c r="F34" s="292">
        <f>SUM(F2:F33)</f>
        <v>-3020</v>
      </c>
      <c r="G34" s="292">
        <f>SUM(G2:G33)</f>
        <v>0</v>
      </c>
      <c r="H34" s="292">
        <f>C34-D34+G34</f>
        <v>1918604</v>
      </c>
      <c r="I34" s="710"/>
      <c r="J34" s="340">
        <f>SUM(J2:J33)</f>
        <v>13988049</v>
      </c>
      <c r="K34" s="340">
        <f t="shared" ref="K34:O34" si="11">SUM(K2:K33)</f>
        <v>95177</v>
      </c>
      <c r="L34" s="340">
        <f t="shared" si="11"/>
        <v>45334</v>
      </c>
      <c r="M34" s="340">
        <f t="shared" si="11"/>
        <v>13495</v>
      </c>
      <c r="N34" s="340">
        <f t="shared" si="11"/>
        <v>533420</v>
      </c>
      <c r="O34" s="340">
        <f t="shared" si="11"/>
        <v>286530</v>
      </c>
      <c r="P34" s="675"/>
      <c r="X34" s="733"/>
      <c r="AF34" s="674"/>
      <c r="AG34" s="674"/>
      <c r="AH34" s="674"/>
      <c r="AI34" s="674"/>
      <c r="AJ34" s="674"/>
      <c r="AK34" s="674"/>
    </row>
    <row r="35" spans="1:37">
      <c r="A35" s="69"/>
    </row>
    <row r="36" spans="1:37">
      <c r="A36" s="69"/>
    </row>
    <row r="37" spans="1:37">
      <c r="A37" s="69"/>
    </row>
    <row r="38" spans="1:37">
      <c r="A38" s="69"/>
    </row>
    <row r="39" spans="1:37">
      <c r="A39" s="69"/>
    </row>
    <row r="40" spans="1:37" ht="21" customHeight="1">
      <c r="A40" s="69"/>
    </row>
    <row r="41" spans="1:37" ht="23.1" customHeight="1">
      <c r="A41" s="69"/>
    </row>
    <row r="42" spans="1:37">
      <c r="A42" s="69"/>
    </row>
    <row r="43" spans="1:37" ht="29.1" customHeight="1">
      <c r="A43" s="69"/>
    </row>
    <row r="44" spans="1:37" ht="15" customHeight="1">
      <c r="A44" s="69"/>
    </row>
    <row r="45" spans="1:37">
      <c r="A45" s="69"/>
    </row>
    <row r="46" spans="1:37">
      <c r="A46" s="69"/>
    </row>
    <row r="47" spans="1:37">
      <c r="A47" s="69"/>
    </row>
    <row r="48" spans="1:37">
      <c r="A48" s="69"/>
    </row>
    <row r="49" spans="1:1">
      <c r="A49" s="69"/>
    </row>
    <row r="50" spans="1:1">
      <c r="A50" s="69"/>
    </row>
    <row r="51" spans="1:1" ht="18.899999999999999" customHeight="1">
      <c r="A51" s="69"/>
    </row>
  </sheetData>
  <mergeCells count="75">
    <mergeCell ref="R32:V32"/>
    <mergeCell ref="AG32:AH32"/>
    <mergeCell ref="R33:V33"/>
    <mergeCell ref="A34:B34"/>
    <mergeCell ref="AF34:AK34"/>
    <mergeCell ref="X1:X34"/>
    <mergeCell ref="Y2:AA2"/>
    <mergeCell ref="Y14:AA14"/>
    <mergeCell ref="R29:V29"/>
    <mergeCell ref="AF29:AH29"/>
    <mergeCell ref="R30:V30"/>
    <mergeCell ref="AG30:AH30"/>
    <mergeCell ref="R31:V31"/>
    <mergeCell ref="AG31:AH31"/>
    <mergeCell ref="R26:V26"/>
    <mergeCell ref="AG26:AH26"/>
    <mergeCell ref="R27:V27"/>
    <mergeCell ref="AG27:AH27"/>
    <mergeCell ref="R28:V28"/>
    <mergeCell ref="AG28:AH28"/>
    <mergeCell ref="Y24:AD24"/>
    <mergeCell ref="AF24:AH24"/>
    <mergeCell ref="Q25:V25"/>
    <mergeCell ref="Z25:AA25"/>
    <mergeCell ref="AC25:AD25"/>
    <mergeCell ref="AG25:AH25"/>
    <mergeCell ref="Y22:AB23"/>
    <mergeCell ref="AC22:AD23"/>
    <mergeCell ref="AF22:AI22"/>
    <mergeCell ref="V23:W23"/>
    <mergeCell ref="AF23:AI23"/>
    <mergeCell ref="AF18:AH18"/>
    <mergeCell ref="V19:W19"/>
    <mergeCell ref="AF19:AH19"/>
    <mergeCell ref="AF20:AH20"/>
    <mergeCell ref="Q21:W21"/>
    <mergeCell ref="AF21:AH21"/>
    <mergeCell ref="AG15:AH15"/>
    <mergeCell ref="Q16:S16"/>
    <mergeCell ref="T16:W16"/>
    <mergeCell ref="AG16:AH16"/>
    <mergeCell ref="Q17:V17"/>
    <mergeCell ref="AG17:AH17"/>
    <mergeCell ref="A1:B1"/>
    <mergeCell ref="I1:I34"/>
    <mergeCell ref="P1:P34"/>
    <mergeCell ref="Q1:W1"/>
    <mergeCell ref="Y1:AD1"/>
    <mergeCell ref="R9:W9"/>
    <mergeCell ref="Q3:R3"/>
    <mergeCell ref="V3:W3"/>
    <mergeCell ref="Y3:AA3"/>
    <mergeCell ref="AB3:AD3"/>
    <mergeCell ref="Q4:R5"/>
    <mergeCell ref="Q6:W6"/>
    <mergeCell ref="Q10:W10"/>
    <mergeCell ref="AC14:AD14"/>
    <mergeCell ref="V18:W18"/>
    <mergeCell ref="V22:W22"/>
    <mergeCell ref="Q11:W11"/>
    <mergeCell ref="Y15:AA15"/>
    <mergeCell ref="AB15:AD15"/>
    <mergeCell ref="AF1:AI1"/>
    <mergeCell ref="Q2:W2"/>
    <mergeCell ref="AC2:AD2"/>
    <mergeCell ref="AF2:AI2"/>
    <mergeCell ref="U7:W7"/>
    <mergeCell ref="AF5:AI5"/>
    <mergeCell ref="U8:W8"/>
    <mergeCell ref="AF11:AI11"/>
    <mergeCell ref="AF12:AH12"/>
    <mergeCell ref="AF13:AG14"/>
    <mergeCell ref="AF6:AG6"/>
    <mergeCell ref="AH6:AI6"/>
    <mergeCell ref="AF15:AF16"/>
  </mergeCells>
  <conditionalFormatting sqref="K2:O32">
    <cfRule type="cellIs" dxfId="91" priority="1" operator="greaterThan">
      <formula>0</formula>
    </cfRule>
    <cfRule type="cellIs" dxfId="90" priority="2" operator="equal">
      <formula>0</formula>
    </cfRule>
    <cfRule type="cellIs" dxfId="89" priority="3" operator="equal">
      <formula>"¥11.055"</formula>
    </cfRule>
    <cfRule type="cellIs" dxfId="88" priority="4" operator="equal">
      <formula>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7F9E-362E-4475-BE8A-90FB3CDE76AC}">
  <dimension ref="A1:AK51"/>
  <sheetViews>
    <sheetView topLeftCell="P1" zoomScaleNormal="100" workbookViewId="0">
      <pane ySplit="1" topLeftCell="A11" activePane="bottomLeft" state="frozen"/>
      <selection pane="bottomLeft" activeCell="H32" sqref="A32:H32"/>
    </sheetView>
  </sheetViews>
  <sheetFormatPr defaultColWidth="10.6328125" defaultRowHeight="18"/>
  <cols>
    <col min="1" max="1" width="5.90625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6.81640625" style="69" customWidth="1"/>
    <col min="7" max="7" width="4.54296875" style="69" customWidth="1"/>
    <col min="8" max="8" width="12.453125" style="69" customWidth="1"/>
    <col min="9" max="9" width="4.1796875" style="69" customWidth="1"/>
    <col min="10" max="15" width="11.90625" style="69" customWidth="1"/>
    <col min="16" max="16" width="3" style="69" customWidth="1"/>
    <col min="17" max="17" width="9.90625" style="69" customWidth="1"/>
    <col min="18" max="23" width="10" style="69" customWidth="1"/>
    <col min="24" max="24" width="4.54296875" style="69" customWidth="1"/>
    <col min="25" max="25" width="13.1796875" style="69" customWidth="1"/>
    <col min="26" max="26" width="13.1796875" style="296" customWidth="1"/>
    <col min="27" max="27" width="5.81640625" style="297" customWidth="1"/>
    <col min="28" max="28" width="13.1796875" style="69" customWidth="1"/>
    <col min="29" max="29" width="13.81640625" style="296" customWidth="1"/>
    <col min="30" max="30" width="4.90625" style="297" customWidth="1"/>
    <col min="31" max="31" width="10.81640625" style="296" customWidth="1"/>
    <col min="32" max="33" width="7" style="69" customWidth="1"/>
    <col min="34" max="34" width="11.453125" style="69" customWidth="1"/>
    <col min="35" max="35" width="21" style="69" customWidth="1"/>
    <col min="36" max="16384" width="10.6328125" style="69"/>
  </cols>
  <sheetData>
    <row r="1" spans="1:35" ht="38.25" customHeight="1" thickTop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133" t="s">
        <v>463</v>
      </c>
      <c r="H1" s="220" t="s">
        <v>464</v>
      </c>
      <c r="I1" s="710"/>
      <c r="J1" s="338" t="s">
        <v>705</v>
      </c>
      <c r="K1" s="338" t="s">
        <v>741</v>
      </c>
      <c r="L1" s="338" t="s">
        <v>707</v>
      </c>
      <c r="M1" s="338" t="s">
        <v>708</v>
      </c>
      <c r="N1" s="338" t="s">
        <v>710</v>
      </c>
      <c r="O1" s="338" t="s">
        <v>742</v>
      </c>
      <c r="P1" s="675"/>
      <c r="Q1" s="723" t="s">
        <v>774</v>
      </c>
      <c r="R1" s="723"/>
      <c r="S1" s="723"/>
      <c r="T1" s="723"/>
      <c r="U1" s="723"/>
      <c r="V1" s="723"/>
      <c r="W1" s="723"/>
      <c r="X1" s="733"/>
      <c r="Y1" s="676" t="s">
        <v>718</v>
      </c>
      <c r="Z1" s="677"/>
      <c r="AA1" s="677"/>
      <c r="AB1" s="677"/>
      <c r="AC1" s="677"/>
      <c r="AD1" s="678"/>
      <c r="AE1" s="281"/>
      <c r="AF1" s="631" t="s">
        <v>642</v>
      </c>
      <c r="AG1" s="632"/>
      <c r="AH1" s="632"/>
      <c r="AI1" s="632"/>
    </row>
    <row r="2" spans="1:35" ht="30.9" customHeight="1" thickTop="1" thickBot="1">
      <c r="A2" s="176">
        <v>45870</v>
      </c>
      <c r="B2" s="178" t="s">
        <v>485</v>
      </c>
      <c r="C2" s="183">
        <v>659585</v>
      </c>
      <c r="D2" s="183">
        <v>270010</v>
      </c>
      <c r="E2" s="183">
        <f>C2-D2</f>
        <v>389575</v>
      </c>
      <c r="F2" s="183">
        <v>-125</v>
      </c>
      <c r="G2" s="183">
        <v>0</v>
      </c>
      <c r="H2" s="221">
        <f>E2+F2</f>
        <v>389450</v>
      </c>
      <c r="I2" s="710"/>
      <c r="J2" s="339">
        <f>D2-SUM(K2:O2)</f>
        <v>264810</v>
      </c>
      <c r="K2" s="339">
        <v>3000</v>
      </c>
      <c r="L2" s="339"/>
      <c r="M2" s="339"/>
      <c r="N2" s="339">
        <v>2200</v>
      </c>
      <c r="O2" s="339"/>
      <c r="P2" s="675"/>
      <c r="Q2" s="709" t="s">
        <v>249</v>
      </c>
      <c r="R2" s="709"/>
      <c r="S2" s="709"/>
      <c r="T2" s="709"/>
      <c r="U2" s="709"/>
      <c r="V2" s="709"/>
      <c r="W2" s="709"/>
      <c r="X2" s="733"/>
      <c r="Y2" s="734" t="s">
        <v>711</v>
      </c>
      <c r="Z2" s="725"/>
      <c r="AA2" s="726"/>
      <c r="AB2" s="346">
        <f>AC13+Z13</f>
        <v>16417020.225988701</v>
      </c>
      <c r="AC2" s="681">
        <f>AA13+AD13</f>
        <v>0.91297091815491338</v>
      </c>
      <c r="AD2" s="682"/>
      <c r="AE2" s="81"/>
      <c r="AF2" s="627" t="s">
        <v>638</v>
      </c>
      <c r="AG2" s="628"/>
      <c r="AH2" s="628"/>
      <c r="AI2" s="628"/>
    </row>
    <row r="3" spans="1:35" ht="30.9" customHeight="1" thickTop="1" thickBot="1">
      <c r="A3" s="176">
        <v>45871</v>
      </c>
      <c r="B3" s="178" t="s">
        <v>486</v>
      </c>
      <c r="C3" s="183">
        <v>542376</v>
      </c>
      <c r="D3" s="183">
        <v>285368</v>
      </c>
      <c r="E3" s="183">
        <f t="shared" ref="E3:E33" si="0">C3-D3</f>
        <v>257008</v>
      </c>
      <c r="F3" s="183">
        <v>0</v>
      </c>
      <c r="G3" s="183">
        <v>0</v>
      </c>
      <c r="H3" s="221">
        <f>H2+E3+F3</f>
        <v>646458</v>
      </c>
      <c r="I3" s="710"/>
      <c r="J3" s="339">
        <f t="shared" ref="J3:J33" si="1">D3-SUM(K3:O3)</f>
        <v>256911</v>
      </c>
      <c r="K3" s="339">
        <v>5000</v>
      </c>
      <c r="L3" s="339">
        <v>8374</v>
      </c>
      <c r="M3" s="339">
        <v>7430</v>
      </c>
      <c r="N3" s="339">
        <f>2200+3586+1867</f>
        <v>7653</v>
      </c>
      <c r="O3" s="339"/>
      <c r="P3" s="675"/>
      <c r="Q3" s="725" t="s">
        <v>769</v>
      </c>
      <c r="R3" s="726"/>
      <c r="S3" s="222" t="s">
        <v>251</v>
      </c>
      <c r="T3" s="222" t="s">
        <v>252</v>
      </c>
      <c r="U3" s="222" t="s">
        <v>449</v>
      </c>
      <c r="V3" s="659" t="s">
        <v>773</v>
      </c>
      <c r="W3" s="724"/>
      <c r="X3" s="733"/>
      <c r="Y3" s="713" t="s">
        <v>713</v>
      </c>
      <c r="Z3" s="714"/>
      <c r="AA3" s="714"/>
      <c r="AB3" s="715" t="s">
        <v>712</v>
      </c>
      <c r="AC3" s="715"/>
      <c r="AD3" s="716"/>
      <c r="AE3" s="81"/>
      <c r="AF3" s="246"/>
      <c r="AG3" s="247"/>
      <c r="AH3" s="247"/>
      <c r="AI3" s="247"/>
    </row>
    <row r="4" spans="1:35" ht="30.9" customHeight="1" thickTop="1" thickBot="1">
      <c r="A4" s="176">
        <v>45872</v>
      </c>
      <c r="B4" s="178" t="s">
        <v>487</v>
      </c>
      <c r="C4" s="183">
        <v>376904</v>
      </c>
      <c r="D4" s="183">
        <v>215460</v>
      </c>
      <c r="E4" s="183">
        <f t="shared" si="0"/>
        <v>161444</v>
      </c>
      <c r="F4" s="183">
        <v>-22</v>
      </c>
      <c r="G4" s="183">
        <v>0</v>
      </c>
      <c r="H4" s="221">
        <f t="shared" ref="H4:H33" si="2">H3+E4+F4</f>
        <v>807880</v>
      </c>
      <c r="I4" s="710"/>
      <c r="J4" s="339">
        <f t="shared" si="1"/>
        <v>199410</v>
      </c>
      <c r="K4" s="339">
        <v>5000</v>
      </c>
      <c r="L4" s="339"/>
      <c r="M4" s="339"/>
      <c r="N4" s="339">
        <v>11050</v>
      </c>
      <c r="O4" s="339"/>
      <c r="P4" s="675"/>
      <c r="Q4" s="727">
        <f>C34</f>
        <v>17981975</v>
      </c>
      <c r="R4" s="728"/>
      <c r="S4" s="224">
        <v>0</v>
      </c>
      <c r="T4" s="224">
        <v>0</v>
      </c>
      <c r="U4" s="224">
        <f>-F34</f>
        <v>2738</v>
      </c>
      <c r="V4" s="224">
        <v>27723</v>
      </c>
      <c r="W4" s="306"/>
      <c r="X4" s="733"/>
      <c r="Y4" s="319" t="s">
        <v>714</v>
      </c>
      <c r="Z4" s="243">
        <v>192550</v>
      </c>
      <c r="AA4" s="312">
        <f>Z4/$Q$4</f>
        <v>1.0707945039407517E-2</v>
      </c>
      <c r="AB4" s="328" t="s">
        <v>719</v>
      </c>
      <c r="AC4" s="243">
        <f>R8</f>
        <v>1060000</v>
      </c>
      <c r="AD4" s="313">
        <f>AC4/$Q$4</f>
        <v>5.8947918679677844E-2</v>
      </c>
      <c r="AF4" s="249"/>
      <c r="AG4" s="250"/>
      <c r="AH4" s="250"/>
      <c r="AI4" s="250"/>
    </row>
    <row r="5" spans="1:35" ht="30.9" customHeight="1" thickTop="1" thickBot="1">
      <c r="A5" s="176">
        <v>45873</v>
      </c>
      <c r="B5" s="177" t="s">
        <v>488</v>
      </c>
      <c r="C5" s="183">
        <v>341439</v>
      </c>
      <c r="D5" s="183">
        <v>535586</v>
      </c>
      <c r="E5" s="183">
        <f t="shared" si="0"/>
        <v>-194147</v>
      </c>
      <c r="F5" s="183">
        <v>0</v>
      </c>
      <c r="G5" s="183">
        <v>0</v>
      </c>
      <c r="H5" s="221">
        <f t="shared" si="2"/>
        <v>613733</v>
      </c>
      <c r="I5" s="710"/>
      <c r="J5" s="339">
        <f t="shared" si="1"/>
        <v>526580</v>
      </c>
      <c r="K5" s="339">
        <v>7646</v>
      </c>
      <c r="L5" s="339"/>
      <c r="M5" s="339"/>
      <c r="N5" s="339">
        <v>1360</v>
      </c>
      <c r="O5" s="339"/>
      <c r="P5" s="675"/>
      <c r="Q5" s="729"/>
      <c r="R5" s="730"/>
      <c r="S5" s="225">
        <f>S4/Q4</f>
        <v>0</v>
      </c>
      <c r="T5" s="225">
        <f>T4/Q4</f>
        <v>0</v>
      </c>
      <c r="U5" s="226">
        <f>U4/Q4</f>
        <v>1.5226358617448862E-4</v>
      </c>
      <c r="V5" s="226">
        <f>V4/Q4</f>
        <v>1.5417105184497254E-3</v>
      </c>
      <c r="W5" s="307"/>
      <c r="X5" s="733"/>
      <c r="Y5" s="319" t="s">
        <v>715</v>
      </c>
      <c r="Z5" s="243">
        <v>26055</v>
      </c>
      <c r="AA5" s="312">
        <f t="shared" ref="AA5:AA12" si="3">Z5/$Q$4</f>
        <v>1.448950963395289E-3</v>
      </c>
      <c r="AB5" s="328" t="s">
        <v>720</v>
      </c>
      <c r="AC5" s="243">
        <f>SUM(Q14:W14)</f>
        <v>69000</v>
      </c>
      <c r="AD5" s="313">
        <f t="shared" ref="AD5:AD12" si="4">AC5/$Q$4</f>
        <v>3.837175838582803E-3</v>
      </c>
      <c r="AF5" s="654" t="s">
        <v>639</v>
      </c>
      <c r="AG5" s="655"/>
      <c r="AH5" s="655"/>
      <c r="AI5" s="655"/>
    </row>
    <row r="6" spans="1:35" ht="30.9" customHeight="1" thickTop="1" thickBot="1">
      <c r="A6" s="176">
        <v>45874</v>
      </c>
      <c r="B6" s="177" t="s">
        <v>489</v>
      </c>
      <c r="C6" s="183">
        <v>423409</v>
      </c>
      <c r="D6" s="183">
        <v>626468</v>
      </c>
      <c r="E6" s="183">
        <f t="shared" si="0"/>
        <v>-203059</v>
      </c>
      <c r="F6" s="183">
        <v>-24</v>
      </c>
      <c r="G6" s="183">
        <v>0</v>
      </c>
      <c r="H6" s="221">
        <f t="shared" si="2"/>
        <v>410650</v>
      </c>
      <c r="I6" s="710"/>
      <c r="J6" s="339">
        <f t="shared" si="1"/>
        <v>617768</v>
      </c>
      <c r="K6" s="339">
        <v>8700</v>
      </c>
      <c r="L6" s="339"/>
      <c r="M6" s="339"/>
      <c r="N6" s="339"/>
      <c r="O6" s="339"/>
      <c r="P6" s="675"/>
      <c r="Q6" s="702" t="s">
        <v>250</v>
      </c>
      <c r="R6" s="702"/>
      <c r="S6" s="702"/>
      <c r="T6" s="702"/>
      <c r="U6" s="702"/>
      <c r="V6" s="702"/>
      <c r="W6" s="702"/>
      <c r="X6" s="733"/>
      <c r="Y6" s="319" t="s">
        <v>716</v>
      </c>
      <c r="Z6" s="243">
        <v>6080</v>
      </c>
      <c r="AA6" s="312">
        <f t="shared" si="3"/>
        <v>3.381163637475861E-4</v>
      </c>
      <c r="AB6" s="328" t="s">
        <v>721</v>
      </c>
      <c r="AC6" s="243">
        <v>137812</v>
      </c>
      <c r="AD6" s="313">
        <f t="shared" si="4"/>
        <v>7.6638967632865693E-3</v>
      </c>
      <c r="AF6" s="630" t="s">
        <v>231</v>
      </c>
      <c r="AG6" s="630"/>
      <c r="AH6" s="490"/>
      <c r="AI6" s="490"/>
    </row>
    <row r="7" spans="1:35" ht="30.9" customHeight="1" thickTop="1" thickBot="1">
      <c r="A7" s="176">
        <v>45875</v>
      </c>
      <c r="B7" s="177" t="s">
        <v>490</v>
      </c>
      <c r="C7" s="183">
        <v>345131</v>
      </c>
      <c r="D7" s="183">
        <v>851130</v>
      </c>
      <c r="E7" s="183">
        <f t="shared" si="0"/>
        <v>-505999</v>
      </c>
      <c r="F7" s="183">
        <v>0</v>
      </c>
      <c r="G7" s="183">
        <v>0</v>
      </c>
      <c r="H7" s="221">
        <f t="shared" si="2"/>
        <v>-95349</v>
      </c>
      <c r="I7" s="710"/>
      <c r="J7" s="339">
        <f t="shared" si="1"/>
        <v>653070</v>
      </c>
      <c r="K7" s="339"/>
      <c r="L7" s="339"/>
      <c r="M7" s="339"/>
      <c r="N7" s="339">
        <v>320</v>
      </c>
      <c r="O7" s="339">
        <v>197740</v>
      </c>
      <c r="P7" s="675"/>
      <c r="Q7" s="329" t="s">
        <v>705</v>
      </c>
      <c r="R7" s="290" t="s">
        <v>253</v>
      </c>
      <c r="S7" s="288" t="s">
        <v>624</v>
      </c>
      <c r="T7" s="222"/>
      <c r="U7" s="703" t="s">
        <v>247</v>
      </c>
      <c r="V7" s="704"/>
      <c r="W7" s="704"/>
      <c r="X7" s="733"/>
      <c r="Y7" s="319" t="s">
        <v>717</v>
      </c>
      <c r="Z7" s="243">
        <f>T19</f>
        <v>46990</v>
      </c>
      <c r="AA7" s="312">
        <f t="shared" si="3"/>
        <v>2.6131723573189262E-3</v>
      </c>
      <c r="AB7" s="328" t="s">
        <v>722</v>
      </c>
      <c r="AC7" s="243">
        <v>3396</v>
      </c>
      <c r="AD7" s="313">
        <f t="shared" si="4"/>
        <v>1.8885578475111883E-4</v>
      </c>
      <c r="AF7" s="242" t="s">
        <v>640</v>
      </c>
      <c r="AG7" s="243">
        <v>300000</v>
      </c>
    </row>
    <row r="8" spans="1:35" ht="30.9" customHeight="1" thickTop="1" thickBot="1">
      <c r="A8" s="176">
        <v>45876</v>
      </c>
      <c r="B8" s="177" t="s">
        <v>491</v>
      </c>
      <c r="C8" s="183">
        <v>534975</v>
      </c>
      <c r="D8" s="183">
        <v>236934</v>
      </c>
      <c r="E8" s="183">
        <f t="shared" si="0"/>
        <v>298041</v>
      </c>
      <c r="F8" s="183">
        <v>-24</v>
      </c>
      <c r="G8" s="183">
        <v>0</v>
      </c>
      <c r="H8" s="221">
        <f t="shared" si="2"/>
        <v>202668</v>
      </c>
      <c r="I8" s="710"/>
      <c r="J8" s="339">
        <f t="shared" si="1"/>
        <v>236934</v>
      </c>
      <c r="K8" s="339"/>
      <c r="L8" s="339"/>
      <c r="M8" s="339"/>
      <c r="N8" s="339"/>
      <c r="O8" s="339"/>
      <c r="P8" s="675"/>
      <c r="Q8" s="330">
        <f>D34</f>
        <v>15232194</v>
      </c>
      <c r="R8" s="291">
        <f>T16</f>
        <v>1060000</v>
      </c>
      <c r="S8" s="289">
        <f>V19</f>
        <v>285572</v>
      </c>
      <c r="T8" s="229"/>
      <c r="U8" s="705">
        <f>SUM(Q8:T8)</f>
        <v>16577766</v>
      </c>
      <c r="V8" s="706"/>
      <c r="W8" s="706"/>
      <c r="X8" s="733"/>
      <c r="Y8" s="319" t="s">
        <v>723</v>
      </c>
      <c r="Z8" s="243">
        <v>5500</v>
      </c>
      <c r="AA8" s="312">
        <f t="shared" si="3"/>
        <v>3.0586184220587561E-4</v>
      </c>
      <c r="AB8" s="328" t="s">
        <v>708</v>
      </c>
      <c r="AC8" s="243">
        <f>M34</f>
        <v>15058</v>
      </c>
      <c r="AD8" s="313">
        <f t="shared" si="4"/>
        <v>8.3739411271564995E-4</v>
      </c>
      <c r="AF8" s="242" t="s">
        <v>641</v>
      </c>
      <c r="AG8" s="243">
        <v>55000</v>
      </c>
    </row>
    <row r="9" spans="1:35" ht="30.9" customHeight="1" thickTop="1" thickBot="1">
      <c r="A9" s="176">
        <v>45877</v>
      </c>
      <c r="B9" s="178" t="s">
        <v>485</v>
      </c>
      <c r="C9" s="183">
        <v>867909</v>
      </c>
      <c r="D9" s="183">
        <v>130176</v>
      </c>
      <c r="E9" s="183">
        <f t="shared" si="0"/>
        <v>737733</v>
      </c>
      <c r="F9" s="183">
        <v>0</v>
      </c>
      <c r="G9" s="183">
        <v>0</v>
      </c>
      <c r="H9" s="221">
        <f t="shared" si="2"/>
        <v>940401</v>
      </c>
      <c r="I9" s="710"/>
      <c r="J9" s="339">
        <f t="shared" si="1"/>
        <v>124450</v>
      </c>
      <c r="K9" s="339"/>
      <c r="L9" s="339"/>
      <c r="M9" s="339"/>
      <c r="N9" s="339">
        <v>4626</v>
      </c>
      <c r="O9" s="339">
        <v>1100</v>
      </c>
      <c r="P9" s="675"/>
      <c r="Q9" s="331" t="s">
        <v>266</v>
      </c>
      <c r="R9" s="731">
        <f>Q4-U8-V4-U4</f>
        <v>1373748</v>
      </c>
      <c r="S9" s="732"/>
      <c r="T9" s="732"/>
      <c r="U9" s="732"/>
      <c r="V9" s="732"/>
      <c r="W9" s="732"/>
      <c r="X9" s="733"/>
      <c r="Y9" s="319" t="s">
        <v>724</v>
      </c>
      <c r="Z9" s="243">
        <v>0</v>
      </c>
      <c r="AA9" s="312">
        <f t="shared" si="3"/>
        <v>0</v>
      </c>
      <c r="AB9" s="328" t="s">
        <v>707</v>
      </c>
      <c r="AC9" s="243">
        <f>L34</f>
        <v>59770</v>
      </c>
      <c r="AD9" s="313">
        <f t="shared" si="4"/>
        <v>3.3238840561173062E-3</v>
      </c>
      <c r="AF9" s="241" t="s">
        <v>495</v>
      </c>
      <c r="AG9" s="243">
        <v>35000</v>
      </c>
    </row>
    <row r="10" spans="1:35" ht="30.9" customHeight="1" thickTop="1" thickBot="1">
      <c r="A10" s="176">
        <v>45878</v>
      </c>
      <c r="B10" s="178" t="s">
        <v>486</v>
      </c>
      <c r="C10" s="183">
        <v>1124670</v>
      </c>
      <c r="D10" s="183">
        <v>659210</v>
      </c>
      <c r="E10" s="183">
        <f t="shared" si="0"/>
        <v>465460</v>
      </c>
      <c r="F10" s="183">
        <v>-241</v>
      </c>
      <c r="G10" s="183">
        <v>0</v>
      </c>
      <c r="H10" s="221">
        <f t="shared" si="2"/>
        <v>1405620</v>
      </c>
      <c r="I10" s="710"/>
      <c r="J10" s="339">
        <f t="shared" si="1"/>
        <v>620875</v>
      </c>
      <c r="K10" s="339">
        <f>3000+8890</f>
        <v>11890</v>
      </c>
      <c r="L10" s="339">
        <v>19882</v>
      </c>
      <c r="M10" s="339"/>
      <c r="N10" s="339">
        <f>320+2597+1538+128+1980</f>
        <v>6563</v>
      </c>
      <c r="O10" s="339"/>
      <c r="P10" s="675"/>
      <c r="Q10" s="708" t="s">
        <v>257</v>
      </c>
      <c r="R10" s="708"/>
      <c r="S10" s="708"/>
      <c r="T10" s="708"/>
      <c r="U10" s="708"/>
      <c r="V10" s="708"/>
      <c r="W10" s="708"/>
      <c r="X10" s="733"/>
      <c r="Y10" s="319" t="s">
        <v>743</v>
      </c>
      <c r="Z10" s="243">
        <v>0</v>
      </c>
      <c r="AA10" s="312">
        <f t="shared" si="3"/>
        <v>0</v>
      </c>
      <c r="AB10" s="328" t="s">
        <v>706</v>
      </c>
      <c r="AC10" s="243">
        <f>K34</f>
        <v>92812</v>
      </c>
      <c r="AD10" s="313">
        <f t="shared" si="4"/>
        <v>5.161390781602132E-3</v>
      </c>
      <c r="AF10" s="244" t="s">
        <v>73</v>
      </c>
      <c r="AG10" s="245">
        <f>SUM(AG7:AG9)</f>
        <v>390000</v>
      </c>
      <c r="AH10" s="252"/>
      <c r="AI10" s="252"/>
    </row>
    <row r="11" spans="1:35" ht="30.9" customHeight="1" thickTop="1" thickBot="1">
      <c r="A11" s="176">
        <v>45879</v>
      </c>
      <c r="B11" s="178" t="s">
        <v>487</v>
      </c>
      <c r="C11" s="183">
        <v>210856</v>
      </c>
      <c r="D11" s="183">
        <v>242050</v>
      </c>
      <c r="E11" s="183">
        <f t="shared" si="0"/>
        <v>-31194</v>
      </c>
      <c r="F11" s="183">
        <v>-241</v>
      </c>
      <c r="G11" s="183">
        <v>0</v>
      </c>
      <c r="H11" s="221">
        <f>H10+E11+F11</f>
        <v>1374185</v>
      </c>
      <c r="I11" s="710"/>
      <c r="J11" s="339">
        <f t="shared" si="1"/>
        <v>242050</v>
      </c>
      <c r="K11" s="339"/>
      <c r="L11" s="339"/>
      <c r="M11" s="339"/>
      <c r="N11" s="339"/>
      <c r="O11" s="339"/>
      <c r="P11" s="675"/>
      <c r="Q11" s="707" t="s">
        <v>477</v>
      </c>
      <c r="R11" s="707"/>
      <c r="S11" s="707"/>
      <c r="T11" s="707"/>
      <c r="U11" s="707"/>
      <c r="V11" s="707"/>
      <c r="W11" s="707"/>
      <c r="X11" s="733"/>
      <c r="Y11" s="319" t="s">
        <v>744</v>
      </c>
      <c r="Z11" s="243">
        <v>0</v>
      </c>
      <c r="AA11" s="312">
        <f t="shared" si="3"/>
        <v>0</v>
      </c>
      <c r="AB11" s="328" t="s">
        <v>705</v>
      </c>
      <c r="AC11" s="243">
        <f>J34</f>
        <v>13978777</v>
      </c>
      <c r="AD11" s="313">
        <f t="shared" si="4"/>
        <v>0.77737717909184056</v>
      </c>
      <c r="AF11" s="647" t="s">
        <v>643</v>
      </c>
      <c r="AG11" s="647"/>
      <c r="AH11" s="647"/>
      <c r="AI11" s="647"/>
    </row>
    <row r="12" spans="1:35" ht="30.9" customHeight="1" thickTop="1" thickBot="1">
      <c r="A12" s="176">
        <v>45880</v>
      </c>
      <c r="B12" s="177" t="s">
        <v>488</v>
      </c>
      <c r="C12" s="183">
        <v>780746</v>
      </c>
      <c r="D12" s="183">
        <v>858968</v>
      </c>
      <c r="E12" s="183">
        <f t="shared" si="0"/>
        <v>-78222</v>
      </c>
      <c r="F12" s="183">
        <v>0</v>
      </c>
      <c r="G12" s="183">
        <v>0</v>
      </c>
      <c r="H12" s="221">
        <f t="shared" si="2"/>
        <v>1295963</v>
      </c>
      <c r="I12" s="710"/>
      <c r="J12" s="339">
        <f t="shared" si="1"/>
        <v>835700</v>
      </c>
      <c r="K12" s="339"/>
      <c r="L12" s="339"/>
      <c r="M12" s="339"/>
      <c r="N12" s="339">
        <v>23268</v>
      </c>
      <c r="O12" s="339"/>
      <c r="P12" s="675"/>
      <c r="Q12" s="269" t="s">
        <v>478</v>
      </c>
      <c r="R12" s="229" t="s">
        <v>479</v>
      </c>
      <c r="S12" s="229" t="s">
        <v>480</v>
      </c>
      <c r="T12" s="229" t="s">
        <v>455</v>
      </c>
      <c r="U12" s="229" t="s">
        <v>468</v>
      </c>
      <c r="V12" s="258" t="s">
        <v>230</v>
      </c>
      <c r="W12" s="308" t="s">
        <v>670</v>
      </c>
      <c r="X12" s="733"/>
      <c r="Y12" s="345" t="s">
        <v>771</v>
      </c>
      <c r="Z12" s="243">
        <f>70000000/177</f>
        <v>395480.22598870058</v>
      </c>
      <c r="AA12" s="312">
        <f t="shared" si="3"/>
        <v>2.1993147359436357E-2</v>
      </c>
      <c r="AB12" s="328" t="s">
        <v>725</v>
      </c>
      <c r="AC12" s="243">
        <f>N34</f>
        <v>327740</v>
      </c>
      <c r="AD12" s="313">
        <f t="shared" si="4"/>
        <v>1.8226029120827939E-2</v>
      </c>
      <c r="AF12" s="650" t="s">
        <v>644</v>
      </c>
      <c r="AG12" s="650"/>
      <c r="AH12" s="650"/>
      <c r="AI12" s="229">
        <v>0</v>
      </c>
    </row>
    <row r="13" spans="1:35" ht="30.9" customHeight="1" thickTop="1" thickBot="1">
      <c r="A13" s="176">
        <v>45881</v>
      </c>
      <c r="B13" s="177" t="s">
        <v>489</v>
      </c>
      <c r="C13" s="183">
        <v>704583</v>
      </c>
      <c r="D13" s="183">
        <v>399120</v>
      </c>
      <c r="E13" s="183">
        <f t="shared" si="0"/>
        <v>305463</v>
      </c>
      <c r="F13" s="183">
        <v>-74</v>
      </c>
      <c r="G13" s="183">
        <v>0</v>
      </c>
      <c r="H13" s="221">
        <f t="shared" si="2"/>
        <v>1601352</v>
      </c>
      <c r="I13" s="710"/>
      <c r="J13" s="339">
        <f t="shared" si="1"/>
        <v>399120</v>
      </c>
      <c r="K13" s="339"/>
      <c r="L13" s="339"/>
      <c r="M13" s="339"/>
      <c r="N13" s="339"/>
      <c r="O13" s="339"/>
      <c r="P13" s="675"/>
      <c r="Q13" s="332">
        <f>AG10-75000</f>
        <v>315000</v>
      </c>
      <c r="R13" s="229">
        <f>47*1100</f>
        <v>51700</v>
      </c>
      <c r="S13" s="229">
        <v>0</v>
      </c>
      <c r="T13" s="229">
        <f>142*1100</f>
        <v>156200</v>
      </c>
      <c r="U13" s="229">
        <f>103.5*1100</f>
        <v>113850</v>
      </c>
      <c r="V13" s="229">
        <v>150000</v>
      </c>
      <c r="W13" s="266">
        <f>117.5*1100</f>
        <v>129250</v>
      </c>
      <c r="X13" s="733"/>
      <c r="Y13" s="311" t="s">
        <v>709</v>
      </c>
      <c r="Z13" s="317">
        <f>SUM(Z4:Z12)</f>
        <v>672655.22598870052</v>
      </c>
      <c r="AA13" s="312">
        <f>SUM(AA4:AA12)</f>
        <v>3.7407193925511548E-2</v>
      </c>
      <c r="AB13" s="327" t="s">
        <v>709</v>
      </c>
      <c r="AC13" s="317">
        <f>SUM(AC4:AC12)</f>
        <v>15744365</v>
      </c>
      <c r="AD13" s="313">
        <f>SUM(AD4:AD12)</f>
        <v>0.87556372422940187</v>
      </c>
      <c r="AF13" s="650" t="s">
        <v>645</v>
      </c>
      <c r="AG13" s="650"/>
      <c r="AH13" s="261" t="s">
        <v>646</v>
      </c>
      <c r="AI13" s="229">
        <f>300000+1000000</f>
        <v>1300000</v>
      </c>
    </row>
    <row r="14" spans="1:35" ht="30.9" customHeight="1" thickTop="1" thickBot="1">
      <c r="A14" s="176">
        <v>45882</v>
      </c>
      <c r="B14" s="177" t="s">
        <v>490</v>
      </c>
      <c r="C14" s="183">
        <v>741489</v>
      </c>
      <c r="D14" s="183">
        <v>777388</v>
      </c>
      <c r="E14" s="183">
        <f t="shared" si="0"/>
        <v>-35899</v>
      </c>
      <c r="F14" s="183">
        <v>0</v>
      </c>
      <c r="G14" s="183">
        <v>0</v>
      </c>
      <c r="H14" s="221">
        <f t="shared" si="2"/>
        <v>1565453</v>
      </c>
      <c r="I14" s="710"/>
      <c r="J14" s="339">
        <f t="shared" si="1"/>
        <v>770988</v>
      </c>
      <c r="K14" s="339">
        <v>6000</v>
      </c>
      <c r="L14" s="339"/>
      <c r="M14" s="339"/>
      <c r="N14" s="339">
        <v>400</v>
      </c>
      <c r="O14" s="339"/>
      <c r="P14" s="675"/>
      <c r="Q14" s="333">
        <v>0</v>
      </c>
      <c r="R14" s="287">
        <v>0</v>
      </c>
      <c r="S14" s="287">
        <v>10000</v>
      </c>
      <c r="T14" s="287">
        <v>13000</v>
      </c>
      <c r="U14" s="287">
        <v>13000</v>
      </c>
      <c r="V14" s="287">
        <v>20000</v>
      </c>
      <c r="W14" s="309">
        <v>13000</v>
      </c>
      <c r="X14" s="733"/>
      <c r="Y14" s="735" t="s">
        <v>726</v>
      </c>
      <c r="Z14" s="736"/>
      <c r="AA14" s="737"/>
      <c r="AB14" s="347">
        <f>Z21+AC21</f>
        <v>199043</v>
      </c>
      <c r="AC14" s="681">
        <f>AA21+AD21</f>
        <v>1.1069028846942565E-2</v>
      </c>
      <c r="AD14" s="682"/>
      <c r="AE14" s="81"/>
      <c r="AF14" s="650"/>
      <c r="AG14" s="650"/>
      <c r="AH14" s="261" t="s">
        <v>647</v>
      </c>
      <c r="AI14" s="229">
        <v>0</v>
      </c>
    </row>
    <row r="15" spans="1:35" ht="30.9" customHeight="1" thickTop="1" thickBot="1">
      <c r="A15" s="176">
        <v>45883</v>
      </c>
      <c r="B15" s="177" t="s">
        <v>491</v>
      </c>
      <c r="C15" s="183">
        <v>593436</v>
      </c>
      <c r="D15" s="183">
        <v>866764</v>
      </c>
      <c r="E15" s="183">
        <f t="shared" si="0"/>
        <v>-273328</v>
      </c>
      <c r="F15" s="183">
        <v>0</v>
      </c>
      <c r="G15" s="183">
        <v>0</v>
      </c>
      <c r="H15" s="221">
        <f t="shared" si="2"/>
        <v>1292125</v>
      </c>
      <c r="I15" s="710"/>
      <c r="J15" s="339">
        <f t="shared" si="1"/>
        <v>859444</v>
      </c>
      <c r="K15" s="339">
        <v>7000</v>
      </c>
      <c r="L15" s="339"/>
      <c r="M15" s="339"/>
      <c r="N15" s="339">
        <v>320</v>
      </c>
      <c r="O15" s="339"/>
      <c r="P15" s="675"/>
      <c r="Q15" s="334">
        <f>SUM(Q13:Q14)</f>
        <v>315000</v>
      </c>
      <c r="R15" s="234">
        <f t="shared" ref="R15:W15" si="5">SUM(R13:R14)</f>
        <v>51700</v>
      </c>
      <c r="S15" s="234">
        <f t="shared" si="5"/>
        <v>10000</v>
      </c>
      <c r="T15" s="234">
        <f t="shared" si="5"/>
        <v>169200</v>
      </c>
      <c r="U15" s="234">
        <f t="shared" si="5"/>
        <v>126850</v>
      </c>
      <c r="V15" s="234">
        <f t="shared" si="5"/>
        <v>170000</v>
      </c>
      <c r="W15" s="260">
        <f t="shared" si="5"/>
        <v>142250</v>
      </c>
      <c r="X15" s="733"/>
      <c r="Y15" s="719" t="s">
        <v>729</v>
      </c>
      <c r="Z15" s="720"/>
      <c r="AA15" s="720"/>
      <c r="AB15" s="717" t="s">
        <v>730</v>
      </c>
      <c r="AC15" s="717"/>
      <c r="AD15" s="718"/>
      <c r="AE15" s="81"/>
      <c r="AF15" s="650" t="s">
        <v>648</v>
      </c>
      <c r="AG15" s="650" t="s">
        <v>649</v>
      </c>
      <c r="AH15" s="650"/>
      <c r="AI15" s="229">
        <v>33127</v>
      </c>
    </row>
    <row r="16" spans="1:35" ht="30.9" customHeight="1" thickTop="1" thickBot="1">
      <c r="A16" s="176">
        <v>45884</v>
      </c>
      <c r="B16" s="178" t="s">
        <v>485</v>
      </c>
      <c r="C16" s="183">
        <v>789937</v>
      </c>
      <c r="D16" s="183">
        <v>559638</v>
      </c>
      <c r="E16" s="183">
        <f t="shared" si="0"/>
        <v>230299</v>
      </c>
      <c r="F16" s="183">
        <v>-65</v>
      </c>
      <c r="G16" s="183">
        <v>0</v>
      </c>
      <c r="H16" s="221">
        <f t="shared" si="2"/>
        <v>1522359</v>
      </c>
      <c r="I16" s="710"/>
      <c r="J16" s="339">
        <f t="shared" si="1"/>
        <v>402685</v>
      </c>
      <c r="K16" s="339">
        <v>8501</v>
      </c>
      <c r="L16" s="339"/>
      <c r="M16" s="339"/>
      <c r="N16" s="339">
        <v>4560</v>
      </c>
      <c r="O16" s="339">
        <f>137812+6080</f>
        <v>143892</v>
      </c>
      <c r="P16" s="675"/>
      <c r="Q16" s="698" t="s">
        <v>247</v>
      </c>
      <c r="R16" s="641"/>
      <c r="S16" s="641"/>
      <c r="T16" s="648">
        <f>SUM(R15:W15)+AG10</f>
        <v>1060000</v>
      </c>
      <c r="U16" s="699"/>
      <c r="V16" s="699"/>
      <c r="W16" s="699"/>
      <c r="X16" s="733"/>
      <c r="Y16" s="324" t="s">
        <v>728</v>
      </c>
      <c r="Z16" s="243">
        <f>T23</f>
        <v>53541</v>
      </c>
      <c r="AA16" s="312">
        <f>Z16/$Q$4</f>
        <v>2.9774816170081431E-3</v>
      </c>
      <c r="AB16" s="321" t="s">
        <v>731</v>
      </c>
      <c r="AC16" s="243">
        <f>V4</f>
        <v>27723</v>
      </c>
      <c r="AD16" s="313">
        <f>AC16/$Q$4</f>
        <v>1.5417105184497254E-3</v>
      </c>
      <c r="AF16" s="650"/>
      <c r="AG16" s="650" t="s">
        <v>650</v>
      </c>
      <c r="AH16" s="650"/>
      <c r="AI16" s="229">
        <v>3122254</v>
      </c>
    </row>
    <row r="17" spans="1:35" ht="30.9" customHeight="1" thickTop="1" thickBot="1">
      <c r="A17" s="176">
        <v>45885</v>
      </c>
      <c r="B17" s="178" t="s">
        <v>486</v>
      </c>
      <c r="C17" s="183">
        <v>631901</v>
      </c>
      <c r="D17" s="183">
        <v>630806</v>
      </c>
      <c r="E17" s="183">
        <f t="shared" si="0"/>
        <v>1095</v>
      </c>
      <c r="F17" s="183">
        <v>0</v>
      </c>
      <c r="G17" s="183">
        <v>0</v>
      </c>
      <c r="H17" s="221">
        <f t="shared" si="2"/>
        <v>1523454</v>
      </c>
      <c r="I17" s="710"/>
      <c r="J17" s="339">
        <f t="shared" si="1"/>
        <v>622806</v>
      </c>
      <c r="K17" s="339">
        <v>8000</v>
      </c>
      <c r="L17" s="339"/>
      <c r="M17" s="339"/>
      <c r="N17" s="339"/>
      <c r="O17" s="339"/>
      <c r="P17" s="675"/>
      <c r="Q17" s="688" t="s">
        <v>482</v>
      </c>
      <c r="R17" s="643"/>
      <c r="S17" s="643"/>
      <c r="T17" s="643"/>
      <c r="U17" s="643"/>
      <c r="V17" s="649"/>
      <c r="W17" s="283"/>
      <c r="X17" s="733"/>
      <c r="Y17" s="324" t="s">
        <v>727</v>
      </c>
      <c r="Z17" s="243">
        <f>U23</f>
        <v>22541</v>
      </c>
      <c r="AA17" s="312">
        <f t="shared" ref="AA17:AA20" si="6">Z17/$Q$4</f>
        <v>1.2535330518477531E-3</v>
      </c>
      <c r="AB17" s="321" t="s">
        <v>732</v>
      </c>
      <c r="AC17" s="243">
        <f>Q23</f>
        <v>0</v>
      </c>
      <c r="AD17" s="313">
        <f t="shared" ref="AD17" si="7">AC17/$Q$4</f>
        <v>0</v>
      </c>
      <c r="AF17" s="261" t="s">
        <v>651</v>
      </c>
      <c r="AG17" s="650" t="s">
        <v>652</v>
      </c>
      <c r="AH17" s="650"/>
      <c r="AI17" s="229">
        <v>530144</v>
      </c>
    </row>
    <row r="18" spans="1:35" ht="30.9" customHeight="1" thickTop="1" thickBot="1">
      <c r="A18" s="176">
        <v>45886</v>
      </c>
      <c r="B18" s="178" t="s">
        <v>487</v>
      </c>
      <c r="C18" s="183">
        <v>357737</v>
      </c>
      <c r="D18" s="183">
        <v>30800</v>
      </c>
      <c r="E18" s="183">
        <f t="shared" si="0"/>
        <v>326937</v>
      </c>
      <c r="F18" s="183">
        <v>0</v>
      </c>
      <c r="G18" s="183">
        <v>0</v>
      </c>
      <c r="H18" s="221">
        <f t="shared" si="2"/>
        <v>1850391</v>
      </c>
      <c r="I18" s="710"/>
      <c r="J18" s="339">
        <f t="shared" si="1"/>
        <v>30800</v>
      </c>
      <c r="K18" s="339"/>
      <c r="L18" s="339"/>
      <c r="M18" s="339"/>
      <c r="N18" s="339"/>
      <c r="O18" s="339"/>
      <c r="P18" s="675"/>
      <c r="Q18" s="284"/>
      <c r="R18" s="235"/>
      <c r="S18" s="343" t="s">
        <v>760</v>
      </c>
      <c r="T18" s="294" t="s">
        <v>703</v>
      </c>
      <c r="U18" s="236" t="s">
        <v>498</v>
      </c>
      <c r="V18" s="683" t="s">
        <v>247</v>
      </c>
      <c r="W18" s="684"/>
      <c r="X18" s="733"/>
      <c r="Y18" s="324" t="s">
        <v>733</v>
      </c>
      <c r="Z18" s="243">
        <f>S23</f>
        <v>12500</v>
      </c>
      <c r="AA18" s="312">
        <f t="shared" si="6"/>
        <v>6.9514055046789914E-4</v>
      </c>
      <c r="AB18" s="322"/>
      <c r="AC18" s="243"/>
      <c r="AD18" s="313"/>
      <c r="AF18" s="650" t="s">
        <v>777</v>
      </c>
      <c r="AG18" s="650"/>
      <c r="AH18" s="650"/>
      <c r="AI18" s="229">
        <f>105000000/177</f>
        <v>593220.3389830509</v>
      </c>
    </row>
    <row r="19" spans="1:35" ht="30.9" customHeight="1" thickTop="1" thickBot="1">
      <c r="A19" s="176">
        <v>45887</v>
      </c>
      <c r="B19" s="177" t="s">
        <v>488</v>
      </c>
      <c r="C19" s="183">
        <v>282798</v>
      </c>
      <c r="D19" s="183">
        <v>343343</v>
      </c>
      <c r="E19" s="183">
        <f t="shared" si="0"/>
        <v>-60545</v>
      </c>
      <c r="F19" s="183">
        <v>-47</v>
      </c>
      <c r="G19" s="183">
        <v>0</v>
      </c>
      <c r="H19" s="221">
        <f t="shared" si="2"/>
        <v>1789799</v>
      </c>
      <c r="I19" s="710"/>
      <c r="J19" s="339">
        <f t="shared" si="1"/>
        <v>343343</v>
      </c>
      <c r="K19" s="339"/>
      <c r="L19" s="339"/>
      <c r="M19" s="339"/>
      <c r="N19" s="339"/>
      <c r="O19" s="339"/>
      <c r="P19" s="675"/>
      <c r="Q19" s="335"/>
      <c r="R19" s="237"/>
      <c r="S19" s="344">
        <f>6500*10+5000</f>
        <v>70000</v>
      </c>
      <c r="T19" s="295">
        <f>39940+7050</f>
        <v>46990</v>
      </c>
      <c r="U19" s="238">
        <f>V23</f>
        <v>168582</v>
      </c>
      <c r="V19" s="685">
        <f>SUM(Q19:U19)</f>
        <v>285572</v>
      </c>
      <c r="W19" s="686"/>
      <c r="X19" s="733"/>
      <c r="Y19" s="324" t="s">
        <v>734</v>
      </c>
      <c r="Z19" s="243">
        <f>R23</f>
        <v>80000</v>
      </c>
      <c r="AA19" s="312">
        <f t="shared" si="6"/>
        <v>4.448899522994554E-3</v>
      </c>
      <c r="AB19" s="322"/>
      <c r="AC19" s="243"/>
      <c r="AD19" s="313"/>
      <c r="AF19" s="652" t="s">
        <v>654</v>
      </c>
      <c r="AG19" s="652"/>
      <c r="AH19" s="652"/>
      <c r="AI19" s="229">
        <v>5526808</v>
      </c>
    </row>
    <row r="20" spans="1:35" ht="30.9" customHeight="1" thickTop="1" thickBot="1">
      <c r="A20" s="176">
        <v>45888</v>
      </c>
      <c r="B20" s="177" t="s">
        <v>489</v>
      </c>
      <c r="C20" s="183">
        <v>441059</v>
      </c>
      <c r="D20" s="183">
        <v>347724</v>
      </c>
      <c r="E20" s="183">
        <f t="shared" si="0"/>
        <v>93335</v>
      </c>
      <c r="F20" s="183">
        <v>0</v>
      </c>
      <c r="G20" s="183">
        <v>0</v>
      </c>
      <c r="H20" s="221">
        <f t="shared" si="2"/>
        <v>1883134</v>
      </c>
      <c r="I20" s="710"/>
      <c r="J20" s="339">
        <f t="shared" si="1"/>
        <v>344724</v>
      </c>
      <c r="K20" s="339">
        <v>3000</v>
      </c>
      <c r="L20" s="339"/>
      <c r="M20" s="339"/>
      <c r="N20" s="339"/>
      <c r="O20" s="339"/>
      <c r="P20" s="675"/>
      <c r="Q20" s="269"/>
      <c r="R20" s="232"/>
      <c r="S20" s="232"/>
      <c r="T20" s="232"/>
      <c r="U20" s="232"/>
      <c r="V20" s="232"/>
      <c r="W20" s="310"/>
      <c r="X20" s="733"/>
      <c r="Y20" s="324" t="s">
        <v>746</v>
      </c>
      <c r="Z20" s="243">
        <f>U4</f>
        <v>2738</v>
      </c>
      <c r="AA20" s="312">
        <f t="shared" si="6"/>
        <v>1.5226358617448862E-4</v>
      </c>
      <c r="AB20" s="314"/>
      <c r="AC20" s="243"/>
      <c r="AD20" s="313"/>
      <c r="AF20" s="652" t="s">
        <v>655</v>
      </c>
      <c r="AG20" s="652"/>
      <c r="AH20" s="652"/>
      <c r="AI20" s="229">
        <v>6000000</v>
      </c>
    </row>
    <row r="21" spans="1:35" ht="30.9" customHeight="1" thickTop="1" thickBot="1">
      <c r="A21" s="176">
        <v>45889</v>
      </c>
      <c r="B21" s="177" t="s">
        <v>490</v>
      </c>
      <c r="C21" s="183">
        <v>256403</v>
      </c>
      <c r="D21" s="183">
        <v>479425</v>
      </c>
      <c r="E21" s="183">
        <f t="shared" si="0"/>
        <v>-223022</v>
      </c>
      <c r="F21" s="183">
        <v>-44</v>
      </c>
      <c r="G21" s="183">
        <v>0</v>
      </c>
      <c r="H21" s="221">
        <f t="shared" si="2"/>
        <v>1660068</v>
      </c>
      <c r="I21" s="710"/>
      <c r="J21" s="339">
        <f t="shared" si="1"/>
        <v>467683</v>
      </c>
      <c r="K21" s="339"/>
      <c r="L21" s="339">
        <v>11742</v>
      </c>
      <c r="M21" s="339"/>
      <c r="N21" s="339"/>
      <c r="O21" s="339"/>
      <c r="P21" s="675"/>
      <c r="Q21" s="687" t="s">
        <v>772</v>
      </c>
      <c r="R21" s="687"/>
      <c r="S21" s="687"/>
      <c r="T21" s="687"/>
      <c r="U21" s="687"/>
      <c r="V21" s="687"/>
      <c r="W21" s="687"/>
      <c r="X21" s="733"/>
      <c r="Y21" s="326" t="s">
        <v>709</v>
      </c>
      <c r="Z21" s="318">
        <f>SUM(Z16:Z20)</f>
        <v>171320</v>
      </c>
      <c r="AA21" s="315">
        <f>SUM(AA16:AA20)</f>
        <v>9.5273183284928387E-3</v>
      </c>
      <c r="AB21" s="323" t="s">
        <v>709</v>
      </c>
      <c r="AC21" s="318">
        <f>SUM(AC16:AC20)</f>
        <v>27723</v>
      </c>
      <c r="AD21" s="316">
        <f>SUM(AD16:AD20)</f>
        <v>1.5417105184497254E-3</v>
      </c>
      <c r="AF21" s="653" t="s">
        <v>247</v>
      </c>
      <c r="AG21" s="653"/>
      <c r="AH21" s="653"/>
      <c r="AI21" s="270">
        <f>SUM(AI12:AI20)</f>
        <v>17105553.338983051</v>
      </c>
    </row>
    <row r="22" spans="1:35" ht="30.9" customHeight="1" thickTop="1" thickBot="1">
      <c r="A22" s="176">
        <v>45890</v>
      </c>
      <c r="B22" s="177" t="s">
        <v>491</v>
      </c>
      <c r="C22" s="183">
        <v>533264</v>
      </c>
      <c r="D22" s="183">
        <v>352002</v>
      </c>
      <c r="E22" s="183">
        <f t="shared" si="0"/>
        <v>181262</v>
      </c>
      <c r="F22" s="183">
        <v>-54</v>
      </c>
      <c r="G22" s="183">
        <v>0</v>
      </c>
      <c r="H22" s="221">
        <f t="shared" si="2"/>
        <v>1841276</v>
      </c>
      <c r="I22" s="710"/>
      <c r="J22" s="339">
        <f t="shared" si="1"/>
        <v>154582</v>
      </c>
      <c r="K22" s="339"/>
      <c r="L22" s="339"/>
      <c r="M22" s="339"/>
      <c r="N22" s="339">
        <f>400+320</f>
        <v>720</v>
      </c>
      <c r="O22" s="339">
        <v>196700</v>
      </c>
      <c r="P22" s="675"/>
      <c r="Q22" s="336" t="s">
        <v>625</v>
      </c>
      <c r="R22" s="299" t="s">
        <v>770</v>
      </c>
      <c r="S22" s="299" t="s">
        <v>733</v>
      </c>
      <c r="T22" s="299" t="s">
        <v>728</v>
      </c>
      <c r="U22" s="299" t="s">
        <v>727</v>
      </c>
      <c r="V22" s="690" t="s">
        <v>247</v>
      </c>
      <c r="W22" s="691"/>
      <c r="X22" s="733"/>
      <c r="Y22" s="694" t="s">
        <v>745</v>
      </c>
      <c r="Z22" s="695"/>
      <c r="AA22" s="695"/>
      <c r="AB22" s="695"/>
      <c r="AC22" s="721">
        <f>AC14+AC2</f>
        <v>0.92403994700185599</v>
      </c>
      <c r="AD22" s="721"/>
      <c r="AF22" s="661"/>
      <c r="AG22" s="662"/>
      <c r="AH22" s="662"/>
      <c r="AI22" s="662"/>
    </row>
    <row r="23" spans="1:35" ht="30.9" customHeight="1" thickTop="1" thickBot="1">
      <c r="A23" s="176">
        <v>45891</v>
      </c>
      <c r="B23" s="178" t="s">
        <v>485</v>
      </c>
      <c r="C23" s="183">
        <v>598133</v>
      </c>
      <c r="D23" s="183">
        <v>264240</v>
      </c>
      <c r="E23" s="183">
        <f t="shared" si="0"/>
        <v>333893</v>
      </c>
      <c r="F23" s="183">
        <v>0</v>
      </c>
      <c r="G23" s="183">
        <v>0</v>
      </c>
      <c r="H23" s="221">
        <f t="shared" si="2"/>
        <v>2175169</v>
      </c>
      <c r="I23" s="710"/>
      <c r="J23" s="339">
        <f t="shared" si="1"/>
        <v>260920</v>
      </c>
      <c r="K23" s="339">
        <v>3000</v>
      </c>
      <c r="L23" s="339"/>
      <c r="M23" s="339"/>
      <c r="N23" s="339">
        <v>320</v>
      </c>
      <c r="O23" s="339"/>
      <c r="P23" s="675"/>
      <c r="Q23" s="335">
        <v>0</v>
      </c>
      <c r="R23" s="298">
        <v>80000</v>
      </c>
      <c r="S23" s="298">
        <v>12500</v>
      </c>
      <c r="T23" s="298">
        <v>53541</v>
      </c>
      <c r="U23" s="298">
        <v>22541</v>
      </c>
      <c r="V23" s="692">
        <f>SUM(Q23:U23)</f>
        <v>168582</v>
      </c>
      <c r="W23" s="693"/>
      <c r="X23" s="733"/>
      <c r="Y23" s="696"/>
      <c r="Z23" s="697"/>
      <c r="AA23" s="697"/>
      <c r="AB23" s="697"/>
      <c r="AC23" s="722"/>
      <c r="AD23" s="722"/>
      <c r="AF23" s="647" t="s">
        <v>665</v>
      </c>
      <c r="AG23" s="647"/>
      <c r="AH23" s="647"/>
      <c r="AI23" s="647"/>
    </row>
    <row r="24" spans="1:35" ht="30.9" customHeight="1" thickTop="1" thickBot="1">
      <c r="A24" s="176">
        <v>45892</v>
      </c>
      <c r="B24" s="178" t="s">
        <v>486</v>
      </c>
      <c r="C24" s="183">
        <v>619461</v>
      </c>
      <c r="D24" s="183">
        <v>316180</v>
      </c>
      <c r="E24" s="183">
        <f t="shared" si="0"/>
        <v>303281</v>
      </c>
      <c r="F24" s="183">
        <v>-445</v>
      </c>
      <c r="G24" s="183">
        <v>0</v>
      </c>
      <c r="H24" s="184">
        <f t="shared" si="2"/>
        <v>2478005</v>
      </c>
      <c r="I24" s="710"/>
      <c r="J24" s="339">
        <f t="shared" si="1"/>
        <v>316180</v>
      </c>
      <c r="K24" s="339"/>
      <c r="L24" s="339"/>
      <c r="M24" s="339"/>
      <c r="N24" s="339"/>
      <c r="O24" s="339"/>
      <c r="P24" s="675"/>
      <c r="X24" s="733"/>
      <c r="Y24" s="711" t="s">
        <v>735</v>
      </c>
      <c r="Z24" s="711"/>
      <c r="AA24" s="711"/>
      <c r="AB24" s="711"/>
      <c r="AC24" s="711"/>
      <c r="AD24" s="711"/>
      <c r="AF24" s="656" t="s">
        <v>666</v>
      </c>
      <c r="AG24" s="658"/>
      <c r="AH24" s="657"/>
      <c r="AI24" s="232"/>
    </row>
    <row r="25" spans="1:35" ht="30.9" customHeight="1" thickTop="1" thickBot="1">
      <c r="A25" s="176">
        <v>45893</v>
      </c>
      <c r="B25" s="178" t="s">
        <v>487</v>
      </c>
      <c r="C25" s="183">
        <v>430330</v>
      </c>
      <c r="D25" s="183">
        <v>298110</v>
      </c>
      <c r="E25" s="183">
        <f t="shared" si="0"/>
        <v>132220</v>
      </c>
      <c r="F25" s="183">
        <v>0</v>
      </c>
      <c r="G25" s="183">
        <v>0</v>
      </c>
      <c r="H25" s="184">
        <f t="shared" si="2"/>
        <v>2610225</v>
      </c>
      <c r="I25" s="710"/>
      <c r="J25" s="339">
        <f t="shared" si="1"/>
        <v>298110</v>
      </c>
      <c r="K25" s="339"/>
      <c r="L25" s="339"/>
      <c r="M25" s="339"/>
      <c r="N25" s="339"/>
      <c r="O25" s="339"/>
      <c r="P25" s="675"/>
      <c r="Q25" s="689" t="s">
        <v>672</v>
      </c>
      <c r="R25" s="664"/>
      <c r="S25" s="664"/>
      <c r="T25" s="664"/>
      <c r="U25" s="664"/>
      <c r="V25" s="664"/>
      <c r="W25" s="285"/>
      <c r="X25" s="733"/>
      <c r="Y25" s="300"/>
      <c r="Z25" s="712" t="s">
        <v>739</v>
      </c>
      <c r="AA25" s="712"/>
      <c r="AB25" s="301" t="s">
        <v>738</v>
      </c>
      <c r="AC25" s="712" t="s">
        <v>740</v>
      </c>
      <c r="AD25" s="712"/>
      <c r="AF25" s="268"/>
      <c r="AG25" s="656"/>
      <c r="AH25" s="657"/>
      <c r="AI25" s="232"/>
    </row>
    <row r="26" spans="1:35" ht="30.9" customHeight="1" thickTop="1" thickBot="1">
      <c r="A26" s="176">
        <v>45894</v>
      </c>
      <c r="B26" s="177" t="s">
        <v>488</v>
      </c>
      <c r="C26" s="183">
        <v>583362</v>
      </c>
      <c r="D26" s="183">
        <v>674742</v>
      </c>
      <c r="E26" s="183">
        <f t="shared" si="0"/>
        <v>-91380</v>
      </c>
      <c r="F26" s="183">
        <v>132</v>
      </c>
      <c r="G26" s="183">
        <v>0</v>
      </c>
      <c r="H26" s="184">
        <f t="shared" si="2"/>
        <v>2518977</v>
      </c>
      <c r="I26" s="710"/>
      <c r="J26" s="339">
        <f t="shared" si="1"/>
        <v>671467</v>
      </c>
      <c r="K26" s="339">
        <v>3275</v>
      </c>
      <c r="L26" s="339"/>
      <c r="M26" s="339"/>
      <c r="N26" s="339"/>
      <c r="O26" s="339"/>
      <c r="P26" s="675"/>
      <c r="Q26" s="337"/>
      <c r="R26" s="665" t="s">
        <v>782</v>
      </c>
      <c r="S26" s="665"/>
      <c r="T26" s="665"/>
      <c r="U26" s="665"/>
      <c r="V26" s="665"/>
      <c r="W26" s="286"/>
      <c r="X26" s="733"/>
      <c r="Y26" s="302" t="s">
        <v>736</v>
      </c>
      <c r="Z26" s="303">
        <v>16880609</v>
      </c>
      <c r="AA26" s="305">
        <f>(AB26/Z26)-100%</f>
        <v>6.5244447045719633E-2</v>
      </c>
      <c r="AB26" s="304">
        <f>C34</f>
        <v>17981975</v>
      </c>
      <c r="AC26" s="303">
        <v>15855146</v>
      </c>
      <c r="AD26" s="305">
        <f>AB26/AC26-100%</f>
        <v>0.13414124348019252</v>
      </c>
      <c r="AF26" s="268"/>
      <c r="AG26" s="656"/>
      <c r="AH26" s="657"/>
      <c r="AI26" s="232"/>
    </row>
    <row r="27" spans="1:35" ht="30.9" customHeight="1" thickTop="1" thickBot="1">
      <c r="A27" s="176">
        <v>45895</v>
      </c>
      <c r="B27" s="177" t="s">
        <v>489</v>
      </c>
      <c r="C27" s="183">
        <v>513185</v>
      </c>
      <c r="D27" s="183">
        <v>43210</v>
      </c>
      <c r="E27" s="183">
        <f t="shared" si="0"/>
        <v>469975</v>
      </c>
      <c r="F27" s="183">
        <v>-141</v>
      </c>
      <c r="G27" s="183">
        <v>0</v>
      </c>
      <c r="H27" s="184">
        <f t="shared" si="2"/>
        <v>2988811</v>
      </c>
      <c r="I27" s="710"/>
      <c r="J27" s="339">
        <f t="shared" si="1"/>
        <v>40130</v>
      </c>
      <c r="K27" s="339">
        <v>1800</v>
      </c>
      <c r="L27" s="339"/>
      <c r="M27" s="339"/>
      <c r="N27" s="339">
        <v>1280</v>
      </c>
      <c r="O27" s="339"/>
      <c r="P27" s="675"/>
      <c r="Q27" s="282"/>
      <c r="R27" s="665" t="s">
        <v>783</v>
      </c>
      <c r="S27" s="665"/>
      <c r="T27" s="665"/>
      <c r="U27" s="665"/>
      <c r="V27" s="665"/>
      <c r="W27" s="286"/>
      <c r="X27" s="733"/>
      <c r="Y27" s="302" t="s">
        <v>510</v>
      </c>
      <c r="Z27" s="303">
        <v>16204579</v>
      </c>
      <c r="AA27" s="305">
        <f>(AB27/Z27)-100%</f>
        <v>2.3029725116585853E-2</v>
      </c>
      <c r="AB27" s="304">
        <f>U8</f>
        <v>16577766</v>
      </c>
      <c r="AC27" s="303">
        <v>14902122</v>
      </c>
      <c r="AD27" s="305">
        <f>AB27/AC27-100%</f>
        <v>0.11244331511981986</v>
      </c>
      <c r="AF27" s="268"/>
      <c r="AG27" s="656"/>
      <c r="AH27" s="657"/>
      <c r="AI27" s="232"/>
    </row>
    <row r="28" spans="1:35" ht="30.9" customHeight="1" thickTop="1" thickBot="1">
      <c r="A28" s="176">
        <v>45896</v>
      </c>
      <c r="B28" s="177" t="s">
        <v>490</v>
      </c>
      <c r="C28" s="183">
        <v>546859</v>
      </c>
      <c r="D28" s="183">
        <v>959384</v>
      </c>
      <c r="E28" s="183">
        <f t="shared" si="0"/>
        <v>-412525</v>
      </c>
      <c r="F28" s="183">
        <v>-121</v>
      </c>
      <c r="G28" s="183">
        <v>0</v>
      </c>
      <c r="H28" s="184">
        <f t="shared" si="2"/>
        <v>2576165</v>
      </c>
      <c r="I28" s="710"/>
      <c r="J28" s="339">
        <f t="shared" si="1"/>
        <v>959384</v>
      </c>
      <c r="K28" s="339"/>
      <c r="L28" s="339"/>
      <c r="M28" s="339"/>
      <c r="N28" s="339"/>
      <c r="O28" s="339"/>
      <c r="P28" s="675"/>
      <c r="Q28" s="282"/>
      <c r="R28" s="665" t="s">
        <v>784</v>
      </c>
      <c r="S28" s="665"/>
      <c r="T28" s="665"/>
      <c r="U28" s="665"/>
      <c r="V28" s="665"/>
      <c r="W28" s="286"/>
      <c r="X28" s="733"/>
      <c r="Y28" s="302" t="s">
        <v>737</v>
      </c>
      <c r="Z28" s="303">
        <v>646795</v>
      </c>
      <c r="AA28" s="305">
        <f>(AB28/Z28)-100%</f>
        <v>1.1239310755339789</v>
      </c>
      <c r="AB28" s="304">
        <f>R9</f>
        <v>1373748</v>
      </c>
      <c r="AC28" s="303">
        <v>942192</v>
      </c>
      <c r="AD28" s="305">
        <f>AB28/AC28-100%</f>
        <v>0.45803403128024867</v>
      </c>
      <c r="AF28" s="268"/>
      <c r="AG28" s="656"/>
      <c r="AH28" s="657"/>
      <c r="AI28" s="232"/>
    </row>
    <row r="29" spans="1:35" ht="30.9" customHeight="1" thickTop="1" thickBot="1">
      <c r="A29" s="176">
        <v>45897</v>
      </c>
      <c r="B29" s="177" t="s">
        <v>491</v>
      </c>
      <c r="C29" s="183">
        <v>707187</v>
      </c>
      <c r="D29" s="183">
        <v>310098</v>
      </c>
      <c r="E29" s="183">
        <f t="shared" si="0"/>
        <v>397089</v>
      </c>
      <c r="F29" s="183">
        <v>-54</v>
      </c>
      <c r="G29" s="183">
        <v>0</v>
      </c>
      <c r="H29" s="184">
        <f t="shared" si="2"/>
        <v>2973200</v>
      </c>
      <c r="I29" s="710"/>
      <c r="J29" s="339">
        <f t="shared" si="1"/>
        <v>309458</v>
      </c>
      <c r="K29" s="339"/>
      <c r="L29" s="339"/>
      <c r="M29" s="339"/>
      <c r="N29" s="339">
        <v>640</v>
      </c>
      <c r="O29" s="339"/>
      <c r="P29" s="675"/>
      <c r="Q29" s="282"/>
      <c r="R29" s="665" t="s">
        <v>785</v>
      </c>
      <c r="S29" s="665"/>
      <c r="T29" s="665"/>
      <c r="U29" s="665"/>
      <c r="V29" s="665"/>
      <c r="W29" s="286"/>
      <c r="X29" s="733"/>
      <c r="Y29" s="302" t="s">
        <v>757</v>
      </c>
      <c r="Z29" s="341">
        <v>3957</v>
      </c>
      <c r="AA29" s="305">
        <f t="shared" ref="AA29:AA31" si="8">(AB29/Z29)-100%</f>
        <v>0.11422795046752587</v>
      </c>
      <c r="AB29" s="342">
        <v>4409</v>
      </c>
      <c r="AC29" s="341">
        <v>3512</v>
      </c>
      <c r="AD29" s="305">
        <f t="shared" ref="AD29:AD31" si="9">AB29/AC29-100%</f>
        <v>0.25541002277904323</v>
      </c>
      <c r="AF29" s="658" t="s">
        <v>667</v>
      </c>
      <c r="AG29" s="658"/>
      <c r="AH29" s="657"/>
      <c r="AI29" s="232"/>
    </row>
    <row r="30" spans="1:35" ht="30.9" customHeight="1" thickTop="1" thickBot="1">
      <c r="A30" s="176">
        <v>45898</v>
      </c>
      <c r="B30" s="178" t="s">
        <v>485</v>
      </c>
      <c r="C30" s="183">
        <v>828321</v>
      </c>
      <c r="D30" s="183">
        <v>517024</v>
      </c>
      <c r="E30" s="183">
        <f>C30-D30</f>
        <v>311297</v>
      </c>
      <c r="F30" s="183">
        <v>-144</v>
      </c>
      <c r="G30" s="183">
        <v>0</v>
      </c>
      <c r="H30" s="184">
        <f t="shared" si="2"/>
        <v>3284353</v>
      </c>
      <c r="I30" s="710"/>
      <c r="J30" s="339">
        <f t="shared" si="1"/>
        <v>509076</v>
      </c>
      <c r="K30" s="339"/>
      <c r="L30" s="339"/>
      <c r="M30" s="339">
        <v>7628</v>
      </c>
      <c r="N30" s="339">
        <v>320</v>
      </c>
      <c r="O30" s="339"/>
      <c r="P30" s="675"/>
      <c r="Q30" s="282"/>
      <c r="R30" s="739" t="s">
        <v>781</v>
      </c>
      <c r="S30" s="740"/>
      <c r="T30" s="740"/>
      <c r="U30" s="740"/>
      <c r="V30" s="740"/>
      <c r="W30" s="286"/>
      <c r="X30" s="733"/>
      <c r="Y30" s="302" t="s">
        <v>758</v>
      </c>
      <c r="Z30" s="303">
        <v>4266.011877685115</v>
      </c>
      <c r="AA30" s="305">
        <f t="shared" si="8"/>
        <v>-4.3961833304623887E-2</v>
      </c>
      <c r="AB30" s="304">
        <f>AB26/AB29</f>
        <v>4078.4701746427763</v>
      </c>
      <c r="AC30" s="303">
        <f>AC26/AC29</f>
        <v>4514.5632118451022</v>
      </c>
      <c r="AD30" s="305">
        <f t="shared" si="9"/>
        <v>-9.6596950078830512E-2</v>
      </c>
      <c r="AF30" s="268"/>
      <c r="AG30" s="656"/>
      <c r="AH30" s="657"/>
      <c r="AI30" s="232"/>
    </row>
    <row r="31" spans="1:35" ht="30.9" customHeight="1" thickTop="1" thickBot="1">
      <c r="A31" s="176">
        <v>45899</v>
      </c>
      <c r="B31" s="178" t="s">
        <v>486</v>
      </c>
      <c r="C31" s="183">
        <v>1030587</v>
      </c>
      <c r="D31" s="183">
        <v>735503</v>
      </c>
      <c r="E31" s="183">
        <f t="shared" ref="E31:E32" si="10">C31-D31</f>
        <v>295084</v>
      </c>
      <c r="F31" s="183">
        <v>-224</v>
      </c>
      <c r="G31" s="183">
        <v>0</v>
      </c>
      <c r="H31" s="184">
        <f>H30+E31+F31</f>
        <v>3579213</v>
      </c>
      <c r="I31" s="710"/>
      <c r="J31" s="339">
        <f t="shared" si="1"/>
        <v>642991</v>
      </c>
      <c r="K31" s="339">
        <v>11000</v>
      </c>
      <c r="L31" s="339">
        <v>19772</v>
      </c>
      <c r="M31" s="339"/>
      <c r="N31" s="339">
        <f>60000+1740</f>
        <v>61740</v>
      </c>
      <c r="O31" s="339"/>
      <c r="P31" s="675"/>
      <c r="Q31" s="282"/>
      <c r="R31" s="665" t="s">
        <v>780</v>
      </c>
      <c r="S31" s="665"/>
      <c r="T31" s="665"/>
      <c r="U31" s="665"/>
      <c r="V31" s="665"/>
      <c r="W31" s="286"/>
      <c r="X31" s="733"/>
      <c r="Y31" s="302" t="s">
        <v>756</v>
      </c>
      <c r="Z31" s="303">
        <v>544535.77419354836</v>
      </c>
      <c r="AA31" s="305">
        <f t="shared" si="8"/>
        <v>6.5244447045719856E-2</v>
      </c>
      <c r="AB31" s="304">
        <f>AB26/31</f>
        <v>580063.70967741939</v>
      </c>
      <c r="AC31" s="303">
        <f>AC26/31</f>
        <v>511456.32258064515</v>
      </c>
      <c r="AD31" s="305">
        <f t="shared" si="9"/>
        <v>0.13414124348019252</v>
      </c>
      <c r="AF31" s="269"/>
      <c r="AG31" s="659"/>
      <c r="AH31" s="660"/>
      <c r="AI31" s="232"/>
    </row>
    <row r="32" spans="1:35" ht="30.9" customHeight="1" thickTop="1" thickBot="1">
      <c r="A32" s="176">
        <v>45900</v>
      </c>
      <c r="B32" s="178" t="s">
        <v>487</v>
      </c>
      <c r="C32" s="183">
        <v>583943</v>
      </c>
      <c r="D32" s="183">
        <v>1215333</v>
      </c>
      <c r="E32" s="183">
        <f t="shared" si="10"/>
        <v>-631390</v>
      </c>
      <c r="F32" s="183">
        <v>-780</v>
      </c>
      <c r="G32" s="183">
        <v>0</v>
      </c>
      <c r="H32" s="184">
        <f t="shared" si="2"/>
        <v>2947043</v>
      </c>
      <c r="I32" s="710"/>
      <c r="J32" s="339">
        <f t="shared" si="1"/>
        <v>996328</v>
      </c>
      <c r="K32" s="339"/>
      <c r="L32" s="339"/>
      <c r="M32" s="339"/>
      <c r="N32" s="339">
        <v>400</v>
      </c>
      <c r="O32" s="339">
        <f>192550+26055</f>
        <v>218605</v>
      </c>
      <c r="P32" s="675"/>
      <c r="Q32" s="282" t="s">
        <v>778</v>
      </c>
      <c r="R32" s="665" t="s">
        <v>779</v>
      </c>
      <c r="S32" s="665"/>
      <c r="T32" s="665"/>
      <c r="U32" s="665"/>
      <c r="V32" s="665"/>
      <c r="W32" s="286"/>
      <c r="X32" s="733"/>
      <c r="AF32" s="269"/>
      <c r="AG32" s="659"/>
      <c r="AH32" s="660"/>
      <c r="AI32" s="232"/>
    </row>
    <row r="33" spans="1:37" ht="30.9" customHeight="1" thickTop="1">
      <c r="A33" s="264"/>
      <c r="B33" s="265"/>
      <c r="C33" s="183"/>
      <c r="D33" s="293">
        <v>200000</v>
      </c>
      <c r="E33" s="293">
        <f t="shared" si="0"/>
        <v>-200000</v>
      </c>
      <c r="F33" s="183"/>
      <c r="G33" s="183">
        <v>0</v>
      </c>
      <c r="H33" s="184">
        <f t="shared" si="2"/>
        <v>2747043</v>
      </c>
      <c r="I33" s="710"/>
      <c r="J33" s="339">
        <f t="shared" si="1"/>
        <v>0</v>
      </c>
      <c r="K33" s="339"/>
      <c r="L33" s="339"/>
      <c r="M33" s="339"/>
      <c r="N33" s="339">
        <v>200000</v>
      </c>
      <c r="O33" s="339"/>
      <c r="P33" s="675"/>
      <c r="Q33" s="282" t="s">
        <v>775</v>
      </c>
      <c r="R33" s="665" t="s">
        <v>776</v>
      </c>
      <c r="S33" s="665"/>
      <c r="T33" s="665"/>
      <c r="U33" s="665"/>
      <c r="V33" s="665"/>
      <c r="W33" s="286"/>
      <c r="X33" s="733"/>
      <c r="AG33" s="81"/>
      <c r="AH33" s="81"/>
    </row>
    <row r="34" spans="1:37" ht="45" customHeight="1">
      <c r="A34" s="672" t="s">
        <v>247</v>
      </c>
      <c r="B34" s="673"/>
      <c r="C34" s="292">
        <f>SUM(C2:C33)</f>
        <v>17981975</v>
      </c>
      <c r="D34" s="292">
        <f>SUM(D2:D33)</f>
        <v>15232194</v>
      </c>
      <c r="E34" s="292">
        <f>SUM(E2:E33)</f>
        <v>2749781</v>
      </c>
      <c r="F34" s="292">
        <f>SUM(F2:F33)</f>
        <v>-2738</v>
      </c>
      <c r="G34" s="292">
        <f>SUM(G2:G33)</f>
        <v>0</v>
      </c>
      <c r="H34" s="292">
        <f>C34-D34+G34</f>
        <v>2749781</v>
      </c>
      <c r="I34" s="710"/>
      <c r="J34" s="340">
        <f>SUM(J2:J33)</f>
        <v>13978777</v>
      </c>
      <c r="K34" s="340">
        <f t="shared" ref="K34:O34" si="11">SUM(K2:K33)</f>
        <v>92812</v>
      </c>
      <c r="L34" s="340">
        <f t="shared" si="11"/>
        <v>59770</v>
      </c>
      <c r="M34" s="340">
        <f t="shared" si="11"/>
        <v>15058</v>
      </c>
      <c r="N34" s="340">
        <f t="shared" si="11"/>
        <v>327740</v>
      </c>
      <c r="O34" s="340">
        <f t="shared" si="11"/>
        <v>758037</v>
      </c>
      <c r="P34" s="675"/>
      <c r="X34" s="733"/>
      <c r="AF34" s="674"/>
      <c r="AG34" s="674"/>
      <c r="AH34" s="674"/>
      <c r="AI34" s="674"/>
      <c r="AJ34" s="674"/>
      <c r="AK34" s="674"/>
    </row>
    <row r="35" spans="1:37">
      <c r="A35" s="69"/>
    </row>
    <row r="36" spans="1:37">
      <c r="A36" s="69"/>
    </row>
    <row r="37" spans="1:37">
      <c r="A37" s="69"/>
    </row>
    <row r="38" spans="1:37">
      <c r="A38" s="69"/>
    </row>
    <row r="39" spans="1:37">
      <c r="A39" s="69"/>
    </row>
    <row r="40" spans="1:37" ht="21" customHeight="1">
      <c r="A40" s="69"/>
    </row>
    <row r="41" spans="1:37" ht="23.1" customHeight="1">
      <c r="A41" s="69"/>
    </row>
    <row r="42" spans="1:37">
      <c r="A42" s="69"/>
    </row>
    <row r="43" spans="1:37" ht="29.1" customHeight="1">
      <c r="A43" s="69"/>
    </row>
    <row r="44" spans="1:37" ht="15" customHeight="1">
      <c r="A44" s="69"/>
    </row>
    <row r="45" spans="1:37">
      <c r="A45" s="69"/>
    </row>
    <row r="46" spans="1:37">
      <c r="A46" s="69"/>
    </row>
    <row r="47" spans="1:37">
      <c r="A47" s="69"/>
    </row>
    <row r="48" spans="1:37">
      <c r="A48" s="69"/>
    </row>
    <row r="49" spans="1:1">
      <c r="A49" s="69"/>
    </row>
    <row r="50" spans="1:1">
      <c r="A50" s="69"/>
    </row>
    <row r="51" spans="1:1" ht="18.899999999999999" customHeight="1">
      <c r="A51" s="69"/>
    </row>
  </sheetData>
  <mergeCells count="75">
    <mergeCell ref="R32:V32"/>
    <mergeCell ref="AG32:AH32"/>
    <mergeCell ref="R33:V33"/>
    <mergeCell ref="A34:B34"/>
    <mergeCell ref="AF34:AK34"/>
    <mergeCell ref="R29:V29"/>
    <mergeCell ref="AF29:AH29"/>
    <mergeCell ref="R30:V30"/>
    <mergeCell ref="AG30:AH30"/>
    <mergeCell ref="R31:V31"/>
    <mergeCell ref="AG31:AH31"/>
    <mergeCell ref="R26:V26"/>
    <mergeCell ref="AG26:AH26"/>
    <mergeCell ref="R27:V27"/>
    <mergeCell ref="AG27:AH27"/>
    <mergeCell ref="R28:V28"/>
    <mergeCell ref="AG28:AH28"/>
    <mergeCell ref="Y24:AD24"/>
    <mergeCell ref="AF24:AH24"/>
    <mergeCell ref="Q25:V25"/>
    <mergeCell ref="Z25:AA25"/>
    <mergeCell ref="AC25:AD25"/>
    <mergeCell ref="AG25:AH25"/>
    <mergeCell ref="Q17:V17"/>
    <mergeCell ref="AG17:AH17"/>
    <mergeCell ref="V22:W22"/>
    <mergeCell ref="Y22:AB23"/>
    <mergeCell ref="AC22:AD23"/>
    <mergeCell ref="AF22:AI22"/>
    <mergeCell ref="V23:W23"/>
    <mergeCell ref="V19:W19"/>
    <mergeCell ref="AF19:AH19"/>
    <mergeCell ref="AF20:AH20"/>
    <mergeCell ref="Q21:W21"/>
    <mergeCell ref="AF21:AH21"/>
    <mergeCell ref="AF23:AI23"/>
    <mergeCell ref="AF18:AH18"/>
    <mergeCell ref="AF11:AI11"/>
    <mergeCell ref="AF12:AH12"/>
    <mergeCell ref="AF13:AG14"/>
    <mergeCell ref="Y14:AA14"/>
    <mergeCell ref="AC14:AD14"/>
    <mergeCell ref="Y15:AA15"/>
    <mergeCell ref="AB15:AD15"/>
    <mergeCell ref="AF15:AF16"/>
    <mergeCell ref="AG15:AH15"/>
    <mergeCell ref="AG16:AH16"/>
    <mergeCell ref="Y3:AA3"/>
    <mergeCell ref="AB3:AD3"/>
    <mergeCell ref="Y1:AD1"/>
    <mergeCell ref="AF5:AI5"/>
    <mergeCell ref="Q6:W6"/>
    <mergeCell ref="AF6:AG6"/>
    <mergeCell ref="AH6:AI6"/>
    <mergeCell ref="AF1:AI1"/>
    <mergeCell ref="Q2:W2"/>
    <mergeCell ref="Y2:AA2"/>
    <mergeCell ref="AC2:AD2"/>
    <mergeCell ref="AF2:AI2"/>
    <mergeCell ref="A1:B1"/>
    <mergeCell ref="I1:I34"/>
    <mergeCell ref="P1:P34"/>
    <mergeCell ref="Q1:W1"/>
    <mergeCell ref="X1:X34"/>
    <mergeCell ref="Q4:R5"/>
    <mergeCell ref="R9:W9"/>
    <mergeCell ref="Q10:W10"/>
    <mergeCell ref="Q11:W11"/>
    <mergeCell ref="U8:W8"/>
    <mergeCell ref="Q3:R3"/>
    <mergeCell ref="V3:W3"/>
    <mergeCell ref="U7:W7"/>
    <mergeCell ref="V18:W18"/>
    <mergeCell ref="Q16:S16"/>
    <mergeCell ref="T16:W16"/>
  </mergeCells>
  <conditionalFormatting sqref="K2:O32">
    <cfRule type="cellIs" dxfId="87" priority="2" operator="greaterThan">
      <formula>0</formula>
    </cfRule>
    <cfRule type="cellIs" dxfId="86" priority="3" operator="equal">
      <formula>0</formula>
    </cfRule>
    <cfRule type="cellIs" dxfId="85" priority="4" operator="equal">
      <formula>"¥11.055"</formula>
    </cfRule>
    <cfRule type="cellIs" dxfId="84" priority="5" operator="equal">
      <formula>0</formula>
    </cfRule>
  </conditionalFormatting>
  <conditionalFormatting sqref="AI12:AI18">
    <cfRule type="cellIs" dxfId="83" priority="1" operator="greaterThan">
      <formula>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50D9C-8439-436F-931E-90F25F40E6FE}">
  <dimension ref="A1:AL51"/>
  <sheetViews>
    <sheetView topLeftCell="B1" zoomScaleNormal="100" workbookViewId="0">
      <pane ySplit="1" topLeftCell="A2" activePane="bottomLeft" state="frozen"/>
      <selection pane="bottomLeft" activeCell="AC26" sqref="AC26:AC31"/>
    </sheetView>
  </sheetViews>
  <sheetFormatPr defaultColWidth="10.6328125" defaultRowHeight="18"/>
  <cols>
    <col min="1" max="1" width="5.90625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6.81640625" style="69" customWidth="1"/>
    <col min="7" max="7" width="4.54296875" style="69" customWidth="1"/>
    <col min="8" max="8" width="12.453125" style="69" customWidth="1"/>
    <col min="9" max="9" width="4.1796875" style="69" customWidth="1"/>
    <col min="10" max="15" width="11.90625" style="69" customWidth="1"/>
    <col min="16" max="16" width="3" style="69" customWidth="1"/>
    <col min="17" max="24" width="8.81640625" style="69" customWidth="1"/>
    <col min="25" max="25" width="4.54296875" style="69" customWidth="1"/>
    <col min="26" max="26" width="13.1796875" style="69" customWidth="1"/>
    <col min="27" max="27" width="13.1796875" style="296" customWidth="1"/>
    <col min="28" max="28" width="5.81640625" style="297" customWidth="1"/>
    <col min="29" max="29" width="13.1796875" style="69" customWidth="1"/>
    <col min="30" max="30" width="13.81640625" style="296" customWidth="1"/>
    <col min="31" max="31" width="4.90625" style="297" customWidth="1"/>
    <col min="32" max="32" width="10.81640625" style="296" customWidth="1"/>
    <col min="33" max="34" width="7" style="69" customWidth="1"/>
    <col min="35" max="35" width="11.453125" style="69" customWidth="1"/>
    <col min="36" max="36" width="21" style="69" customWidth="1"/>
    <col min="37" max="16384" width="10.6328125" style="69"/>
  </cols>
  <sheetData>
    <row r="1" spans="1:36" ht="38.25" customHeight="1" thickTop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133" t="s">
        <v>463</v>
      </c>
      <c r="H1" s="220" t="s">
        <v>464</v>
      </c>
      <c r="I1" s="710"/>
      <c r="J1" s="338" t="s">
        <v>705</v>
      </c>
      <c r="K1" s="338" t="s">
        <v>741</v>
      </c>
      <c r="L1" s="338" t="s">
        <v>707</v>
      </c>
      <c r="M1" s="338" t="s">
        <v>708</v>
      </c>
      <c r="N1" s="338" t="s">
        <v>710</v>
      </c>
      <c r="O1" s="338" t="s">
        <v>742</v>
      </c>
      <c r="P1" s="675"/>
      <c r="Q1" s="723" t="s">
        <v>786</v>
      </c>
      <c r="R1" s="723"/>
      <c r="S1" s="723"/>
      <c r="T1" s="723"/>
      <c r="U1" s="723"/>
      <c r="V1" s="723"/>
      <c r="W1" s="723"/>
      <c r="X1" s="723"/>
      <c r="Y1" s="733"/>
      <c r="Z1" s="676" t="s">
        <v>718</v>
      </c>
      <c r="AA1" s="677"/>
      <c r="AB1" s="677"/>
      <c r="AC1" s="677"/>
      <c r="AD1" s="677"/>
      <c r="AE1" s="678"/>
      <c r="AF1" s="281"/>
      <c r="AG1" s="631" t="s">
        <v>642</v>
      </c>
      <c r="AH1" s="632"/>
      <c r="AI1" s="632"/>
      <c r="AJ1" s="632"/>
    </row>
    <row r="2" spans="1:36" ht="30.9" customHeight="1" thickTop="1" thickBot="1">
      <c r="A2" s="176">
        <v>45901</v>
      </c>
      <c r="B2" s="177" t="s">
        <v>488</v>
      </c>
      <c r="C2" s="183">
        <v>288619</v>
      </c>
      <c r="D2" s="183">
        <v>336460</v>
      </c>
      <c r="E2" s="183">
        <f>C2-D2</f>
        <v>-47841</v>
      </c>
      <c r="F2" s="183">
        <v>-112</v>
      </c>
      <c r="G2" s="183">
        <v>0</v>
      </c>
      <c r="H2" s="221">
        <f>E2+F2</f>
        <v>-47953</v>
      </c>
      <c r="I2" s="710"/>
      <c r="J2" s="339">
        <f>D2-SUM(K2:O2)</f>
        <v>97340</v>
      </c>
      <c r="K2" s="339">
        <v>7000</v>
      </c>
      <c r="L2" s="339"/>
      <c r="M2" s="339"/>
      <c r="N2" s="339">
        <v>32120</v>
      </c>
      <c r="O2" s="339">
        <v>200000</v>
      </c>
      <c r="P2" s="675"/>
      <c r="Q2" s="709" t="s">
        <v>249</v>
      </c>
      <c r="R2" s="709"/>
      <c r="S2" s="709"/>
      <c r="T2" s="709"/>
      <c r="U2" s="709"/>
      <c r="V2" s="709"/>
      <c r="W2" s="709"/>
      <c r="X2" s="709"/>
      <c r="Y2" s="733"/>
      <c r="Z2" s="734" t="s">
        <v>711</v>
      </c>
      <c r="AA2" s="725"/>
      <c r="AB2" s="726"/>
      <c r="AC2" s="346">
        <f>AD13+AA13</f>
        <v>14257075</v>
      </c>
      <c r="AD2" s="681">
        <f>AB13+AE13</f>
        <v>0.93587820584354631</v>
      </c>
      <c r="AE2" s="682"/>
      <c r="AF2" s="81"/>
      <c r="AG2" s="627" t="s">
        <v>638</v>
      </c>
      <c r="AH2" s="628"/>
      <c r="AI2" s="628"/>
      <c r="AJ2" s="628"/>
    </row>
    <row r="3" spans="1:36" ht="30.9" customHeight="1" thickTop="1" thickBot="1">
      <c r="A3" s="176">
        <v>45902</v>
      </c>
      <c r="B3" s="177" t="s">
        <v>489</v>
      </c>
      <c r="C3" s="183">
        <v>386169</v>
      </c>
      <c r="D3" s="183">
        <v>107483</v>
      </c>
      <c r="E3" s="183">
        <f t="shared" ref="E3:E33" si="0">C3-D3</f>
        <v>278686</v>
      </c>
      <c r="F3" s="183">
        <v>0</v>
      </c>
      <c r="G3" s="183">
        <v>0</v>
      </c>
      <c r="H3" s="221">
        <f>H2+E3+F3</f>
        <v>230733</v>
      </c>
      <c r="I3" s="710"/>
      <c r="J3" s="339">
        <f t="shared" ref="J3:J33" si="1">D3-SUM(K3:O3)</f>
        <v>107163</v>
      </c>
      <c r="K3" s="339"/>
      <c r="L3" s="339"/>
      <c r="M3" s="339"/>
      <c r="N3" s="339">
        <v>320</v>
      </c>
      <c r="O3" s="339"/>
      <c r="P3" s="675"/>
      <c r="Q3" s="725" t="s">
        <v>769</v>
      </c>
      <c r="R3" s="726"/>
      <c r="S3" s="222" t="s">
        <v>251</v>
      </c>
      <c r="T3" s="222" t="s">
        <v>252</v>
      </c>
      <c r="U3" s="222" t="s">
        <v>449</v>
      </c>
      <c r="V3" s="659" t="s">
        <v>773</v>
      </c>
      <c r="W3" s="724"/>
      <c r="X3" s="724"/>
      <c r="Y3" s="733"/>
      <c r="Z3" s="713" t="s">
        <v>713</v>
      </c>
      <c r="AA3" s="714"/>
      <c r="AB3" s="714"/>
      <c r="AC3" s="715" t="s">
        <v>712</v>
      </c>
      <c r="AD3" s="715"/>
      <c r="AE3" s="716"/>
      <c r="AF3" s="81"/>
      <c r="AG3" s="246"/>
      <c r="AH3" s="247"/>
      <c r="AI3" s="247"/>
      <c r="AJ3" s="247"/>
    </row>
    <row r="4" spans="1:36" ht="30.9" customHeight="1" thickTop="1" thickBot="1">
      <c r="A4" s="176">
        <v>45903</v>
      </c>
      <c r="B4" s="177" t="s">
        <v>490</v>
      </c>
      <c r="C4" s="183">
        <v>293483</v>
      </c>
      <c r="D4" s="183">
        <v>842632</v>
      </c>
      <c r="E4" s="183">
        <f t="shared" si="0"/>
        <v>-549149</v>
      </c>
      <c r="F4" s="183">
        <v>0</v>
      </c>
      <c r="G4" s="183">
        <v>0</v>
      </c>
      <c r="H4" s="221">
        <f t="shared" ref="H4:H33" si="2">H3+E4+F4</f>
        <v>-318416</v>
      </c>
      <c r="I4" s="710"/>
      <c r="J4" s="339">
        <f t="shared" si="1"/>
        <v>842632</v>
      </c>
      <c r="K4" s="339"/>
      <c r="L4" s="339"/>
      <c r="M4" s="339"/>
      <c r="N4" s="339"/>
      <c r="O4" s="339"/>
      <c r="P4" s="675"/>
      <c r="Q4" s="727">
        <f>C34</f>
        <v>15233900</v>
      </c>
      <c r="R4" s="728"/>
      <c r="S4" s="224">
        <v>0</v>
      </c>
      <c r="T4" s="224">
        <v>0</v>
      </c>
      <c r="U4" s="224">
        <f>-F34</f>
        <v>4481</v>
      </c>
      <c r="V4" s="224">
        <v>21319</v>
      </c>
      <c r="W4" s="306"/>
      <c r="X4" s="306"/>
      <c r="Y4" s="733"/>
      <c r="Z4" s="319" t="s">
        <v>714</v>
      </c>
      <c r="AA4" s="243">
        <v>192550</v>
      </c>
      <c r="AB4" s="312">
        <f>AA4/$Q$4</f>
        <v>1.2639573582601961E-2</v>
      </c>
      <c r="AC4" s="328" t="s">
        <v>719</v>
      </c>
      <c r="AD4" s="243">
        <f>R8</f>
        <v>924450</v>
      </c>
      <c r="AE4" s="313">
        <f>AD4/$Q$4</f>
        <v>6.0683738241684666E-2</v>
      </c>
      <c r="AG4" s="249"/>
      <c r="AH4" s="250"/>
      <c r="AI4" s="250"/>
      <c r="AJ4" s="250"/>
    </row>
    <row r="5" spans="1:36" ht="30.9" customHeight="1" thickTop="1" thickBot="1">
      <c r="A5" s="176">
        <v>45904</v>
      </c>
      <c r="B5" s="177" t="s">
        <v>491</v>
      </c>
      <c r="C5" s="183">
        <v>378119</v>
      </c>
      <c r="D5" s="183">
        <v>350346</v>
      </c>
      <c r="E5" s="183">
        <f t="shared" si="0"/>
        <v>27773</v>
      </c>
      <c r="F5" s="183">
        <v>-247</v>
      </c>
      <c r="G5" s="183">
        <v>0</v>
      </c>
      <c r="H5" s="221">
        <f t="shared" si="2"/>
        <v>-290890</v>
      </c>
      <c r="I5" s="710"/>
      <c r="J5" s="339">
        <f t="shared" si="1"/>
        <v>342346</v>
      </c>
      <c r="K5" s="339">
        <v>8000</v>
      </c>
      <c r="L5" s="339"/>
      <c r="M5" s="339"/>
      <c r="N5" s="339"/>
      <c r="O5" s="339"/>
      <c r="P5" s="675"/>
      <c r="Q5" s="729"/>
      <c r="R5" s="730"/>
      <c r="S5" s="225">
        <f>S4/Q4</f>
        <v>0</v>
      </c>
      <c r="T5" s="225">
        <f>T4/Q4</f>
        <v>0</v>
      </c>
      <c r="U5" s="226">
        <f>U4/Q4</f>
        <v>2.9414660723780514E-4</v>
      </c>
      <c r="V5" s="226">
        <f>V4/Q4</f>
        <v>1.3994446596078483E-3</v>
      </c>
      <c r="W5" s="307"/>
      <c r="X5" s="307"/>
      <c r="Y5" s="733"/>
      <c r="Z5" s="319" t="s">
        <v>715</v>
      </c>
      <c r="AA5" s="243">
        <v>26055</v>
      </c>
      <c r="AB5" s="312">
        <f t="shared" ref="AB5:AB12" si="3">AA5/$Q$4</f>
        <v>1.710330250297035E-3</v>
      </c>
      <c r="AC5" s="328" t="s">
        <v>720</v>
      </c>
      <c r="AD5" s="243">
        <f>SUM(Q14:X14)</f>
        <v>12000</v>
      </c>
      <c r="AE5" s="313">
        <f t="shared" ref="AE5:AE12" si="4">AD5/$Q$4</f>
        <v>7.8771686830030388E-4</v>
      </c>
      <c r="AG5" s="654" t="s">
        <v>639</v>
      </c>
      <c r="AH5" s="655"/>
      <c r="AI5" s="655"/>
      <c r="AJ5" s="655"/>
    </row>
    <row r="6" spans="1:36" ht="30.9" customHeight="1" thickTop="1" thickBot="1">
      <c r="A6" s="176">
        <v>45905</v>
      </c>
      <c r="B6" s="178" t="s">
        <v>485</v>
      </c>
      <c r="C6" s="183">
        <v>701109</v>
      </c>
      <c r="D6" s="183">
        <v>610718</v>
      </c>
      <c r="E6" s="183">
        <f t="shared" si="0"/>
        <v>90391</v>
      </c>
      <c r="F6" s="183">
        <v>-412</v>
      </c>
      <c r="G6" s="183">
        <v>0</v>
      </c>
      <c r="H6" s="221">
        <f t="shared" si="2"/>
        <v>-200911</v>
      </c>
      <c r="I6" s="710"/>
      <c r="J6" s="339">
        <f t="shared" si="1"/>
        <v>588970</v>
      </c>
      <c r="K6" s="339"/>
      <c r="L6" s="339"/>
      <c r="M6" s="339"/>
      <c r="N6" s="339">
        <f>16643+2685+2420</f>
        <v>21748</v>
      </c>
      <c r="O6" s="339"/>
      <c r="P6" s="675"/>
      <c r="Q6" s="702" t="s">
        <v>250</v>
      </c>
      <c r="R6" s="702"/>
      <c r="S6" s="702"/>
      <c r="T6" s="702"/>
      <c r="U6" s="702"/>
      <c r="V6" s="702"/>
      <c r="W6" s="702"/>
      <c r="X6" s="702"/>
      <c r="Y6" s="733"/>
      <c r="Z6" s="319" t="s">
        <v>716</v>
      </c>
      <c r="AA6" s="243">
        <v>6080</v>
      </c>
      <c r="AB6" s="312">
        <f t="shared" si="3"/>
        <v>3.9910987993882068E-4</v>
      </c>
      <c r="AC6" s="328" t="s">
        <v>721</v>
      </c>
      <c r="AD6" s="243">
        <v>138353</v>
      </c>
      <c r="AE6" s="313">
        <f t="shared" si="4"/>
        <v>9.0819159899959961E-3</v>
      </c>
      <c r="AG6" s="630" t="s">
        <v>231</v>
      </c>
      <c r="AH6" s="630"/>
      <c r="AI6" s="490"/>
      <c r="AJ6" s="490"/>
    </row>
    <row r="7" spans="1:36" ht="30.9" customHeight="1" thickTop="1" thickBot="1">
      <c r="A7" s="176">
        <v>45906</v>
      </c>
      <c r="B7" s="178" t="s">
        <v>486</v>
      </c>
      <c r="C7" s="183">
        <v>608399</v>
      </c>
      <c r="D7" s="183">
        <v>499981</v>
      </c>
      <c r="E7" s="183">
        <f t="shared" si="0"/>
        <v>108418</v>
      </c>
      <c r="F7" s="183">
        <v>0</v>
      </c>
      <c r="G7" s="183">
        <v>0</v>
      </c>
      <c r="H7" s="221">
        <f t="shared" si="2"/>
        <v>-92493</v>
      </c>
      <c r="I7" s="710"/>
      <c r="J7" s="339">
        <f t="shared" si="1"/>
        <v>491922</v>
      </c>
      <c r="K7" s="339">
        <v>8059</v>
      </c>
      <c r="L7" s="339"/>
      <c r="M7" s="339"/>
      <c r="N7" s="339"/>
      <c r="O7" s="339"/>
      <c r="P7" s="675"/>
      <c r="Q7" s="329" t="s">
        <v>705</v>
      </c>
      <c r="R7" s="290" t="s">
        <v>253</v>
      </c>
      <c r="S7" s="288" t="s">
        <v>624</v>
      </c>
      <c r="T7" s="222"/>
      <c r="U7" s="703" t="s">
        <v>247</v>
      </c>
      <c r="V7" s="704"/>
      <c r="W7" s="704"/>
      <c r="X7" s="704"/>
      <c r="Y7" s="733"/>
      <c r="Z7" s="319" t="s">
        <v>717</v>
      </c>
      <c r="AA7" s="243">
        <f>T19</f>
        <v>46990</v>
      </c>
      <c r="AB7" s="312">
        <f t="shared" si="3"/>
        <v>3.0845679701192734E-3</v>
      </c>
      <c r="AC7" s="328" t="s">
        <v>722</v>
      </c>
      <c r="AD7" s="243">
        <v>3396</v>
      </c>
      <c r="AE7" s="313">
        <f t="shared" si="4"/>
        <v>2.2292387372898601E-4</v>
      </c>
      <c r="AG7" s="242" t="s">
        <v>640</v>
      </c>
      <c r="AH7" s="243">
        <v>300000</v>
      </c>
    </row>
    <row r="8" spans="1:36" ht="30.9" customHeight="1" thickTop="1" thickBot="1">
      <c r="A8" s="176">
        <v>45907</v>
      </c>
      <c r="B8" s="178" t="s">
        <v>487</v>
      </c>
      <c r="C8" s="183">
        <v>356270</v>
      </c>
      <c r="D8" s="183">
        <v>35740</v>
      </c>
      <c r="E8" s="183">
        <f t="shared" si="0"/>
        <v>320530</v>
      </c>
      <c r="F8" s="183">
        <v>-14</v>
      </c>
      <c r="G8" s="183">
        <v>0</v>
      </c>
      <c r="H8" s="221">
        <f t="shared" si="2"/>
        <v>228023</v>
      </c>
      <c r="I8" s="710"/>
      <c r="J8" s="339">
        <f t="shared" si="1"/>
        <v>35740</v>
      </c>
      <c r="K8" s="339"/>
      <c r="L8" s="339"/>
      <c r="M8" s="339"/>
      <c r="N8" s="339"/>
      <c r="O8" s="339"/>
      <c r="P8" s="675"/>
      <c r="Q8" s="330">
        <f>D34</f>
        <v>13258659</v>
      </c>
      <c r="R8" s="291">
        <f>T16</f>
        <v>924450</v>
      </c>
      <c r="S8" s="289">
        <f>V19</f>
        <v>252991</v>
      </c>
      <c r="T8" s="229"/>
      <c r="U8" s="705">
        <f>SUM(Q8:T8)</f>
        <v>14436100</v>
      </c>
      <c r="V8" s="706"/>
      <c r="W8" s="706"/>
      <c r="X8" s="706"/>
      <c r="Y8" s="733"/>
      <c r="Z8" s="319" t="s">
        <v>723</v>
      </c>
      <c r="AA8" s="243">
        <v>5500</v>
      </c>
      <c r="AB8" s="312">
        <f t="shared" si="3"/>
        <v>3.6103689797097261E-4</v>
      </c>
      <c r="AC8" s="328" t="s">
        <v>708</v>
      </c>
      <c r="AD8" s="243">
        <f>M34</f>
        <v>5252</v>
      </c>
      <c r="AE8" s="313">
        <f t="shared" si="4"/>
        <v>3.447574160260997E-4</v>
      </c>
      <c r="AG8" s="242" t="s">
        <v>641</v>
      </c>
      <c r="AH8" s="243">
        <v>55000</v>
      </c>
    </row>
    <row r="9" spans="1:36" ht="30.9" customHeight="1" thickTop="1" thickBot="1">
      <c r="A9" s="176">
        <v>45908</v>
      </c>
      <c r="B9" s="177" t="s">
        <v>488</v>
      </c>
      <c r="C9" s="183">
        <v>461145</v>
      </c>
      <c r="D9" s="183">
        <v>639527</v>
      </c>
      <c r="E9" s="183">
        <f t="shared" si="0"/>
        <v>-178382</v>
      </c>
      <c r="F9" s="183">
        <v>-74</v>
      </c>
      <c r="G9" s="183">
        <v>0</v>
      </c>
      <c r="H9" s="221">
        <f t="shared" si="2"/>
        <v>49567</v>
      </c>
      <c r="I9" s="710"/>
      <c r="J9" s="339">
        <f t="shared" si="1"/>
        <v>639527</v>
      </c>
      <c r="K9" s="339"/>
      <c r="L9" s="339"/>
      <c r="M9" s="339"/>
      <c r="N9" s="339"/>
      <c r="O9" s="339"/>
      <c r="P9" s="675"/>
      <c r="Q9" s="331" t="s">
        <v>266</v>
      </c>
      <c r="R9" s="731">
        <f>Q4-U8-V4-U4</f>
        <v>772000</v>
      </c>
      <c r="S9" s="732"/>
      <c r="T9" s="732"/>
      <c r="U9" s="732"/>
      <c r="V9" s="732"/>
      <c r="W9" s="732"/>
      <c r="X9" s="732"/>
      <c r="Y9" s="733"/>
      <c r="Z9" s="319" t="s">
        <v>724</v>
      </c>
      <c r="AA9" s="243">
        <v>0</v>
      </c>
      <c r="AB9" s="312">
        <f t="shared" si="3"/>
        <v>0</v>
      </c>
      <c r="AC9" s="328" t="s">
        <v>707</v>
      </c>
      <c r="AD9" s="243">
        <f>L34</f>
        <v>60506</v>
      </c>
      <c r="AE9" s="313">
        <f t="shared" si="4"/>
        <v>3.9717997361148494E-3</v>
      </c>
      <c r="AG9" s="241" t="s">
        <v>495</v>
      </c>
      <c r="AH9" s="243">
        <v>35000</v>
      </c>
    </row>
    <row r="10" spans="1:36" ht="30.9" customHeight="1" thickTop="1" thickBot="1">
      <c r="A10" s="176">
        <v>45909</v>
      </c>
      <c r="B10" s="177" t="s">
        <v>489</v>
      </c>
      <c r="C10" s="183">
        <v>347023</v>
      </c>
      <c r="D10" s="183">
        <v>469309</v>
      </c>
      <c r="E10" s="183">
        <f t="shared" si="0"/>
        <v>-122286</v>
      </c>
      <c r="F10" s="183">
        <v>0</v>
      </c>
      <c r="G10" s="183">
        <v>0</v>
      </c>
      <c r="H10" s="221">
        <f t="shared" si="2"/>
        <v>-72719</v>
      </c>
      <c r="I10" s="710"/>
      <c r="J10" s="339">
        <f t="shared" si="1"/>
        <v>432960</v>
      </c>
      <c r="K10" s="339">
        <v>4673</v>
      </c>
      <c r="L10" s="339">
        <v>10524</v>
      </c>
      <c r="M10" s="339">
        <v>5252</v>
      </c>
      <c r="N10" s="339">
        <v>15900</v>
      </c>
      <c r="O10" s="339"/>
      <c r="P10" s="675"/>
      <c r="Q10" s="708" t="s">
        <v>257</v>
      </c>
      <c r="R10" s="708"/>
      <c r="S10" s="708"/>
      <c r="T10" s="708"/>
      <c r="U10" s="708"/>
      <c r="V10" s="708"/>
      <c r="W10" s="708"/>
      <c r="X10" s="708"/>
      <c r="Y10" s="733"/>
      <c r="Z10" s="319" t="s">
        <v>743</v>
      </c>
      <c r="AA10" s="243">
        <v>0</v>
      </c>
      <c r="AB10" s="312">
        <f t="shared" si="3"/>
        <v>0</v>
      </c>
      <c r="AC10" s="328" t="s">
        <v>706</v>
      </c>
      <c r="AD10" s="243">
        <f>K34</f>
        <v>80228</v>
      </c>
      <c r="AE10" s="313">
        <f t="shared" si="4"/>
        <v>5.2664124091663985E-3</v>
      </c>
      <c r="AG10" s="244" t="s">
        <v>73</v>
      </c>
      <c r="AH10" s="245">
        <f>SUM(AH7:AH9)</f>
        <v>390000</v>
      </c>
      <c r="AI10" s="252"/>
      <c r="AJ10" s="252"/>
    </row>
    <row r="11" spans="1:36" ht="30.9" customHeight="1" thickTop="1" thickBot="1">
      <c r="A11" s="176">
        <v>45910</v>
      </c>
      <c r="B11" s="177" t="s">
        <v>490</v>
      </c>
      <c r="C11" s="183">
        <v>199114</v>
      </c>
      <c r="D11" s="183">
        <v>187276</v>
      </c>
      <c r="E11" s="183">
        <f t="shared" si="0"/>
        <v>11838</v>
      </c>
      <c r="F11" s="183">
        <v>0</v>
      </c>
      <c r="G11" s="183">
        <v>0</v>
      </c>
      <c r="H11" s="221">
        <f>H10+E11+F11</f>
        <v>-60881</v>
      </c>
      <c r="I11" s="710"/>
      <c r="J11" s="339">
        <f t="shared" si="1"/>
        <v>186956</v>
      </c>
      <c r="K11" s="339"/>
      <c r="L11" s="339"/>
      <c r="M11" s="339"/>
      <c r="N11" s="339">
        <v>320</v>
      </c>
      <c r="O11" s="339"/>
      <c r="P11" s="675"/>
      <c r="Q11" s="707" t="s">
        <v>477</v>
      </c>
      <c r="R11" s="707"/>
      <c r="S11" s="707"/>
      <c r="T11" s="707"/>
      <c r="U11" s="707"/>
      <c r="V11" s="707"/>
      <c r="W11" s="707"/>
      <c r="X11" s="707"/>
      <c r="Y11" s="733"/>
      <c r="Z11" s="319" t="s">
        <v>744</v>
      </c>
      <c r="AA11" s="243">
        <v>0</v>
      </c>
      <c r="AB11" s="312">
        <f t="shared" si="3"/>
        <v>0</v>
      </c>
      <c r="AC11" s="328" t="s">
        <v>705</v>
      </c>
      <c r="AD11" s="243">
        <f>J34</f>
        <v>12354528</v>
      </c>
      <c r="AE11" s="313">
        <f t="shared" si="4"/>
        <v>0.81098917545736815</v>
      </c>
      <c r="AG11" s="647" t="s">
        <v>643</v>
      </c>
      <c r="AH11" s="647"/>
      <c r="AI11" s="647"/>
      <c r="AJ11" s="647"/>
    </row>
    <row r="12" spans="1:36" ht="30.9" customHeight="1" thickTop="1" thickBot="1">
      <c r="A12" s="176">
        <v>45911</v>
      </c>
      <c r="B12" s="177" t="s">
        <v>491</v>
      </c>
      <c r="C12" s="183">
        <v>694237</v>
      </c>
      <c r="D12" s="183">
        <v>604962</v>
      </c>
      <c r="E12" s="183">
        <f t="shared" si="0"/>
        <v>89275</v>
      </c>
      <c r="F12" s="183">
        <v>-14</v>
      </c>
      <c r="G12" s="183">
        <v>0</v>
      </c>
      <c r="H12" s="221">
        <f t="shared" si="2"/>
        <v>28380</v>
      </c>
      <c r="I12" s="710"/>
      <c r="J12" s="339">
        <f t="shared" si="1"/>
        <v>602277</v>
      </c>
      <c r="K12" s="339"/>
      <c r="L12" s="339"/>
      <c r="M12" s="339"/>
      <c r="N12" s="339">
        <v>2685</v>
      </c>
      <c r="O12" s="339"/>
      <c r="P12" s="675"/>
      <c r="Q12" s="269" t="s">
        <v>478</v>
      </c>
      <c r="R12" s="229" t="s">
        <v>479</v>
      </c>
      <c r="S12" s="229" t="s">
        <v>480</v>
      </c>
      <c r="T12" s="229" t="s">
        <v>455</v>
      </c>
      <c r="U12" s="229" t="s">
        <v>468</v>
      </c>
      <c r="V12" s="258" t="s">
        <v>230</v>
      </c>
      <c r="W12" s="308" t="s">
        <v>670</v>
      </c>
      <c r="X12" s="308" t="s">
        <v>788</v>
      </c>
      <c r="Y12" s="733"/>
      <c r="Z12" s="345" t="s">
        <v>771</v>
      </c>
      <c r="AA12" s="243">
        <v>200000</v>
      </c>
      <c r="AB12" s="312">
        <f t="shared" si="3"/>
        <v>1.3128614471671731E-2</v>
      </c>
      <c r="AC12" s="328" t="s">
        <v>725</v>
      </c>
      <c r="AD12" s="243">
        <f>N34</f>
        <v>201187</v>
      </c>
      <c r="AE12" s="313">
        <f t="shared" si="4"/>
        <v>1.3206532798561104E-2</v>
      </c>
      <c r="AG12" s="650" t="s">
        <v>644</v>
      </c>
      <c r="AH12" s="650"/>
      <c r="AI12" s="650"/>
      <c r="AJ12" s="229">
        <v>0</v>
      </c>
    </row>
    <row r="13" spans="1:36" ht="30.9" customHeight="1" thickTop="1" thickBot="1">
      <c r="A13" s="176">
        <v>45912</v>
      </c>
      <c r="B13" s="178" t="s">
        <v>485</v>
      </c>
      <c r="C13" s="183">
        <v>1019892</v>
      </c>
      <c r="D13" s="183">
        <v>293222</v>
      </c>
      <c r="E13" s="183">
        <f t="shared" si="0"/>
        <v>726670</v>
      </c>
      <c r="F13" s="183">
        <v>-745</v>
      </c>
      <c r="G13" s="183">
        <v>0</v>
      </c>
      <c r="H13" s="221">
        <f t="shared" si="2"/>
        <v>754305</v>
      </c>
      <c r="I13" s="710"/>
      <c r="J13" s="339">
        <f t="shared" si="1"/>
        <v>268620</v>
      </c>
      <c r="K13" s="339">
        <v>8000</v>
      </c>
      <c r="L13" s="339">
        <v>16302</v>
      </c>
      <c r="M13" s="339"/>
      <c r="N13" s="339">
        <v>300</v>
      </c>
      <c r="O13" s="339"/>
      <c r="P13" s="675"/>
      <c r="Q13" s="332">
        <f>AH10-75000</f>
        <v>315000</v>
      </c>
      <c r="R13" s="229">
        <f>12*5*1100</f>
        <v>66000</v>
      </c>
      <c r="S13" s="229">
        <v>0</v>
      </c>
      <c r="T13" s="229">
        <f>123.5*1100</f>
        <v>135850</v>
      </c>
      <c r="U13" s="229">
        <f>113.5*1100</f>
        <v>124850</v>
      </c>
      <c r="V13" s="229">
        <v>50000</v>
      </c>
      <c r="W13" s="266">
        <f>86.5*1100</f>
        <v>95150</v>
      </c>
      <c r="X13" s="266">
        <f>46*1100</f>
        <v>50600</v>
      </c>
      <c r="Y13" s="733"/>
      <c r="Z13" s="311" t="s">
        <v>709</v>
      </c>
      <c r="AA13" s="317">
        <f>SUM(AA4:AA12)</f>
        <v>477175</v>
      </c>
      <c r="AB13" s="312">
        <f>SUM(AB4:AB12)</f>
        <v>3.1323233052599798E-2</v>
      </c>
      <c r="AC13" s="327" t="s">
        <v>709</v>
      </c>
      <c r="AD13" s="317">
        <f>SUM(AD4:AD12)</f>
        <v>13779900</v>
      </c>
      <c r="AE13" s="313">
        <f>SUM(AE4:AE12)</f>
        <v>0.90455497279094654</v>
      </c>
      <c r="AG13" s="650" t="s">
        <v>645</v>
      </c>
      <c r="AH13" s="650"/>
      <c r="AI13" s="261" t="s">
        <v>646</v>
      </c>
      <c r="AJ13" s="229">
        <v>2728136</v>
      </c>
    </row>
    <row r="14" spans="1:36" ht="30.9" customHeight="1" thickTop="1" thickBot="1">
      <c r="A14" s="176">
        <v>45913</v>
      </c>
      <c r="B14" s="178" t="s">
        <v>486</v>
      </c>
      <c r="C14" s="183">
        <v>1042188</v>
      </c>
      <c r="D14" s="183">
        <v>400283</v>
      </c>
      <c r="E14" s="183">
        <f t="shared" si="0"/>
        <v>641905</v>
      </c>
      <c r="F14" s="183">
        <v>-41</v>
      </c>
      <c r="G14" s="183">
        <v>0</v>
      </c>
      <c r="H14" s="221">
        <f t="shared" si="2"/>
        <v>1396169</v>
      </c>
      <c r="I14" s="710"/>
      <c r="J14" s="339">
        <f t="shared" si="1"/>
        <v>399983</v>
      </c>
      <c r="K14" s="339"/>
      <c r="L14" s="339"/>
      <c r="M14" s="339"/>
      <c r="N14" s="339">
        <v>300</v>
      </c>
      <c r="O14" s="339"/>
      <c r="P14" s="675"/>
      <c r="Q14" s="333">
        <v>0</v>
      </c>
      <c r="R14" s="287">
        <v>0</v>
      </c>
      <c r="S14" s="287">
        <v>0</v>
      </c>
      <c r="T14" s="287">
        <v>3000</v>
      </c>
      <c r="U14" s="287">
        <v>3000</v>
      </c>
      <c r="V14" s="287">
        <v>0</v>
      </c>
      <c r="W14" s="309">
        <v>3000</v>
      </c>
      <c r="X14" s="309">
        <v>3000</v>
      </c>
      <c r="Y14" s="733"/>
      <c r="Z14" s="735" t="s">
        <v>726</v>
      </c>
      <c r="AA14" s="736"/>
      <c r="AB14" s="737"/>
      <c r="AC14" s="347">
        <f>AA21+AD21</f>
        <v>183551</v>
      </c>
      <c r="AD14" s="681">
        <f>AB21+AE21</f>
        <v>1.2048851574449092E-2</v>
      </c>
      <c r="AE14" s="682"/>
      <c r="AF14" s="81"/>
      <c r="AG14" s="650"/>
      <c r="AH14" s="650"/>
      <c r="AI14" s="261" t="s">
        <v>647</v>
      </c>
      <c r="AJ14" s="229">
        <v>0</v>
      </c>
    </row>
    <row r="15" spans="1:36" ht="30.9" customHeight="1" thickTop="1" thickBot="1">
      <c r="A15" s="176">
        <v>45914</v>
      </c>
      <c r="B15" s="178" t="s">
        <v>487</v>
      </c>
      <c r="C15" s="183">
        <v>555032</v>
      </c>
      <c r="D15" s="183">
        <v>286135</v>
      </c>
      <c r="E15" s="183">
        <f t="shared" si="0"/>
        <v>268897</v>
      </c>
      <c r="F15" s="183">
        <v>0</v>
      </c>
      <c r="G15" s="183">
        <v>0</v>
      </c>
      <c r="H15" s="221">
        <f t="shared" si="2"/>
        <v>1665066</v>
      </c>
      <c r="I15" s="710"/>
      <c r="J15" s="339">
        <f t="shared" si="1"/>
        <v>276796</v>
      </c>
      <c r="K15" s="339">
        <v>6999</v>
      </c>
      <c r="L15" s="339"/>
      <c r="M15" s="339"/>
      <c r="N15" s="339">
        <v>2340</v>
      </c>
      <c r="O15" s="339"/>
      <c r="P15" s="675"/>
      <c r="Q15" s="334">
        <f>SUM(Q13:Q14)</f>
        <v>315000</v>
      </c>
      <c r="R15" s="234">
        <f t="shared" ref="R15:X15" si="5">SUM(R13:R14)</f>
        <v>66000</v>
      </c>
      <c r="S15" s="234">
        <f t="shared" si="5"/>
        <v>0</v>
      </c>
      <c r="T15" s="234">
        <f t="shared" si="5"/>
        <v>138850</v>
      </c>
      <c r="U15" s="234">
        <f t="shared" si="5"/>
        <v>127850</v>
      </c>
      <c r="V15" s="234">
        <f t="shared" si="5"/>
        <v>50000</v>
      </c>
      <c r="W15" s="234">
        <f t="shared" si="5"/>
        <v>98150</v>
      </c>
      <c r="X15" s="260">
        <f t="shared" si="5"/>
        <v>53600</v>
      </c>
      <c r="Y15" s="733"/>
      <c r="Z15" s="719" t="s">
        <v>729</v>
      </c>
      <c r="AA15" s="720"/>
      <c r="AB15" s="720"/>
      <c r="AC15" s="717" t="s">
        <v>730</v>
      </c>
      <c r="AD15" s="717"/>
      <c r="AE15" s="718"/>
      <c r="AF15" s="81"/>
      <c r="AG15" s="650" t="s">
        <v>648</v>
      </c>
      <c r="AH15" s="650" t="s">
        <v>649</v>
      </c>
      <c r="AI15" s="650"/>
      <c r="AJ15" s="229">
        <v>63539</v>
      </c>
    </row>
    <row r="16" spans="1:36" ht="30.9" customHeight="1" thickTop="1" thickBot="1">
      <c r="A16" s="176">
        <v>45915</v>
      </c>
      <c r="B16" s="177" t="s">
        <v>488</v>
      </c>
      <c r="C16" s="183">
        <v>357489</v>
      </c>
      <c r="D16" s="183">
        <v>814301</v>
      </c>
      <c r="E16" s="183">
        <f t="shared" si="0"/>
        <v>-456812</v>
      </c>
      <c r="F16" s="183">
        <v>-41</v>
      </c>
      <c r="G16" s="183">
        <v>0</v>
      </c>
      <c r="H16" s="221">
        <f t="shared" si="2"/>
        <v>1208213</v>
      </c>
      <c r="I16" s="710"/>
      <c r="J16" s="339">
        <f t="shared" si="1"/>
        <v>805173</v>
      </c>
      <c r="K16" s="339">
        <v>9128</v>
      </c>
      <c r="L16" s="339"/>
      <c r="M16" s="339"/>
      <c r="N16" s="339"/>
      <c r="O16" s="339"/>
      <c r="P16" s="675"/>
      <c r="Q16" s="698" t="s">
        <v>247</v>
      </c>
      <c r="R16" s="641"/>
      <c r="S16" s="641"/>
      <c r="T16" s="648">
        <f>SUM(R15:X15)+AH10</f>
        <v>924450</v>
      </c>
      <c r="U16" s="699"/>
      <c r="V16" s="699"/>
      <c r="W16" s="699"/>
      <c r="X16" s="699"/>
      <c r="Y16" s="733"/>
      <c r="Z16" s="324" t="s">
        <v>728</v>
      </c>
      <c r="AA16" s="243">
        <f>T23</f>
        <v>23710</v>
      </c>
      <c r="AB16" s="312">
        <f>AA16/$Q$4</f>
        <v>1.5563972456166838E-3</v>
      </c>
      <c r="AC16" s="321" t="s">
        <v>731</v>
      </c>
      <c r="AD16" s="243">
        <f>V4</f>
        <v>21319</v>
      </c>
      <c r="AE16" s="313">
        <f>AD16/$Q$4</f>
        <v>1.3994446596078483E-3</v>
      </c>
      <c r="AG16" s="650"/>
      <c r="AH16" s="650" t="s">
        <v>650</v>
      </c>
      <c r="AI16" s="650"/>
      <c r="AJ16" s="229">
        <v>1555960</v>
      </c>
    </row>
    <row r="17" spans="1:36" ht="30.9" customHeight="1" thickTop="1" thickBot="1">
      <c r="A17" s="176">
        <v>45916</v>
      </c>
      <c r="B17" s="177" t="s">
        <v>489</v>
      </c>
      <c r="C17" s="183">
        <v>376501</v>
      </c>
      <c r="D17" s="183">
        <v>335838</v>
      </c>
      <c r="E17" s="183">
        <f t="shared" si="0"/>
        <v>40663</v>
      </c>
      <c r="F17" s="183">
        <v>-44</v>
      </c>
      <c r="G17" s="183">
        <v>0</v>
      </c>
      <c r="H17" s="221">
        <f t="shared" si="2"/>
        <v>1248832</v>
      </c>
      <c r="I17" s="710"/>
      <c r="J17" s="339">
        <f t="shared" si="1"/>
        <v>335838</v>
      </c>
      <c r="K17" s="339"/>
      <c r="L17" s="339"/>
      <c r="M17" s="339"/>
      <c r="N17" s="339"/>
      <c r="O17" s="339"/>
      <c r="P17" s="675"/>
      <c r="Q17" s="688" t="s">
        <v>482</v>
      </c>
      <c r="R17" s="643"/>
      <c r="S17" s="643"/>
      <c r="T17" s="643"/>
      <c r="U17" s="643"/>
      <c r="V17" s="649"/>
      <c r="W17" s="283"/>
      <c r="X17" s="283"/>
      <c r="Y17" s="733"/>
      <c r="Z17" s="324" t="s">
        <v>727</v>
      </c>
      <c r="AA17" s="243">
        <f>U23</f>
        <v>22541</v>
      </c>
      <c r="AB17" s="312">
        <f t="shared" ref="AB17:AB20" si="6">AA17/$Q$4</f>
        <v>1.4796604940297627E-3</v>
      </c>
      <c r="AC17" s="321" t="s">
        <v>732</v>
      </c>
      <c r="AD17" s="243">
        <f>Q23</f>
        <v>0</v>
      </c>
      <c r="AE17" s="313">
        <f t="shared" ref="AE17" si="7">AD17/$Q$4</f>
        <v>0</v>
      </c>
      <c r="AG17" s="261" t="s">
        <v>651</v>
      </c>
      <c r="AH17" s="650" t="s">
        <v>652</v>
      </c>
      <c r="AI17" s="650"/>
      <c r="AJ17" s="229">
        <v>530144</v>
      </c>
    </row>
    <row r="18" spans="1:36" ht="30.9" customHeight="1" thickTop="1" thickBot="1">
      <c r="A18" s="176">
        <v>45917</v>
      </c>
      <c r="B18" s="177" t="s">
        <v>490</v>
      </c>
      <c r="C18" s="183">
        <v>276760</v>
      </c>
      <c r="D18" s="183">
        <v>984619</v>
      </c>
      <c r="E18" s="183">
        <f t="shared" si="0"/>
        <v>-707859</v>
      </c>
      <c r="F18" s="183">
        <v>0</v>
      </c>
      <c r="G18" s="183">
        <v>0</v>
      </c>
      <c r="H18" s="221">
        <f t="shared" si="2"/>
        <v>540973</v>
      </c>
      <c r="I18" s="710"/>
      <c r="J18" s="339">
        <f t="shared" si="1"/>
        <v>984299</v>
      </c>
      <c r="K18" s="339"/>
      <c r="L18" s="339"/>
      <c r="M18" s="339"/>
      <c r="N18" s="339">
        <v>320</v>
      </c>
      <c r="O18" s="339"/>
      <c r="P18" s="675"/>
      <c r="Q18" s="284"/>
      <c r="R18" s="235"/>
      <c r="S18" s="343" t="s">
        <v>760</v>
      </c>
      <c r="T18" s="294" t="s">
        <v>703</v>
      </c>
      <c r="U18" s="236" t="s">
        <v>498</v>
      </c>
      <c r="V18" s="683" t="s">
        <v>247</v>
      </c>
      <c r="W18" s="684"/>
      <c r="X18" s="684"/>
      <c r="Y18" s="733"/>
      <c r="Z18" s="324" t="s">
        <v>733</v>
      </c>
      <c r="AA18" s="243">
        <f>S23</f>
        <v>11500</v>
      </c>
      <c r="AB18" s="312">
        <f t="shared" si="6"/>
        <v>7.5489533212112455E-4</v>
      </c>
      <c r="AC18" s="322"/>
      <c r="AD18" s="243"/>
      <c r="AE18" s="313"/>
      <c r="AG18" s="650" t="s">
        <v>777</v>
      </c>
      <c r="AH18" s="650"/>
      <c r="AI18" s="650"/>
      <c r="AJ18" s="229">
        <f>143117829/177</f>
        <v>808575.30508474575</v>
      </c>
    </row>
    <row r="19" spans="1:36" ht="30.9" customHeight="1" thickTop="1" thickBot="1">
      <c r="A19" s="176">
        <v>45918</v>
      </c>
      <c r="B19" s="177" t="s">
        <v>491</v>
      </c>
      <c r="C19" s="183">
        <v>574816</v>
      </c>
      <c r="D19" s="183">
        <v>580542</v>
      </c>
      <c r="E19" s="183">
        <f t="shared" si="0"/>
        <v>-5726</v>
      </c>
      <c r="F19" s="183">
        <v>-54</v>
      </c>
      <c r="G19" s="183">
        <v>0</v>
      </c>
      <c r="H19" s="221">
        <f t="shared" si="2"/>
        <v>535193</v>
      </c>
      <c r="I19" s="710"/>
      <c r="J19" s="339">
        <f t="shared" si="1"/>
        <v>570847</v>
      </c>
      <c r="K19" s="339">
        <v>5000</v>
      </c>
      <c r="L19" s="339"/>
      <c r="M19" s="339"/>
      <c r="N19" s="339">
        <f>2685+2010</f>
        <v>4695</v>
      </c>
      <c r="O19" s="339"/>
      <c r="P19" s="675"/>
      <c r="Q19" s="335"/>
      <c r="R19" s="237"/>
      <c r="S19" s="344">
        <f>6500*7+2.5*1100</f>
        <v>48250</v>
      </c>
      <c r="T19" s="295">
        <f>39940+7050</f>
        <v>46990</v>
      </c>
      <c r="U19" s="238">
        <f>V23</f>
        <v>157751</v>
      </c>
      <c r="V19" s="685">
        <f>SUM(Q19:U19)</f>
        <v>252991</v>
      </c>
      <c r="W19" s="686"/>
      <c r="X19" s="686"/>
      <c r="Y19" s="733"/>
      <c r="Z19" s="324" t="s">
        <v>734</v>
      </c>
      <c r="AA19" s="243">
        <f>R23</f>
        <v>100000</v>
      </c>
      <c r="AB19" s="312">
        <f t="shared" si="6"/>
        <v>6.5643072358358657E-3</v>
      </c>
      <c r="AC19" s="322"/>
      <c r="AD19" s="243"/>
      <c r="AE19" s="313"/>
      <c r="AG19" s="652" t="s">
        <v>654</v>
      </c>
      <c r="AH19" s="652"/>
      <c r="AI19" s="652"/>
      <c r="AJ19" s="229">
        <v>6016014</v>
      </c>
    </row>
    <row r="20" spans="1:36" ht="30.9" customHeight="1" thickTop="1" thickBot="1">
      <c r="A20" s="176">
        <v>45919</v>
      </c>
      <c r="B20" s="178" t="s">
        <v>485</v>
      </c>
      <c r="C20" s="183">
        <v>716989</v>
      </c>
      <c r="D20" s="183">
        <v>594443</v>
      </c>
      <c r="E20" s="183">
        <f t="shared" si="0"/>
        <v>122546</v>
      </c>
      <c r="F20" s="183">
        <v>0</v>
      </c>
      <c r="G20" s="183">
        <v>0</v>
      </c>
      <c r="H20" s="221">
        <f t="shared" si="2"/>
        <v>657739</v>
      </c>
      <c r="I20" s="710"/>
      <c r="J20" s="339">
        <f t="shared" si="1"/>
        <v>586233</v>
      </c>
      <c r="K20" s="339"/>
      <c r="L20" s="339">
        <v>5670</v>
      </c>
      <c r="M20" s="339"/>
      <c r="N20" s="339">
        <f>200+2340</f>
        <v>2540</v>
      </c>
      <c r="O20" s="339"/>
      <c r="P20" s="675"/>
      <c r="Q20" s="269"/>
      <c r="R20" s="232"/>
      <c r="S20" s="232"/>
      <c r="T20" s="232"/>
      <c r="U20" s="232"/>
      <c r="V20" s="232"/>
      <c r="W20" s="310"/>
      <c r="X20" s="310"/>
      <c r="Y20" s="733"/>
      <c r="Z20" s="324" t="s">
        <v>746</v>
      </c>
      <c r="AA20" s="243">
        <f>U4</f>
        <v>4481</v>
      </c>
      <c r="AB20" s="312">
        <f t="shared" si="6"/>
        <v>2.9414660723780514E-4</v>
      </c>
      <c r="AC20" s="314"/>
      <c r="AD20" s="243"/>
      <c r="AE20" s="313"/>
      <c r="AG20" s="652" t="s">
        <v>655</v>
      </c>
      <c r="AH20" s="652"/>
      <c r="AI20" s="652"/>
      <c r="AJ20" s="229">
        <v>6000000</v>
      </c>
    </row>
    <row r="21" spans="1:36" ht="30.9" customHeight="1" thickTop="1" thickBot="1">
      <c r="A21" s="176">
        <v>45920</v>
      </c>
      <c r="B21" s="178" t="s">
        <v>486</v>
      </c>
      <c r="C21" s="183">
        <v>651788</v>
      </c>
      <c r="D21" s="183">
        <v>517991</v>
      </c>
      <c r="E21" s="183">
        <f t="shared" si="0"/>
        <v>133797</v>
      </c>
      <c r="F21" s="183">
        <v>-845</v>
      </c>
      <c r="G21" s="183">
        <v>0</v>
      </c>
      <c r="H21" s="221">
        <f t="shared" si="2"/>
        <v>790691</v>
      </c>
      <c r="I21" s="710"/>
      <c r="J21" s="339">
        <f t="shared" si="1"/>
        <v>507655</v>
      </c>
      <c r="K21" s="339"/>
      <c r="L21" s="339">
        <v>10336</v>
      </c>
      <c r="M21" s="339"/>
      <c r="N21" s="339"/>
      <c r="O21" s="339"/>
      <c r="P21" s="675"/>
      <c r="Q21" s="687" t="s">
        <v>772</v>
      </c>
      <c r="R21" s="687"/>
      <c r="S21" s="687"/>
      <c r="T21" s="687"/>
      <c r="U21" s="687"/>
      <c r="V21" s="687"/>
      <c r="W21" s="687"/>
      <c r="X21" s="687"/>
      <c r="Y21" s="733"/>
      <c r="Z21" s="326" t="s">
        <v>709</v>
      </c>
      <c r="AA21" s="318">
        <f>SUM(AA16:AA20)</f>
        <v>162232</v>
      </c>
      <c r="AB21" s="315">
        <f>SUM(AB16:AB20)</f>
        <v>1.0649406914841243E-2</v>
      </c>
      <c r="AC21" s="323" t="s">
        <v>709</v>
      </c>
      <c r="AD21" s="318">
        <f>SUM(AD16:AD20)</f>
        <v>21319</v>
      </c>
      <c r="AE21" s="316">
        <f>SUM(AE16:AE20)</f>
        <v>1.3994446596078483E-3</v>
      </c>
      <c r="AG21" s="653" t="s">
        <v>247</v>
      </c>
      <c r="AH21" s="653"/>
      <c r="AI21" s="653"/>
      <c r="AJ21" s="270">
        <f>SUM(AJ12:AJ20)</f>
        <v>17702368.305084746</v>
      </c>
    </row>
    <row r="22" spans="1:36" ht="30.9" customHeight="1" thickTop="1" thickBot="1">
      <c r="A22" s="176">
        <v>45921</v>
      </c>
      <c r="B22" s="178" t="s">
        <v>487</v>
      </c>
      <c r="C22" s="183">
        <v>370757</v>
      </c>
      <c r="D22" s="183">
        <v>25985</v>
      </c>
      <c r="E22" s="183">
        <f t="shared" si="0"/>
        <v>344772</v>
      </c>
      <c r="F22" s="183">
        <v>0</v>
      </c>
      <c r="G22" s="183">
        <v>0</v>
      </c>
      <c r="H22" s="221">
        <f t="shared" si="2"/>
        <v>1135463</v>
      </c>
      <c r="I22" s="710"/>
      <c r="J22" s="339">
        <f t="shared" si="1"/>
        <v>25985</v>
      </c>
      <c r="K22" s="339"/>
      <c r="L22" s="339"/>
      <c r="M22" s="339"/>
      <c r="N22" s="339"/>
      <c r="O22" s="339"/>
      <c r="P22" s="675"/>
      <c r="Q22" s="336" t="s">
        <v>625</v>
      </c>
      <c r="R22" s="299" t="s">
        <v>770</v>
      </c>
      <c r="S22" s="299" t="s">
        <v>733</v>
      </c>
      <c r="T22" s="299" t="s">
        <v>728</v>
      </c>
      <c r="U22" s="299" t="s">
        <v>727</v>
      </c>
      <c r="V22" s="690" t="s">
        <v>247</v>
      </c>
      <c r="W22" s="741"/>
      <c r="X22" s="691"/>
      <c r="Y22" s="733"/>
      <c r="Z22" s="694" t="s">
        <v>745</v>
      </c>
      <c r="AA22" s="695"/>
      <c r="AB22" s="695"/>
      <c r="AC22" s="695"/>
      <c r="AD22" s="721">
        <f>AD14+AD2</f>
        <v>0.94792705741799543</v>
      </c>
      <c r="AE22" s="721"/>
      <c r="AG22" s="661"/>
      <c r="AH22" s="662"/>
      <c r="AI22" s="662"/>
      <c r="AJ22" s="662"/>
    </row>
    <row r="23" spans="1:36" ht="30.9" customHeight="1" thickTop="1" thickBot="1">
      <c r="A23" s="176">
        <v>45922</v>
      </c>
      <c r="B23" s="177" t="s">
        <v>488</v>
      </c>
      <c r="C23" s="183">
        <v>274021</v>
      </c>
      <c r="D23" s="183">
        <v>160773</v>
      </c>
      <c r="E23" s="183">
        <f t="shared" si="0"/>
        <v>113248</v>
      </c>
      <c r="F23" s="183">
        <v>0</v>
      </c>
      <c r="G23" s="183">
        <v>0</v>
      </c>
      <c r="H23" s="221">
        <f t="shared" si="2"/>
        <v>1248711</v>
      </c>
      <c r="I23" s="710"/>
      <c r="J23" s="339">
        <f t="shared" si="1"/>
        <v>144860</v>
      </c>
      <c r="K23" s="339">
        <f>7025+8888</f>
        <v>15913</v>
      </c>
      <c r="L23" s="339"/>
      <c r="M23" s="339"/>
      <c r="N23" s="339"/>
      <c r="O23" s="339"/>
      <c r="P23" s="675"/>
      <c r="Q23" s="335">
        <v>0</v>
      </c>
      <c r="R23" s="298">
        <v>100000</v>
      </c>
      <c r="S23" s="298">
        <v>11500</v>
      </c>
      <c r="T23" s="298">
        <v>23710</v>
      </c>
      <c r="U23" s="298">
        <v>22541</v>
      </c>
      <c r="V23" s="692">
        <f>SUM(Q23:U23)</f>
        <v>157751</v>
      </c>
      <c r="W23" s="742"/>
      <c r="X23" s="693"/>
      <c r="Y23" s="733"/>
      <c r="Z23" s="696"/>
      <c r="AA23" s="697"/>
      <c r="AB23" s="697"/>
      <c r="AC23" s="697"/>
      <c r="AD23" s="722"/>
      <c r="AE23" s="722"/>
      <c r="AG23" s="647" t="s">
        <v>665</v>
      </c>
      <c r="AH23" s="647"/>
      <c r="AI23" s="647"/>
      <c r="AJ23" s="647"/>
    </row>
    <row r="24" spans="1:36" ht="30.9" customHeight="1" thickTop="1" thickBot="1">
      <c r="A24" s="176">
        <v>45923</v>
      </c>
      <c r="B24" s="177" t="s">
        <v>489</v>
      </c>
      <c r="C24" s="183">
        <v>344495</v>
      </c>
      <c r="D24" s="183">
        <v>341900</v>
      </c>
      <c r="E24" s="183">
        <f t="shared" si="0"/>
        <v>2595</v>
      </c>
      <c r="F24" s="183">
        <v>0</v>
      </c>
      <c r="G24" s="183">
        <v>0</v>
      </c>
      <c r="H24" s="184">
        <f t="shared" si="2"/>
        <v>1251306</v>
      </c>
      <c r="I24" s="710"/>
      <c r="J24" s="339">
        <f t="shared" si="1"/>
        <v>341900</v>
      </c>
      <c r="K24" s="339"/>
      <c r="L24" s="339"/>
      <c r="M24" s="339"/>
      <c r="N24" s="339"/>
      <c r="O24" s="339"/>
      <c r="P24" s="675"/>
      <c r="Y24" s="733"/>
      <c r="Z24" s="711" t="s">
        <v>735</v>
      </c>
      <c r="AA24" s="711"/>
      <c r="AB24" s="711"/>
      <c r="AC24" s="711"/>
      <c r="AD24" s="711"/>
      <c r="AE24" s="711"/>
      <c r="AG24" s="656" t="s">
        <v>666</v>
      </c>
      <c r="AH24" s="658"/>
      <c r="AI24" s="657"/>
      <c r="AJ24" s="232"/>
    </row>
    <row r="25" spans="1:36" ht="30.9" customHeight="1" thickTop="1" thickBot="1">
      <c r="A25" s="176">
        <v>45924</v>
      </c>
      <c r="B25" s="177" t="s">
        <v>490</v>
      </c>
      <c r="C25" s="350">
        <v>224423</v>
      </c>
      <c r="D25" s="350">
        <v>1039420</v>
      </c>
      <c r="E25" s="183">
        <f t="shared" si="0"/>
        <v>-814997</v>
      </c>
      <c r="F25" s="183">
        <v>0</v>
      </c>
      <c r="G25" s="183">
        <v>0</v>
      </c>
      <c r="H25" s="184">
        <f t="shared" si="2"/>
        <v>436309</v>
      </c>
      <c r="I25" s="710"/>
      <c r="J25" s="339">
        <f t="shared" si="1"/>
        <v>1038626</v>
      </c>
      <c r="K25" s="339"/>
      <c r="L25" s="339"/>
      <c r="M25" s="339"/>
      <c r="N25" s="339">
        <f>320+474</f>
        <v>794</v>
      </c>
      <c r="O25" s="339"/>
      <c r="P25" s="675"/>
      <c r="Q25" s="689" t="s">
        <v>672</v>
      </c>
      <c r="R25" s="664"/>
      <c r="S25" s="664"/>
      <c r="T25" s="664"/>
      <c r="U25" s="664"/>
      <c r="V25" s="664"/>
      <c r="W25" s="285"/>
      <c r="X25" s="285"/>
      <c r="Y25" s="733"/>
      <c r="Z25" s="300"/>
      <c r="AA25" s="712" t="s">
        <v>739</v>
      </c>
      <c r="AB25" s="712"/>
      <c r="AC25" s="301" t="s">
        <v>738</v>
      </c>
      <c r="AD25" s="712" t="s">
        <v>740</v>
      </c>
      <c r="AE25" s="712"/>
      <c r="AG25" s="268"/>
      <c r="AH25" s="656"/>
      <c r="AI25" s="657"/>
      <c r="AJ25" s="232"/>
    </row>
    <row r="26" spans="1:36" ht="30.9" customHeight="1" thickTop="1" thickBot="1">
      <c r="A26" s="176">
        <v>45925</v>
      </c>
      <c r="B26" s="177" t="s">
        <v>491</v>
      </c>
      <c r="C26" s="350">
        <v>684465</v>
      </c>
      <c r="D26" s="350">
        <v>457848</v>
      </c>
      <c r="E26" s="183">
        <f t="shared" si="0"/>
        <v>226617</v>
      </c>
      <c r="F26" s="183">
        <v>-547</v>
      </c>
      <c r="G26" s="183">
        <v>0</v>
      </c>
      <c r="H26" s="184">
        <f t="shared" si="2"/>
        <v>662379</v>
      </c>
      <c r="I26" s="710"/>
      <c r="J26" s="339">
        <f t="shared" si="1"/>
        <v>444048</v>
      </c>
      <c r="K26" s="339"/>
      <c r="L26" s="339"/>
      <c r="M26" s="339"/>
      <c r="N26" s="339">
        <v>13800</v>
      </c>
      <c r="O26" s="339"/>
      <c r="P26" s="675"/>
      <c r="Q26" s="337"/>
      <c r="R26" s="665" t="s">
        <v>791</v>
      </c>
      <c r="S26" s="665"/>
      <c r="T26" s="665"/>
      <c r="U26" s="665"/>
      <c r="V26" s="665"/>
      <c r="W26" s="286"/>
      <c r="X26" s="286"/>
      <c r="Y26" s="733"/>
      <c r="Z26" s="302" t="s">
        <v>736</v>
      </c>
      <c r="AA26" s="303">
        <v>17981975</v>
      </c>
      <c r="AB26" s="305">
        <f>(AC26/AA26)-100%</f>
        <v>-0.15282386945816573</v>
      </c>
      <c r="AC26" s="304">
        <f>C34</f>
        <v>15233900</v>
      </c>
      <c r="AD26" s="303">
        <v>15855146</v>
      </c>
      <c r="AE26" s="305">
        <f>AC26/AD26-100%</f>
        <v>-3.9182609860546225E-2</v>
      </c>
      <c r="AG26" s="268"/>
      <c r="AH26" s="656"/>
      <c r="AI26" s="657"/>
      <c r="AJ26" s="232"/>
    </row>
    <row r="27" spans="1:36" ht="30.9" customHeight="1" thickTop="1" thickBot="1">
      <c r="A27" s="176">
        <v>45926</v>
      </c>
      <c r="B27" s="178" t="s">
        <v>485</v>
      </c>
      <c r="C27" s="350">
        <v>947008</v>
      </c>
      <c r="D27" s="350">
        <v>408772</v>
      </c>
      <c r="E27" s="183">
        <f t="shared" si="0"/>
        <v>538236</v>
      </c>
      <c r="F27" s="183">
        <v>-974</v>
      </c>
      <c r="G27" s="183">
        <v>0</v>
      </c>
      <c r="H27" s="184">
        <f t="shared" si="2"/>
        <v>1199641</v>
      </c>
      <c r="I27" s="710"/>
      <c r="J27" s="339">
        <f t="shared" si="1"/>
        <v>252348</v>
      </c>
      <c r="K27" s="339">
        <v>7456</v>
      </c>
      <c r="L27" s="339">
        <v>7930</v>
      </c>
      <c r="M27" s="339"/>
      <c r="N27" s="339">
        <v>2685</v>
      </c>
      <c r="O27" s="339">
        <v>138353</v>
      </c>
      <c r="P27" s="675"/>
      <c r="Q27" s="282"/>
      <c r="R27" s="665" t="s">
        <v>783</v>
      </c>
      <c r="S27" s="665"/>
      <c r="T27" s="665"/>
      <c r="U27" s="665"/>
      <c r="V27" s="665"/>
      <c r="W27" s="286"/>
      <c r="X27" s="286"/>
      <c r="Y27" s="733"/>
      <c r="Z27" s="302" t="s">
        <v>510</v>
      </c>
      <c r="AA27" s="303">
        <v>16504466</v>
      </c>
      <c r="AB27" s="305">
        <f>(AC27/AA27)-100%</f>
        <v>-0.12532159477319649</v>
      </c>
      <c r="AC27" s="304">
        <f>U8</f>
        <v>14436100</v>
      </c>
      <c r="AD27" s="303">
        <v>14902122</v>
      </c>
      <c r="AE27" s="305">
        <f>AC27/AD27-100%</f>
        <v>-3.1272190631642882E-2</v>
      </c>
      <c r="AG27" s="268"/>
      <c r="AH27" s="656"/>
      <c r="AI27" s="657"/>
      <c r="AJ27" s="232"/>
    </row>
    <row r="28" spans="1:36" ht="30.9" customHeight="1" thickTop="1" thickBot="1">
      <c r="A28" s="176">
        <v>45927</v>
      </c>
      <c r="B28" s="178" t="s">
        <v>486</v>
      </c>
      <c r="C28" s="350">
        <v>802068</v>
      </c>
      <c r="D28" s="350">
        <v>150724</v>
      </c>
      <c r="E28" s="183">
        <f t="shared" si="0"/>
        <v>651344</v>
      </c>
      <c r="F28" s="183">
        <v>-223</v>
      </c>
      <c r="G28" s="183">
        <v>0</v>
      </c>
      <c r="H28" s="184">
        <f t="shared" si="2"/>
        <v>1850762</v>
      </c>
      <c r="I28" s="710"/>
      <c r="J28" s="339">
        <f t="shared" si="1"/>
        <v>140980</v>
      </c>
      <c r="K28" s="339"/>
      <c r="L28" s="339">
        <v>9744</v>
      </c>
      <c r="M28" s="339"/>
      <c r="N28" s="339"/>
      <c r="O28" s="339"/>
      <c r="P28" s="675"/>
      <c r="Q28" s="282"/>
      <c r="R28" s="665" t="s">
        <v>784</v>
      </c>
      <c r="S28" s="665"/>
      <c r="T28" s="665"/>
      <c r="U28" s="665"/>
      <c r="V28" s="665"/>
      <c r="W28" s="286"/>
      <c r="X28" s="286"/>
      <c r="Y28" s="733"/>
      <c r="Z28" s="302" t="s">
        <v>737</v>
      </c>
      <c r="AA28" s="303">
        <v>1447048</v>
      </c>
      <c r="AB28" s="305">
        <f>(AC28/AA28)-100%</f>
        <v>-0.46650007463470455</v>
      </c>
      <c r="AC28" s="304">
        <f>R9</f>
        <v>772000</v>
      </c>
      <c r="AD28" s="303">
        <v>942192</v>
      </c>
      <c r="AE28" s="305">
        <f>AC28/AD28-100%</f>
        <v>-0.18063409581062029</v>
      </c>
      <c r="AG28" s="268"/>
      <c r="AH28" s="656"/>
      <c r="AI28" s="657"/>
      <c r="AJ28" s="232"/>
    </row>
    <row r="29" spans="1:36" ht="30.9" customHeight="1" thickTop="1" thickBot="1">
      <c r="A29" s="176">
        <v>45928</v>
      </c>
      <c r="B29" s="178" t="s">
        <v>487</v>
      </c>
      <c r="C29" s="350">
        <v>426860</v>
      </c>
      <c r="D29" s="350">
        <v>566140</v>
      </c>
      <c r="E29" s="183">
        <f t="shared" si="0"/>
        <v>-139280</v>
      </c>
      <c r="F29" s="183">
        <v>0</v>
      </c>
      <c r="G29" s="183">
        <v>0</v>
      </c>
      <c r="H29" s="184">
        <f t="shared" si="2"/>
        <v>1711482</v>
      </c>
      <c r="I29" s="710"/>
      <c r="J29" s="339">
        <f t="shared" si="1"/>
        <v>566140</v>
      </c>
      <c r="K29" s="339"/>
      <c r="L29" s="339"/>
      <c r="M29" s="339"/>
      <c r="N29" s="339"/>
      <c r="O29" s="339"/>
      <c r="P29" s="675"/>
      <c r="Q29" s="282"/>
      <c r="R29" s="665" t="s">
        <v>785</v>
      </c>
      <c r="S29" s="665"/>
      <c r="T29" s="665"/>
      <c r="U29" s="665"/>
      <c r="V29" s="665"/>
      <c r="W29" s="286"/>
      <c r="X29" s="286"/>
      <c r="Y29" s="733"/>
      <c r="Z29" s="302" t="s">
        <v>757</v>
      </c>
      <c r="AA29" s="341">
        <v>4409</v>
      </c>
      <c r="AB29" s="305">
        <f t="shared" ref="AB29:AB31" si="8">(AC29/AA29)-100%</f>
        <v>-0.14561124971648898</v>
      </c>
      <c r="AC29" s="342">
        <v>3767</v>
      </c>
      <c r="AD29" s="341">
        <v>3512</v>
      </c>
      <c r="AE29" s="305">
        <f t="shared" ref="AE29:AE31" si="9">AC29/AD29-100%</f>
        <v>7.2608200455580807E-2</v>
      </c>
      <c r="AG29" s="658" t="s">
        <v>667</v>
      </c>
      <c r="AH29" s="658"/>
      <c r="AI29" s="657"/>
      <c r="AJ29" s="232"/>
    </row>
    <row r="30" spans="1:36" ht="30.9" customHeight="1" thickTop="1" thickBot="1">
      <c r="A30" s="176">
        <v>45929</v>
      </c>
      <c r="B30" s="177" t="s">
        <v>488</v>
      </c>
      <c r="C30" s="350">
        <v>374805</v>
      </c>
      <c r="D30" s="350">
        <v>149384</v>
      </c>
      <c r="E30" s="183">
        <f>C30-D30</f>
        <v>225421</v>
      </c>
      <c r="F30" s="183">
        <v>0</v>
      </c>
      <c r="G30" s="183">
        <v>0</v>
      </c>
      <c r="H30" s="184">
        <f t="shared" si="2"/>
        <v>1936903</v>
      </c>
      <c r="I30" s="710"/>
      <c r="J30" s="339">
        <f t="shared" si="1"/>
        <v>149064</v>
      </c>
      <c r="K30" s="339"/>
      <c r="L30" s="339"/>
      <c r="M30" s="339"/>
      <c r="N30" s="339">
        <v>320</v>
      </c>
      <c r="O30" s="339"/>
      <c r="P30" s="675"/>
      <c r="Q30" s="282"/>
      <c r="R30" s="739" t="s">
        <v>787</v>
      </c>
      <c r="S30" s="740"/>
      <c r="T30" s="740"/>
      <c r="U30" s="740"/>
      <c r="V30" s="740"/>
      <c r="W30" s="349"/>
      <c r="X30" s="286"/>
      <c r="Y30" s="733"/>
      <c r="Z30" s="302" t="s">
        <v>758</v>
      </c>
      <c r="AA30" s="303">
        <v>4078.4701746427763</v>
      </c>
      <c r="AB30" s="305">
        <f t="shared" si="8"/>
        <v>-8.4418477411873916E-3</v>
      </c>
      <c r="AC30" s="304">
        <f>AC26/AC29</f>
        <v>4044.0403504114679</v>
      </c>
      <c r="AD30" s="303">
        <f>AD26/AD29</f>
        <v>4514.5632118451022</v>
      </c>
      <c r="AE30" s="305">
        <f t="shared" si="9"/>
        <v>-0.10422334107518927</v>
      </c>
      <c r="AG30" s="268"/>
      <c r="AH30" s="656"/>
      <c r="AI30" s="657"/>
      <c r="AJ30" s="232"/>
    </row>
    <row r="31" spans="1:36" ht="30.9" customHeight="1" thickTop="1" thickBot="1">
      <c r="A31" s="176">
        <v>45930</v>
      </c>
      <c r="B31" s="177" t="s">
        <v>489</v>
      </c>
      <c r="C31" s="350">
        <v>499856</v>
      </c>
      <c r="D31" s="350">
        <v>365905</v>
      </c>
      <c r="E31" s="183">
        <f t="shared" ref="E31" si="10">C31-D31</f>
        <v>133951</v>
      </c>
      <c r="F31" s="183">
        <v>-94</v>
      </c>
      <c r="G31" s="183">
        <v>0</v>
      </c>
      <c r="H31" s="184">
        <f>H30+E31+F31</f>
        <v>2070760</v>
      </c>
      <c r="I31" s="710"/>
      <c r="J31" s="339">
        <f t="shared" si="1"/>
        <v>147300</v>
      </c>
      <c r="K31" s="339"/>
      <c r="L31" s="339"/>
      <c r="M31" s="339"/>
      <c r="N31" s="339"/>
      <c r="O31" s="339">
        <f>26055+192550</f>
        <v>218605</v>
      </c>
      <c r="P31" s="675"/>
      <c r="Q31" s="282"/>
      <c r="R31" s="665" t="s">
        <v>789</v>
      </c>
      <c r="S31" s="665"/>
      <c r="T31" s="665"/>
      <c r="U31" s="665"/>
      <c r="V31" s="665"/>
      <c r="W31" s="286"/>
      <c r="X31" s="286"/>
      <c r="Y31" s="733"/>
      <c r="Z31" s="302" t="s">
        <v>756</v>
      </c>
      <c r="AA31" s="303">
        <v>580063.70967741939</v>
      </c>
      <c r="AB31" s="305">
        <f t="shared" si="8"/>
        <v>-0.15282386945816584</v>
      </c>
      <c r="AC31" s="304">
        <f>AC26/31</f>
        <v>491416.12903225806</v>
      </c>
      <c r="AD31" s="303">
        <f>AD26/31</f>
        <v>511456.32258064515</v>
      </c>
      <c r="AE31" s="305">
        <f t="shared" si="9"/>
        <v>-3.9182609860546225E-2</v>
      </c>
      <c r="AG31" s="269"/>
      <c r="AH31" s="659"/>
      <c r="AI31" s="660"/>
      <c r="AJ31" s="232"/>
    </row>
    <row r="32" spans="1:36" ht="30.9" customHeight="1" thickTop="1" thickBot="1">
      <c r="A32" s="176"/>
      <c r="B32" s="178"/>
      <c r="C32" s="183"/>
      <c r="D32" s="183"/>
      <c r="E32" s="183"/>
      <c r="F32" s="183"/>
      <c r="G32" s="183">
        <v>0</v>
      </c>
      <c r="H32" s="184">
        <f t="shared" si="2"/>
        <v>2070760</v>
      </c>
      <c r="I32" s="710"/>
      <c r="J32" s="339">
        <f t="shared" si="1"/>
        <v>0</v>
      </c>
      <c r="K32" s="339"/>
      <c r="L32" s="339"/>
      <c r="M32" s="339"/>
      <c r="N32" s="339"/>
      <c r="O32" s="339"/>
      <c r="P32" s="675"/>
      <c r="Q32" s="348" t="s">
        <v>778</v>
      </c>
      <c r="R32" s="665" t="s">
        <v>790</v>
      </c>
      <c r="S32" s="665"/>
      <c r="T32" s="665"/>
      <c r="U32" s="665"/>
      <c r="V32" s="665"/>
      <c r="W32" s="286"/>
      <c r="X32" s="286"/>
      <c r="Y32" s="733"/>
      <c r="AG32" s="269"/>
      <c r="AH32" s="659"/>
      <c r="AI32" s="660"/>
      <c r="AJ32" s="232"/>
    </row>
    <row r="33" spans="1:38" ht="30.9" customHeight="1" thickTop="1">
      <c r="A33" s="264"/>
      <c r="B33" s="265"/>
      <c r="C33" s="183"/>
      <c r="D33" s="293">
        <v>100000</v>
      </c>
      <c r="E33" s="293">
        <f t="shared" si="0"/>
        <v>-100000</v>
      </c>
      <c r="F33" s="183"/>
      <c r="G33" s="183">
        <v>0</v>
      </c>
      <c r="H33" s="184">
        <f t="shared" si="2"/>
        <v>1970760</v>
      </c>
      <c r="I33" s="710"/>
      <c r="J33" s="339">
        <f t="shared" si="1"/>
        <v>0</v>
      </c>
      <c r="K33" s="339"/>
      <c r="L33" s="339"/>
      <c r="M33" s="339"/>
      <c r="N33" s="339">
        <v>100000</v>
      </c>
      <c r="O33" s="339"/>
      <c r="P33" s="675"/>
      <c r="Q33" s="348" t="s">
        <v>775</v>
      </c>
      <c r="R33" s="665" t="s">
        <v>776</v>
      </c>
      <c r="S33" s="665"/>
      <c r="T33" s="665"/>
      <c r="U33" s="665"/>
      <c r="V33" s="665"/>
      <c r="W33" s="286"/>
      <c r="X33" s="286"/>
      <c r="Y33" s="733"/>
      <c r="AH33" s="81"/>
      <c r="AI33" s="81"/>
    </row>
    <row r="34" spans="1:38" ht="45" customHeight="1">
      <c r="A34" s="672" t="s">
        <v>247</v>
      </c>
      <c r="B34" s="673"/>
      <c r="C34" s="292">
        <f>SUM(C2:C33)</f>
        <v>15233900</v>
      </c>
      <c r="D34" s="292">
        <f>SUM(D2:D33)</f>
        <v>13258659</v>
      </c>
      <c r="E34" s="292">
        <f>SUM(E2:E33)</f>
        <v>1975241</v>
      </c>
      <c r="F34" s="292">
        <f>SUM(F2:F33)</f>
        <v>-4481</v>
      </c>
      <c r="G34" s="292">
        <f>SUM(G2:G33)</f>
        <v>0</v>
      </c>
      <c r="H34" s="292">
        <f>C34-D34+G34</f>
        <v>1975241</v>
      </c>
      <c r="I34" s="710"/>
      <c r="J34" s="340">
        <f>SUM(J2:J33)</f>
        <v>12354528</v>
      </c>
      <c r="K34" s="340">
        <f t="shared" ref="K34:O34" si="11">SUM(K2:K33)</f>
        <v>80228</v>
      </c>
      <c r="L34" s="340">
        <f t="shared" si="11"/>
        <v>60506</v>
      </c>
      <c r="M34" s="340">
        <f t="shared" si="11"/>
        <v>5252</v>
      </c>
      <c r="N34" s="340">
        <f t="shared" si="11"/>
        <v>201187</v>
      </c>
      <c r="O34" s="340">
        <f t="shared" si="11"/>
        <v>556958</v>
      </c>
      <c r="P34" s="675"/>
      <c r="Y34" s="733"/>
      <c r="AG34" s="674"/>
      <c r="AH34" s="674"/>
      <c r="AI34" s="674"/>
      <c r="AJ34" s="674"/>
      <c r="AK34" s="674"/>
      <c r="AL34" s="674"/>
    </row>
    <row r="35" spans="1:38">
      <c r="A35" s="69"/>
    </row>
    <row r="36" spans="1:38">
      <c r="A36" s="69"/>
    </row>
    <row r="37" spans="1:38">
      <c r="A37" s="69"/>
    </row>
    <row r="38" spans="1:38">
      <c r="A38" s="69"/>
    </row>
    <row r="39" spans="1:38">
      <c r="A39" s="69"/>
    </row>
    <row r="40" spans="1:38" ht="21" customHeight="1">
      <c r="A40" s="69"/>
    </row>
    <row r="41" spans="1:38" ht="23.1" customHeight="1">
      <c r="A41" s="69"/>
    </row>
    <row r="42" spans="1:38">
      <c r="A42" s="69"/>
    </row>
    <row r="43" spans="1:38" ht="29.1" customHeight="1">
      <c r="A43" s="69"/>
    </row>
    <row r="44" spans="1:38" ht="15" customHeight="1">
      <c r="A44" s="69"/>
    </row>
    <row r="45" spans="1:38">
      <c r="A45" s="69"/>
    </row>
    <row r="46" spans="1:38">
      <c r="A46" s="69"/>
    </row>
    <row r="47" spans="1:38">
      <c r="A47" s="69"/>
    </row>
    <row r="48" spans="1:38">
      <c r="A48" s="69"/>
    </row>
    <row r="49" spans="1:1">
      <c r="A49" s="69"/>
    </row>
    <row r="50" spans="1:1">
      <c r="A50" s="69"/>
    </row>
    <row r="51" spans="1:1" ht="18.899999999999999" customHeight="1">
      <c r="A51" s="69"/>
    </row>
  </sheetData>
  <mergeCells count="75">
    <mergeCell ref="A1:B1"/>
    <mergeCell ref="I1:I34"/>
    <mergeCell ref="P1:P34"/>
    <mergeCell ref="Q1:X1"/>
    <mergeCell ref="Y1:Y34"/>
    <mergeCell ref="Q4:R5"/>
    <mergeCell ref="R9:X9"/>
    <mergeCell ref="Q10:X10"/>
    <mergeCell ref="Q11:X11"/>
    <mergeCell ref="U8:X8"/>
    <mergeCell ref="Q3:R3"/>
    <mergeCell ref="V3:X3"/>
    <mergeCell ref="U7:X7"/>
    <mergeCell ref="V18:X18"/>
    <mergeCell ref="Q16:S16"/>
    <mergeCell ref="T16:X16"/>
    <mergeCell ref="Z3:AB3"/>
    <mergeCell ref="AC3:AE3"/>
    <mergeCell ref="Z1:AE1"/>
    <mergeCell ref="AG5:AJ5"/>
    <mergeCell ref="Q6:X6"/>
    <mergeCell ref="AG6:AH6"/>
    <mergeCell ref="AI6:AJ6"/>
    <mergeCell ref="AG1:AJ1"/>
    <mergeCell ref="Q2:X2"/>
    <mergeCell ref="Z2:AB2"/>
    <mergeCell ref="AD2:AE2"/>
    <mergeCell ref="AG2:AJ2"/>
    <mergeCell ref="Z15:AB15"/>
    <mergeCell ref="AC15:AE15"/>
    <mergeCell ref="AG15:AG16"/>
    <mergeCell ref="AH15:AI15"/>
    <mergeCell ref="AH16:AI16"/>
    <mergeCell ref="AG11:AJ11"/>
    <mergeCell ref="AG12:AI12"/>
    <mergeCell ref="AG13:AH14"/>
    <mergeCell ref="Z14:AB14"/>
    <mergeCell ref="AD14:AE14"/>
    <mergeCell ref="Q17:V17"/>
    <mergeCell ref="AH17:AI17"/>
    <mergeCell ref="V22:X22"/>
    <mergeCell ref="Z22:AC23"/>
    <mergeCell ref="AD22:AE23"/>
    <mergeCell ref="AG22:AJ22"/>
    <mergeCell ref="V23:X23"/>
    <mergeCell ref="V19:X19"/>
    <mergeCell ref="AG19:AI19"/>
    <mergeCell ref="AG20:AI20"/>
    <mergeCell ref="Q21:X21"/>
    <mergeCell ref="AG21:AI21"/>
    <mergeCell ref="AG23:AJ23"/>
    <mergeCell ref="AG18:AI18"/>
    <mergeCell ref="Z24:AE24"/>
    <mergeCell ref="AG24:AI24"/>
    <mergeCell ref="Q25:V25"/>
    <mergeCell ref="AA25:AB25"/>
    <mergeCell ref="AD25:AE25"/>
    <mergeCell ref="AH25:AI25"/>
    <mergeCell ref="R26:V26"/>
    <mergeCell ref="AH26:AI26"/>
    <mergeCell ref="R27:V27"/>
    <mergeCell ref="AH27:AI27"/>
    <mergeCell ref="R28:V28"/>
    <mergeCell ref="AH28:AI28"/>
    <mergeCell ref="R29:V29"/>
    <mergeCell ref="AG29:AI29"/>
    <mergeCell ref="R30:V30"/>
    <mergeCell ref="AH30:AI30"/>
    <mergeCell ref="R31:V31"/>
    <mergeCell ref="AH31:AI31"/>
    <mergeCell ref="R32:V32"/>
    <mergeCell ref="AH32:AI32"/>
    <mergeCell ref="R33:V33"/>
    <mergeCell ref="A34:B34"/>
    <mergeCell ref="AG34:AL34"/>
  </mergeCells>
  <conditionalFormatting sqref="K2:O32 N33">
    <cfRule type="cellIs" dxfId="82" priority="2" operator="greaterThan">
      <formula>0</formula>
    </cfRule>
    <cfRule type="cellIs" dxfId="81" priority="3" operator="equal">
      <formula>0</formula>
    </cfRule>
    <cfRule type="cellIs" dxfId="80" priority="4" operator="equal">
      <formula>"¥11.055"</formula>
    </cfRule>
    <cfRule type="cellIs" dxfId="79" priority="5" operator="equal">
      <formula>0</formula>
    </cfRule>
  </conditionalFormatting>
  <conditionalFormatting sqref="AJ12:AJ18">
    <cfRule type="cellIs" dxfId="78" priority="1" operator="greaterThan">
      <formula>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E2BBF-0873-42E2-BE3F-5C3BA3A5E88E}">
  <dimension ref="A1:AL51"/>
  <sheetViews>
    <sheetView zoomScaleNormal="100" workbookViewId="0">
      <pane ySplit="1" topLeftCell="A29" activePane="bottomLeft" state="frozen"/>
      <selection pane="bottomLeft" activeCell="E9" sqref="E9"/>
    </sheetView>
  </sheetViews>
  <sheetFormatPr defaultColWidth="10.6328125" defaultRowHeight="18"/>
  <cols>
    <col min="1" max="1" width="5.90625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6.81640625" style="69" customWidth="1"/>
    <col min="7" max="7" width="4.54296875" style="69" customWidth="1"/>
    <col min="8" max="8" width="12.453125" style="69" customWidth="1"/>
    <col min="9" max="9" width="4.1796875" style="69" customWidth="1"/>
    <col min="10" max="15" width="11.90625" style="69" customWidth="1"/>
    <col min="16" max="16" width="3" style="69" customWidth="1"/>
    <col min="17" max="24" width="8.81640625" style="69" customWidth="1"/>
    <col min="25" max="25" width="4.54296875" style="69" customWidth="1"/>
    <col min="26" max="26" width="13.1796875" style="69" customWidth="1"/>
    <col min="27" max="27" width="13.1796875" style="296" customWidth="1"/>
    <col min="28" max="28" width="5.81640625" style="297" customWidth="1"/>
    <col min="29" max="29" width="13.1796875" style="69" customWidth="1"/>
    <col min="30" max="30" width="13.81640625" style="296" customWidth="1"/>
    <col min="31" max="31" width="4.90625" style="297" customWidth="1"/>
    <col min="32" max="32" width="10.81640625" style="296" customWidth="1"/>
    <col min="33" max="34" width="7" style="69" customWidth="1"/>
    <col min="35" max="35" width="11.453125" style="69" customWidth="1"/>
    <col min="36" max="36" width="21" style="69" customWidth="1"/>
    <col min="37" max="16384" width="10.6328125" style="69"/>
  </cols>
  <sheetData>
    <row r="1" spans="1:36" ht="38.25" customHeight="1" thickTop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133" t="s">
        <v>463</v>
      </c>
      <c r="H1" s="220" t="s">
        <v>464</v>
      </c>
      <c r="I1" s="710"/>
      <c r="J1" s="338" t="s">
        <v>705</v>
      </c>
      <c r="K1" s="338" t="s">
        <v>741</v>
      </c>
      <c r="L1" s="338" t="s">
        <v>707</v>
      </c>
      <c r="M1" s="338" t="s">
        <v>708</v>
      </c>
      <c r="N1" s="338" t="s">
        <v>710</v>
      </c>
      <c r="O1" s="338" t="s">
        <v>742</v>
      </c>
      <c r="P1" s="675"/>
      <c r="Q1" s="723" t="s">
        <v>792</v>
      </c>
      <c r="R1" s="723"/>
      <c r="S1" s="723"/>
      <c r="T1" s="723"/>
      <c r="U1" s="723"/>
      <c r="V1" s="723"/>
      <c r="W1" s="723"/>
      <c r="X1" s="723"/>
      <c r="Y1" s="733"/>
      <c r="Z1" s="676" t="s">
        <v>718</v>
      </c>
      <c r="AA1" s="677"/>
      <c r="AB1" s="677"/>
      <c r="AC1" s="677"/>
      <c r="AD1" s="677"/>
      <c r="AE1" s="678"/>
      <c r="AF1" s="281"/>
      <c r="AG1" s="631" t="s">
        <v>642</v>
      </c>
      <c r="AH1" s="632"/>
      <c r="AI1" s="632"/>
      <c r="AJ1" s="632"/>
    </row>
    <row r="2" spans="1:36" ht="30.9" customHeight="1" thickTop="1" thickBot="1">
      <c r="A2" s="176">
        <v>45931</v>
      </c>
      <c r="B2" s="177" t="s">
        <v>490</v>
      </c>
      <c r="C2" s="183">
        <v>401246</v>
      </c>
      <c r="D2" s="183">
        <v>679006</v>
      </c>
      <c r="E2" s="183">
        <f>C2-D2</f>
        <v>-277760</v>
      </c>
      <c r="F2" s="183">
        <v>0</v>
      </c>
      <c r="G2" s="183">
        <v>0</v>
      </c>
      <c r="H2" s="221">
        <f>E2+F2</f>
        <v>-277760</v>
      </c>
      <c r="I2" s="710"/>
      <c r="J2" s="339">
        <f>D2-SUM(K2:O2)</f>
        <v>655364</v>
      </c>
      <c r="K2" s="339">
        <v>8500</v>
      </c>
      <c r="L2" s="339">
        <v>9642</v>
      </c>
      <c r="M2" s="339"/>
      <c r="N2" s="339"/>
      <c r="O2" s="339">
        <v>5500</v>
      </c>
      <c r="P2" s="675"/>
      <c r="Q2" s="709" t="s">
        <v>249</v>
      </c>
      <c r="R2" s="709"/>
      <c r="S2" s="709"/>
      <c r="T2" s="709"/>
      <c r="U2" s="709"/>
      <c r="V2" s="709"/>
      <c r="W2" s="709"/>
      <c r="X2" s="709"/>
      <c r="Y2" s="733"/>
      <c r="Z2" s="734" t="s">
        <v>711</v>
      </c>
      <c r="AA2" s="725"/>
      <c r="AB2" s="726"/>
      <c r="AC2" s="346">
        <f>AD13+AA13</f>
        <v>15192831</v>
      </c>
      <c r="AD2" s="681">
        <f>AB13+AE13</f>
        <v>0.97915995996181793</v>
      </c>
      <c r="AE2" s="682"/>
      <c r="AF2" s="81"/>
      <c r="AG2" s="627" t="s">
        <v>638</v>
      </c>
      <c r="AH2" s="628"/>
      <c r="AI2" s="628"/>
      <c r="AJ2" s="628"/>
    </row>
    <row r="3" spans="1:36" ht="30.9" customHeight="1" thickTop="1" thickBot="1">
      <c r="A3" s="176">
        <v>45932</v>
      </c>
      <c r="B3" s="177" t="s">
        <v>491</v>
      </c>
      <c r="C3" s="183">
        <v>349681</v>
      </c>
      <c r="D3" s="183">
        <v>458873</v>
      </c>
      <c r="E3" s="183">
        <f t="shared" ref="E3:E33" si="0">C3-D3</f>
        <v>-109192</v>
      </c>
      <c r="F3" s="183">
        <v>-223</v>
      </c>
      <c r="G3" s="183">
        <v>0</v>
      </c>
      <c r="H3" s="221">
        <f>H2+E3+F3</f>
        <v>-387175</v>
      </c>
      <c r="I3" s="710"/>
      <c r="J3" s="339">
        <f t="shared" ref="J3:J33" si="1">D3-SUM(K3:O3)</f>
        <v>436731</v>
      </c>
      <c r="K3" s="339"/>
      <c r="L3" s="339"/>
      <c r="M3" s="339"/>
      <c r="N3" s="339">
        <f>300+320+1831+9680+10011</f>
        <v>22142</v>
      </c>
      <c r="O3" s="339"/>
      <c r="P3" s="675"/>
      <c r="Q3" s="725" t="s">
        <v>769</v>
      </c>
      <c r="R3" s="726"/>
      <c r="S3" s="222" t="s">
        <v>251</v>
      </c>
      <c r="T3" s="222" t="s">
        <v>252</v>
      </c>
      <c r="U3" s="222" t="s">
        <v>449</v>
      </c>
      <c r="V3" s="659" t="s">
        <v>773</v>
      </c>
      <c r="W3" s="724"/>
      <c r="X3" s="724"/>
      <c r="Y3" s="733"/>
      <c r="Z3" s="713" t="s">
        <v>713</v>
      </c>
      <c r="AA3" s="714"/>
      <c r="AB3" s="714"/>
      <c r="AC3" s="715" t="s">
        <v>712</v>
      </c>
      <c r="AD3" s="715"/>
      <c r="AE3" s="716"/>
      <c r="AF3" s="81"/>
      <c r="AG3" s="246"/>
      <c r="AH3" s="247"/>
      <c r="AI3" s="247"/>
      <c r="AJ3" s="247"/>
    </row>
    <row r="4" spans="1:36" ht="30.9" customHeight="1" thickTop="1" thickBot="1">
      <c r="A4" s="176">
        <v>45933</v>
      </c>
      <c r="B4" s="178" t="s">
        <v>485</v>
      </c>
      <c r="C4" s="183">
        <v>788160</v>
      </c>
      <c r="D4" s="183">
        <v>662729</v>
      </c>
      <c r="E4" s="183">
        <f t="shared" si="0"/>
        <v>125431</v>
      </c>
      <c r="F4" s="183">
        <v>0</v>
      </c>
      <c r="G4" s="183">
        <v>0</v>
      </c>
      <c r="H4" s="221">
        <f t="shared" ref="H4:H33" si="2">H3+E4+F4</f>
        <v>-261744</v>
      </c>
      <c r="I4" s="710"/>
      <c r="J4" s="339">
        <f t="shared" si="1"/>
        <v>662729</v>
      </c>
      <c r="K4" s="339"/>
      <c r="L4" s="339"/>
      <c r="M4" s="339"/>
      <c r="N4" s="339"/>
      <c r="O4" s="339"/>
      <c r="P4" s="675"/>
      <c r="Q4" s="727">
        <f>C34</f>
        <v>15516189</v>
      </c>
      <c r="R4" s="728"/>
      <c r="S4" s="224">
        <v>0</v>
      </c>
      <c r="T4" s="224">
        <v>0</v>
      </c>
      <c r="U4" s="224">
        <f>-F34</f>
        <v>2218</v>
      </c>
      <c r="V4" s="224">
        <v>36026</v>
      </c>
      <c r="W4" s="306"/>
      <c r="X4" s="306"/>
      <c r="Y4" s="733"/>
      <c r="Z4" s="319" t="s">
        <v>714</v>
      </c>
      <c r="AA4" s="243">
        <v>192550</v>
      </c>
      <c r="AB4" s="312">
        <f>AA4/$Q$4</f>
        <v>1.2409619398165362E-2</v>
      </c>
      <c r="AC4" s="328" t="s">
        <v>719</v>
      </c>
      <c r="AD4" s="243">
        <f>R8</f>
        <v>949050</v>
      </c>
      <c r="AE4" s="313">
        <f>AD4/$Q$4</f>
        <v>6.1165148220352301E-2</v>
      </c>
      <c r="AG4" s="249"/>
      <c r="AH4" s="250"/>
      <c r="AI4" s="250"/>
      <c r="AJ4" s="250"/>
    </row>
    <row r="5" spans="1:36" ht="30.9" customHeight="1" thickTop="1" thickBot="1">
      <c r="A5" s="176">
        <v>45934</v>
      </c>
      <c r="B5" s="178" t="s">
        <v>486</v>
      </c>
      <c r="C5" s="183">
        <v>817774</v>
      </c>
      <c r="D5" s="183">
        <v>503883</v>
      </c>
      <c r="E5" s="183">
        <f t="shared" si="0"/>
        <v>313891</v>
      </c>
      <c r="F5" s="183">
        <v>0</v>
      </c>
      <c r="G5" s="183">
        <v>0</v>
      </c>
      <c r="H5" s="221">
        <f t="shared" si="2"/>
        <v>52147</v>
      </c>
      <c r="I5" s="710"/>
      <c r="J5" s="339">
        <f t="shared" si="1"/>
        <v>276294</v>
      </c>
      <c r="K5" s="339">
        <v>7764</v>
      </c>
      <c r="L5" s="339">
        <v>9273</v>
      </c>
      <c r="M5" s="339">
        <v>8222</v>
      </c>
      <c r="N5" s="339">
        <f>320+2010</f>
        <v>2330</v>
      </c>
      <c r="O5" s="339">
        <v>200000</v>
      </c>
      <c r="P5" s="675"/>
      <c r="Q5" s="729"/>
      <c r="R5" s="730"/>
      <c r="S5" s="225">
        <f>S4/Q4</f>
        <v>0</v>
      </c>
      <c r="T5" s="225">
        <f>T4/Q4</f>
        <v>0</v>
      </c>
      <c r="U5" s="226">
        <f>U4/Q4</f>
        <v>1.4294747247536107E-4</v>
      </c>
      <c r="V5" s="226">
        <f>V4/Q4</f>
        <v>2.3218330222711261E-3</v>
      </c>
      <c r="W5" s="307"/>
      <c r="X5" s="307"/>
      <c r="Y5" s="733"/>
      <c r="Z5" s="319" t="s">
        <v>715</v>
      </c>
      <c r="AA5" s="243">
        <v>26055</v>
      </c>
      <c r="AB5" s="312">
        <f t="shared" ref="AB5:AB12" si="3">AA5/$Q$4</f>
        <v>1.6792138842856323E-3</v>
      </c>
      <c r="AC5" s="328" t="s">
        <v>720</v>
      </c>
      <c r="AD5" s="243">
        <f>SUM(Q14:X14)</f>
        <v>12000</v>
      </c>
      <c r="AE5" s="313">
        <f t="shared" ref="AE5:AE12" si="4">AD5/$Q$4</f>
        <v>7.7338578435722839E-4</v>
      </c>
      <c r="AG5" s="654" t="s">
        <v>639</v>
      </c>
      <c r="AH5" s="655"/>
      <c r="AI5" s="655"/>
      <c r="AJ5" s="655"/>
    </row>
    <row r="6" spans="1:36" ht="30.9" customHeight="1" thickTop="1" thickBot="1">
      <c r="A6" s="176">
        <v>45935</v>
      </c>
      <c r="B6" s="178" t="s">
        <v>487</v>
      </c>
      <c r="C6" s="183">
        <v>435985</v>
      </c>
      <c r="D6" s="183">
        <v>180706</v>
      </c>
      <c r="E6" s="183">
        <f t="shared" si="0"/>
        <v>255279</v>
      </c>
      <c r="F6" s="183">
        <v>-172</v>
      </c>
      <c r="G6" s="183">
        <v>0</v>
      </c>
      <c r="H6" s="221">
        <f t="shared" si="2"/>
        <v>307254</v>
      </c>
      <c r="I6" s="710"/>
      <c r="J6" s="339">
        <f t="shared" si="1"/>
        <v>180706</v>
      </c>
      <c r="K6" s="339"/>
      <c r="L6" s="339"/>
      <c r="M6" s="339"/>
      <c r="N6" s="339"/>
      <c r="O6" s="339"/>
      <c r="P6" s="675"/>
      <c r="Q6" s="702" t="s">
        <v>250</v>
      </c>
      <c r="R6" s="702"/>
      <c r="S6" s="702"/>
      <c r="T6" s="702"/>
      <c r="U6" s="702"/>
      <c r="V6" s="702"/>
      <c r="W6" s="702"/>
      <c r="X6" s="702"/>
      <c r="Y6" s="733"/>
      <c r="Z6" s="319" t="s">
        <v>716</v>
      </c>
      <c r="AA6" s="243">
        <v>6080</v>
      </c>
      <c r="AB6" s="312">
        <f t="shared" si="3"/>
        <v>3.918487974076624E-4</v>
      </c>
      <c r="AC6" s="328" t="s">
        <v>721</v>
      </c>
      <c r="AD6" s="243">
        <v>138353</v>
      </c>
      <c r="AE6" s="313">
        <f t="shared" si="4"/>
        <v>8.9166869519313029E-3</v>
      </c>
      <c r="AG6" s="630" t="s">
        <v>231</v>
      </c>
      <c r="AH6" s="630"/>
      <c r="AI6" s="490"/>
      <c r="AJ6" s="490"/>
    </row>
    <row r="7" spans="1:36" ht="30.9" customHeight="1" thickTop="1" thickBot="1">
      <c r="A7" s="176">
        <v>45936</v>
      </c>
      <c r="B7" s="177" t="s">
        <v>488</v>
      </c>
      <c r="C7" s="183">
        <v>321421</v>
      </c>
      <c r="D7" s="183">
        <v>232149</v>
      </c>
      <c r="E7" s="183">
        <f t="shared" si="0"/>
        <v>89272</v>
      </c>
      <c r="F7" s="183">
        <v>0</v>
      </c>
      <c r="G7" s="183">
        <v>0</v>
      </c>
      <c r="H7" s="221">
        <f t="shared" si="2"/>
        <v>396526</v>
      </c>
      <c r="I7" s="710"/>
      <c r="J7" s="339">
        <f t="shared" si="1"/>
        <v>195070</v>
      </c>
      <c r="K7" s="339"/>
      <c r="L7" s="339"/>
      <c r="M7" s="339"/>
      <c r="N7" s="339">
        <f>21800+15279</f>
        <v>37079</v>
      </c>
      <c r="O7" s="339"/>
      <c r="P7" s="675"/>
      <c r="Q7" s="329" t="s">
        <v>705</v>
      </c>
      <c r="R7" s="290" t="s">
        <v>253</v>
      </c>
      <c r="S7" s="288" t="s">
        <v>624</v>
      </c>
      <c r="T7" s="222"/>
      <c r="U7" s="703" t="s">
        <v>247</v>
      </c>
      <c r="V7" s="704"/>
      <c r="W7" s="704"/>
      <c r="X7" s="704"/>
      <c r="Y7" s="733"/>
      <c r="Z7" s="319" t="s">
        <v>717</v>
      </c>
      <c r="AA7" s="243">
        <f>T19</f>
        <v>46990</v>
      </c>
      <c r="AB7" s="312">
        <f t="shared" si="3"/>
        <v>3.0284498339121805E-3</v>
      </c>
      <c r="AC7" s="328" t="s">
        <v>722</v>
      </c>
      <c r="AD7" s="243">
        <v>3396</v>
      </c>
      <c r="AE7" s="313">
        <f t="shared" si="4"/>
        <v>2.1886817697309565E-4</v>
      </c>
      <c r="AG7" s="242" t="s">
        <v>640</v>
      </c>
      <c r="AH7" s="243">
        <v>300000</v>
      </c>
    </row>
    <row r="8" spans="1:36" ht="30.9" customHeight="1" thickTop="1" thickBot="1">
      <c r="A8" s="176">
        <v>45937</v>
      </c>
      <c r="B8" s="177" t="s">
        <v>489</v>
      </c>
      <c r="C8" s="183">
        <v>328556</v>
      </c>
      <c r="D8" s="183">
        <v>344522</v>
      </c>
      <c r="E8" s="183">
        <f t="shared" si="0"/>
        <v>-15966</v>
      </c>
      <c r="F8" s="183">
        <v>0</v>
      </c>
      <c r="G8" s="183">
        <v>0</v>
      </c>
      <c r="H8" s="221">
        <f t="shared" si="2"/>
        <v>380560</v>
      </c>
      <c r="I8" s="710"/>
      <c r="J8" s="339">
        <f t="shared" si="1"/>
        <v>335262</v>
      </c>
      <c r="K8" s="339">
        <f>1000+8260</f>
        <v>9260</v>
      </c>
      <c r="L8" s="339"/>
      <c r="M8" s="339"/>
      <c r="N8" s="339"/>
      <c r="O8" s="339"/>
      <c r="P8" s="675"/>
      <c r="Q8" s="330">
        <f>D34</f>
        <v>14057512</v>
      </c>
      <c r="R8" s="291">
        <f>T16</f>
        <v>949050</v>
      </c>
      <c r="S8" s="289">
        <f>V19</f>
        <v>135281</v>
      </c>
      <c r="T8" s="229"/>
      <c r="U8" s="705">
        <f>SUM(Q8:T8)</f>
        <v>15141843</v>
      </c>
      <c r="V8" s="706"/>
      <c r="W8" s="706"/>
      <c r="X8" s="706"/>
      <c r="Y8" s="733"/>
      <c r="Z8" s="319" t="s">
        <v>723</v>
      </c>
      <c r="AA8" s="243">
        <v>5500</v>
      </c>
      <c r="AB8" s="312">
        <f t="shared" si="3"/>
        <v>3.5446848449706306E-4</v>
      </c>
      <c r="AC8" s="328" t="s">
        <v>708</v>
      </c>
      <c r="AD8" s="243">
        <f>M34</f>
        <v>17456</v>
      </c>
      <c r="AE8" s="313">
        <f t="shared" si="4"/>
        <v>1.1250185209783149E-3</v>
      </c>
      <c r="AG8" s="242" t="s">
        <v>641</v>
      </c>
      <c r="AH8" s="243">
        <v>55000</v>
      </c>
    </row>
    <row r="9" spans="1:36" ht="30.9" customHeight="1" thickTop="1" thickBot="1">
      <c r="A9" s="176">
        <v>45938</v>
      </c>
      <c r="B9" s="177" t="s">
        <v>490</v>
      </c>
      <c r="C9" s="183">
        <v>0</v>
      </c>
      <c r="D9" s="183">
        <v>811094</v>
      </c>
      <c r="E9" s="183">
        <f t="shared" si="0"/>
        <v>-811094</v>
      </c>
      <c r="F9" s="183">
        <v>0</v>
      </c>
      <c r="G9" s="183">
        <v>0</v>
      </c>
      <c r="H9" s="221">
        <f t="shared" si="2"/>
        <v>-430534</v>
      </c>
      <c r="I9" s="710"/>
      <c r="J9" s="339">
        <f t="shared" si="1"/>
        <v>697094</v>
      </c>
      <c r="K9" s="339"/>
      <c r="L9" s="339"/>
      <c r="M9" s="339"/>
      <c r="N9" s="339">
        <v>114000</v>
      </c>
      <c r="O9" s="339"/>
      <c r="P9" s="675"/>
      <c r="Q9" s="331" t="s">
        <v>266</v>
      </c>
      <c r="R9" s="731">
        <f>Q4-U8-V4-U4</f>
        <v>336102</v>
      </c>
      <c r="S9" s="732"/>
      <c r="T9" s="732"/>
      <c r="U9" s="732"/>
      <c r="V9" s="732"/>
      <c r="W9" s="732"/>
      <c r="X9" s="732"/>
      <c r="Y9" s="733"/>
      <c r="Z9" s="319" t="s">
        <v>724</v>
      </c>
      <c r="AA9" s="243">
        <v>0</v>
      </c>
      <c r="AB9" s="312">
        <f t="shared" si="3"/>
        <v>0</v>
      </c>
      <c r="AC9" s="328" t="s">
        <v>707</v>
      </c>
      <c r="AD9" s="243">
        <f>L34</f>
        <v>47179</v>
      </c>
      <c r="AE9" s="313">
        <f t="shared" si="4"/>
        <v>3.0406306600158067E-3</v>
      </c>
      <c r="AG9" s="241" t="s">
        <v>495</v>
      </c>
      <c r="AH9" s="243">
        <v>35000</v>
      </c>
    </row>
    <row r="10" spans="1:36" ht="30.9" customHeight="1" thickTop="1" thickBot="1">
      <c r="A10" s="176">
        <v>45939</v>
      </c>
      <c r="B10" s="177" t="s">
        <v>491</v>
      </c>
      <c r="C10" s="183">
        <v>657210</v>
      </c>
      <c r="D10" s="183">
        <v>414906</v>
      </c>
      <c r="E10" s="183">
        <f t="shared" si="0"/>
        <v>242304</v>
      </c>
      <c r="F10" s="183">
        <v>-241</v>
      </c>
      <c r="G10" s="183">
        <v>0</v>
      </c>
      <c r="H10" s="221">
        <f t="shared" si="2"/>
        <v>-188471</v>
      </c>
      <c r="I10" s="710"/>
      <c r="J10" s="339">
        <f t="shared" si="1"/>
        <v>411601</v>
      </c>
      <c r="K10" s="339"/>
      <c r="L10" s="339"/>
      <c r="M10" s="339"/>
      <c r="N10" s="339">
        <f>300+320+2685</f>
        <v>3305</v>
      </c>
      <c r="O10" s="339"/>
      <c r="P10" s="675"/>
      <c r="Q10" s="708" t="s">
        <v>257</v>
      </c>
      <c r="R10" s="708"/>
      <c r="S10" s="708"/>
      <c r="T10" s="708"/>
      <c r="U10" s="708"/>
      <c r="V10" s="708"/>
      <c r="W10" s="708"/>
      <c r="X10" s="708"/>
      <c r="Y10" s="733"/>
      <c r="Z10" s="319" t="s">
        <v>743</v>
      </c>
      <c r="AA10" s="243">
        <v>0</v>
      </c>
      <c r="AB10" s="312">
        <f t="shared" si="3"/>
        <v>0</v>
      </c>
      <c r="AC10" s="328" t="s">
        <v>706</v>
      </c>
      <c r="AD10" s="243">
        <f>K34</f>
        <v>84160</v>
      </c>
      <c r="AE10" s="313">
        <f t="shared" si="4"/>
        <v>5.4240123009586952E-3</v>
      </c>
      <c r="AG10" s="244" t="s">
        <v>73</v>
      </c>
      <c r="AH10" s="245">
        <f>SUM(AH7:AH9)</f>
        <v>390000</v>
      </c>
      <c r="AI10" s="252"/>
      <c r="AJ10" s="252"/>
    </row>
    <row r="11" spans="1:36" ht="30.9" customHeight="1" thickTop="1" thickBot="1">
      <c r="A11" s="176">
        <v>45940</v>
      </c>
      <c r="B11" s="178" t="s">
        <v>485</v>
      </c>
      <c r="C11" s="183">
        <v>822080</v>
      </c>
      <c r="D11" s="183">
        <v>606224</v>
      </c>
      <c r="E11" s="183">
        <f t="shared" si="0"/>
        <v>215856</v>
      </c>
      <c r="F11" s="183">
        <v>0</v>
      </c>
      <c r="G11" s="183">
        <v>0</v>
      </c>
      <c r="H11" s="221">
        <f>H10+E11+F11</f>
        <v>27385</v>
      </c>
      <c r="I11" s="710"/>
      <c r="J11" s="339">
        <f t="shared" si="1"/>
        <v>606224</v>
      </c>
      <c r="K11" s="339"/>
      <c r="L11" s="339"/>
      <c r="M11" s="339"/>
      <c r="N11" s="339"/>
      <c r="O11" s="339"/>
      <c r="P11" s="675"/>
      <c r="Q11" s="707" t="s">
        <v>477</v>
      </c>
      <c r="R11" s="707"/>
      <c r="S11" s="707"/>
      <c r="T11" s="707"/>
      <c r="U11" s="707"/>
      <c r="V11" s="707"/>
      <c r="W11" s="707"/>
      <c r="X11" s="707"/>
      <c r="Y11" s="733"/>
      <c r="Z11" s="319" t="s">
        <v>744</v>
      </c>
      <c r="AA11" s="352">
        <v>81700</v>
      </c>
      <c r="AB11" s="312">
        <f t="shared" si="3"/>
        <v>5.2654682151654633E-3</v>
      </c>
      <c r="AC11" s="328" t="s">
        <v>705</v>
      </c>
      <c r="AD11" s="243">
        <f>J34</f>
        <v>13145001</v>
      </c>
      <c r="AE11" s="313">
        <f t="shared" si="4"/>
        <v>0.84717974239679605</v>
      </c>
      <c r="AG11" s="647" t="s">
        <v>643</v>
      </c>
      <c r="AH11" s="647"/>
      <c r="AI11" s="647"/>
      <c r="AJ11" s="647"/>
    </row>
    <row r="12" spans="1:36" ht="30.9" customHeight="1" thickTop="1" thickBot="1">
      <c r="A12" s="176">
        <v>45941</v>
      </c>
      <c r="B12" s="178" t="s">
        <v>486</v>
      </c>
      <c r="C12" s="183">
        <v>1047462</v>
      </c>
      <c r="D12" s="183">
        <v>353898</v>
      </c>
      <c r="E12" s="183">
        <f t="shared" si="0"/>
        <v>693564</v>
      </c>
      <c r="F12" s="183">
        <v>-44</v>
      </c>
      <c r="G12" s="183">
        <v>0</v>
      </c>
      <c r="H12" s="221">
        <f t="shared" si="2"/>
        <v>720905</v>
      </c>
      <c r="I12" s="710"/>
      <c r="J12" s="339">
        <f t="shared" si="1"/>
        <v>353898</v>
      </c>
      <c r="K12" s="339"/>
      <c r="L12" s="339"/>
      <c r="M12" s="339"/>
      <c r="N12" s="339"/>
      <c r="O12" s="339"/>
      <c r="P12" s="675"/>
      <c r="Q12" s="269" t="s">
        <v>478</v>
      </c>
      <c r="R12" s="229" t="s">
        <v>479</v>
      </c>
      <c r="S12" s="229" t="s">
        <v>480</v>
      </c>
      <c r="T12" s="229" t="s">
        <v>455</v>
      </c>
      <c r="U12" s="229" t="s">
        <v>468</v>
      </c>
      <c r="V12" s="258" t="s">
        <v>230</v>
      </c>
      <c r="W12" s="308" t="s">
        <v>670</v>
      </c>
      <c r="X12" s="308" t="s">
        <v>788</v>
      </c>
      <c r="Y12" s="733"/>
      <c r="Z12" s="345" t="s">
        <v>771</v>
      </c>
      <c r="AA12" s="243">
        <v>200000</v>
      </c>
      <c r="AB12" s="312">
        <f t="shared" si="3"/>
        <v>1.2889763072620474E-2</v>
      </c>
      <c r="AC12" s="328" t="s">
        <v>725</v>
      </c>
      <c r="AD12" s="243">
        <f>N34</f>
        <v>237361</v>
      </c>
      <c r="AE12" s="313">
        <f t="shared" si="4"/>
        <v>1.5297635263401341E-2</v>
      </c>
      <c r="AG12" s="650" t="s">
        <v>644</v>
      </c>
      <c r="AH12" s="650"/>
      <c r="AI12" s="650"/>
      <c r="AJ12" s="229">
        <v>0</v>
      </c>
    </row>
    <row r="13" spans="1:36" ht="30.9" customHeight="1" thickTop="1" thickBot="1">
      <c r="A13" s="176">
        <v>45942</v>
      </c>
      <c r="B13" s="178" t="s">
        <v>487</v>
      </c>
      <c r="C13" s="183">
        <v>440370</v>
      </c>
      <c r="D13" s="183">
        <v>261886</v>
      </c>
      <c r="E13" s="183">
        <f t="shared" si="0"/>
        <v>178484</v>
      </c>
      <c r="F13" s="183">
        <v>-325</v>
      </c>
      <c r="G13" s="183">
        <v>0</v>
      </c>
      <c r="H13" s="221">
        <f t="shared" si="2"/>
        <v>899064</v>
      </c>
      <c r="I13" s="710"/>
      <c r="J13" s="339">
        <f t="shared" si="1"/>
        <v>253280</v>
      </c>
      <c r="K13" s="339">
        <v>8286</v>
      </c>
      <c r="L13" s="339"/>
      <c r="M13" s="339"/>
      <c r="N13" s="339">
        <v>320</v>
      </c>
      <c r="O13" s="339"/>
      <c r="P13" s="675"/>
      <c r="Q13" s="332">
        <f>AH10-75000</f>
        <v>315000</v>
      </c>
      <c r="R13" s="229">
        <f>12.5*5*1100</f>
        <v>68750</v>
      </c>
      <c r="S13" s="229">
        <f>17.5*1100</f>
        <v>19250</v>
      </c>
      <c r="T13" s="229">
        <f>117.5*1100</f>
        <v>129250</v>
      </c>
      <c r="U13" s="229">
        <f>87.5*1100</f>
        <v>96250</v>
      </c>
      <c r="V13" s="229">
        <v>90000</v>
      </c>
      <c r="W13" s="266">
        <f>83*1100</f>
        <v>91300</v>
      </c>
      <c r="X13" s="266">
        <f>47.5*1100</f>
        <v>52250</v>
      </c>
      <c r="Y13" s="733"/>
      <c r="Z13" s="311" t="s">
        <v>709</v>
      </c>
      <c r="AA13" s="317">
        <f>SUM(AA4:AA12)</f>
        <v>558875</v>
      </c>
      <c r="AB13" s="312">
        <f>SUM(AB4:AB12)</f>
        <v>3.601883168605384E-2</v>
      </c>
      <c r="AC13" s="327" t="s">
        <v>709</v>
      </c>
      <c r="AD13" s="317">
        <f>SUM(AD4:AD12)</f>
        <v>14633956</v>
      </c>
      <c r="AE13" s="313">
        <f>SUM(AE4:AE12)</f>
        <v>0.94314112827576413</v>
      </c>
      <c r="AG13" s="650" t="s">
        <v>645</v>
      </c>
      <c r="AH13" s="650"/>
      <c r="AI13" s="261" t="s">
        <v>646</v>
      </c>
      <c r="AJ13" s="229">
        <v>1665000</v>
      </c>
    </row>
    <row r="14" spans="1:36" ht="30.9" customHeight="1" thickTop="1" thickBot="1">
      <c r="A14" s="176">
        <v>45943</v>
      </c>
      <c r="B14" s="177" t="s">
        <v>488</v>
      </c>
      <c r="C14" s="183">
        <v>328551</v>
      </c>
      <c r="D14" s="183">
        <v>492780</v>
      </c>
      <c r="E14" s="183">
        <f t="shared" si="0"/>
        <v>-164229</v>
      </c>
      <c r="F14" s="183">
        <v>0</v>
      </c>
      <c r="G14" s="183">
        <v>0</v>
      </c>
      <c r="H14" s="221">
        <f t="shared" si="2"/>
        <v>734835</v>
      </c>
      <c r="I14" s="710"/>
      <c r="J14" s="339">
        <f t="shared" si="1"/>
        <v>492780</v>
      </c>
      <c r="K14" s="339"/>
      <c r="L14" s="339"/>
      <c r="M14" s="339"/>
      <c r="N14" s="339"/>
      <c r="O14" s="339"/>
      <c r="P14" s="675"/>
      <c r="Q14" s="333">
        <v>0</v>
      </c>
      <c r="R14" s="287">
        <v>0</v>
      </c>
      <c r="S14" s="287">
        <v>0</v>
      </c>
      <c r="T14" s="287">
        <v>3000</v>
      </c>
      <c r="U14" s="287">
        <v>3000</v>
      </c>
      <c r="V14" s="287">
        <v>0</v>
      </c>
      <c r="W14" s="309">
        <v>3000</v>
      </c>
      <c r="X14" s="309">
        <v>3000</v>
      </c>
      <c r="Y14" s="733"/>
      <c r="Z14" s="735" t="s">
        <v>726</v>
      </c>
      <c r="AA14" s="736"/>
      <c r="AB14" s="737"/>
      <c r="AC14" s="347">
        <f>AA21+AD21</f>
        <v>71785</v>
      </c>
      <c r="AD14" s="681">
        <f>AB21+AE21</f>
        <v>4.6264582108403035E-3</v>
      </c>
      <c r="AE14" s="682"/>
      <c r="AF14" s="81"/>
      <c r="AG14" s="650"/>
      <c r="AH14" s="650"/>
      <c r="AI14" s="261" t="s">
        <v>647</v>
      </c>
      <c r="AJ14" s="229">
        <v>0</v>
      </c>
    </row>
    <row r="15" spans="1:36" ht="30.9" customHeight="1" thickTop="1" thickBot="1">
      <c r="A15" s="176">
        <v>45944</v>
      </c>
      <c r="B15" s="177" t="s">
        <v>489</v>
      </c>
      <c r="C15" s="183">
        <v>265813</v>
      </c>
      <c r="D15" s="183">
        <v>429588</v>
      </c>
      <c r="E15" s="183">
        <f t="shared" si="0"/>
        <v>-163775</v>
      </c>
      <c r="F15" s="183">
        <v>-41</v>
      </c>
      <c r="G15" s="183">
        <v>0</v>
      </c>
      <c r="H15" s="221">
        <f t="shared" si="2"/>
        <v>571019</v>
      </c>
      <c r="I15" s="710"/>
      <c r="J15" s="339">
        <f t="shared" si="1"/>
        <v>408724</v>
      </c>
      <c r="K15" s="339">
        <v>8790</v>
      </c>
      <c r="L15" s="339">
        <v>12074</v>
      </c>
      <c r="M15" s="339"/>
      <c r="N15" s="339"/>
      <c r="O15" s="339"/>
      <c r="P15" s="675"/>
      <c r="Q15" s="334">
        <f>SUM(Q13:Q14)</f>
        <v>315000</v>
      </c>
      <c r="R15" s="234">
        <f t="shared" ref="R15:X15" si="5">SUM(R13:R14)</f>
        <v>68750</v>
      </c>
      <c r="S15" s="234">
        <f t="shared" si="5"/>
        <v>19250</v>
      </c>
      <c r="T15" s="234">
        <f t="shared" si="5"/>
        <v>132250</v>
      </c>
      <c r="U15" s="234">
        <f t="shared" si="5"/>
        <v>99250</v>
      </c>
      <c r="V15" s="234">
        <f t="shared" si="5"/>
        <v>90000</v>
      </c>
      <c r="W15" s="234">
        <f t="shared" si="5"/>
        <v>94300</v>
      </c>
      <c r="X15" s="260">
        <f t="shared" si="5"/>
        <v>55250</v>
      </c>
      <c r="Y15" s="733"/>
      <c r="Z15" s="719" t="s">
        <v>729</v>
      </c>
      <c r="AA15" s="720"/>
      <c r="AB15" s="720"/>
      <c r="AC15" s="717" t="s">
        <v>730</v>
      </c>
      <c r="AD15" s="717"/>
      <c r="AE15" s="718"/>
      <c r="AF15" s="81"/>
      <c r="AG15" s="650" t="s">
        <v>648</v>
      </c>
      <c r="AH15" s="650" t="s">
        <v>649</v>
      </c>
      <c r="AI15" s="650"/>
      <c r="AJ15" s="229">
        <v>20000</v>
      </c>
    </row>
    <row r="16" spans="1:36" ht="30.9" customHeight="1" thickTop="1" thickBot="1">
      <c r="A16" s="176">
        <v>45945</v>
      </c>
      <c r="B16" s="177" t="s">
        <v>490</v>
      </c>
      <c r="C16" s="183">
        <v>256914</v>
      </c>
      <c r="D16" s="183">
        <v>1263775</v>
      </c>
      <c r="E16" s="183">
        <f t="shared" si="0"/>
        <v>-1006861</v>
      </c>
      <c r="F16" s="183">
        <v>0</v>
      </c>
      <c r="G16" s="183">
        <v>0</v>
      </c>
      <c r="H16" s="221">
        <f t="shared" si="2"/>
        <v>-435842</v>
      </c>
      <c r="I16" s="710"/>
      <c r="J16" s="339">
        <f t="shared" si="1"/>
        <v>1263455</v>
      </c>
      <c r="K16" s="339"/>
      <c r="L16" s="339"/>
      <c r="M16" s="339"/>
      <c r="N16" s="339">
        <v>320</v>
      </c>
      <c r="O16" s="339"/>
      <c r="P16" s="675"/>
      <c r="Q16" s="698" t="s">
        <v>247</v>
      </c>
      <c r="R16" s="641"/>
      <c r="S16" s="641"/>
      <c r="T16" s="648">
        <f>SUM(R15:X15)+AH10</f>
        <v>949050</v>
      </c>
      <c r="U16" s="699"/>
      <c r="V16" s="699"/>
      <c r="W16" s="699"/>
      <c r="X16" s="699"/>
      <c r="Y16" s="733"/>
      <c r="Z16" s="324" t="s">
        <v>728</v>
      </c>
      <c r="AA16" s="243">
        <f>T23</f>
        <v>0</v>
      </c>
      <c r="AB16" s="312">
        <f>AA16/$Q$4</f>
        <v>0</v>
      </c>
      <c r="AC16" s="321" t="s">
        <v>731</v>
      </c>
      <c r="AD16" s="243">
        <f>V4</f>
        <v>36026</v>
      </c>
      <c r="AE16" s="313">
        <f>AD16/$Q$4</f>
        <v>2.3218330222711261E-3</v>
      </c>
      <c r="AG16" s="650"/>
      <c r="AH16" s="650" t="s">
        <v>650</v>
      </c>
      <c r="AI16" s="650"/>
      <c r="AJ16" s="229">
        <v>589181</v>
      </c>
    </row>
    <row r="17" spans="1:36" ht="30.9" customHeight="1" thickTop="1" thickBot="1">
      <c r="A17" s="176">
        <v>45946</v>
      </c>
      <c r="B17" s="177" t="s">
        <v>491</v>
      </c>
      <c r="C17" s="183">
        <v>438358</v>
      </c>
      <c r="D17" s="183">
        <v>533723</v>
      </c>
      <c r="E17" s="183">
        <f t="shared" si="0"/>
        <v>-95365</v>
      </c>
      <c r="F17" s="183">
        <v>0</v>
      </c>
      <c r="G17" s="183">
        <v>0</v>
      </c>
      <c r="H17" s="221">
        <f t="shared" si="2"/>
        <v>-531207</v>
      </c>
      <c r="I17" s="710"/>
      <c r="J17" s="339">
        <f t="shared" si="1"/>
        <v>491224</v>
      </c>
      <c r="K17" s="339">
        <v>7499</v>
      </c>
      <c r="L17" s="339"/>
      <c r="M17" s="339"/>
      <c r="N17" s="339">
        <v>35000</v>
      </c>
      <c r="O17" s="339"/>
      <c r="P17" s="675"/>
      <c r="Q17" s="688" t="s">
        <v>482</v>
      </c>
      <c r="R17" s="643"/>
      <c r="S17" s="643"/>
      <c r="T17" s="643"/>
      <c r="U17" s="643"/>
      <c r="V17" s="649"/>
      <c r="W17" s="283"/>
      <c r="X17" s="283"/>
      <c r="Y17" s="733"/>
      <c r="Z17" s="324" t="s">
        <v>727</v>
      </c>
      <c r="AA17" s="243">
        <f>U23</f>
        <v>22541</v>
      </c>
      <c r="AB17" s="312">
        <f t="shared" ref="AB17:AB20" si="6">AA17/$Q$4</f>
        <v>1.4527407470996906E-3</v>
      </c>
      <c r="AC17" s="321" t="s">
        <v>732</v>
      </c>
      <c r="AD17" s="243">
        <f>Q23</f>
        <v>0</v>
      </c>
      <c r="AE17" s="313">
        <f t="shared" ref="AE17" si="7">AD17/$Q$4</f>
        <v>0</v>
      </c>
      <c r="AG17" s="261" t="s">
        <v>651</v>
      </c>
      <c r="AH17" s="650" t="s">
        <v>652</v>
      </c>
      <c r="AI17" s="650"/>
      <c r="AJ17" s="229">
        <v>530144</v>
      </c>
    </row>
    <row r="18" spans="1:36" ht="30.9" customHeight="1" thickTop="1" thickBot="1">
      <c r="A18" s="176">
        <v>45947</v>
      </c>
      <c r="B18" s="178" t="s">
        <v>485</v>
      </c>
      <c r="C18" s="183">
        <v>752242</v>
      </c>
      <c r="D18" s="183">
        <v>169950</v>
      </c>
      <c r="E18" s="183">
        <f t="shared" si="0"/>
        <v>582292</v>
      </c>
      <c r="F18" s="183">
        <v>-474</v>
      </c>
      <c r="G18" s="183">
        <v>0</v>
      </c>
      <c r="H18" s="221">
        <f t="shared" si="2"/>
        <v>50611</v>
      </c>
      <c r="I18" s="710"/>
      <c r="J18" s="339">
        <f t="shared" si="1"/>
        <v>168630</v>
      </c>
      <c r="K18" s="339"/>
      <c r="L18" s="339"/>
      <c r="M18" s="339"/>
      <c r="N18" s="339">
        <v>1320</v>
      </c>
      <c r="O18" s="339"/>
      <c r="P18" s="675"/>
      <c r="Q18" s="284"/>
      <c r="R18" s="235"/>
      <c r="S18" s="343" t="s">
        <v>760</v>
      </c>
      <c r="T18" s="294" t="s">
        <v>703</v>
      </c>
      <c r="U18" s="236" t="s">
        <v>498</v>
      </c>
      <c r="V18" s="683" t="s">
        <v>247</v>
      </c>
      <c r="W18" s="684"/>
      <c r="X18" s="684"/>
      <c r="Y18" s="733"/>
      <c r="Z18" s="324" t="s">
        <v>733</v>
      </c>
      <c r="AA18" s="243">
        <f>S23</f>
        <v>11000</v>
      </c>
      <c r="AB18" s="312">
        <f t="shared" si="6"/>
        <v>7.0893696899412611E-4</v>
      </c>
      <c r="AC18" s="322"/>
      <c r="AD18" s="243"/>
      <c r="AE18" s="313"/>
      <c r="AG18" s="650" t="s">
        <v>777</v>
      </c>
      <c r="AH18" s="650"/>
      <c r="AI18" s="650"/>
      <c r="AJ18" s="229">
        <f>175117829/173</f>
        <v>1012241.7861271676</v>
      </c>
    </row>
    <row r="19" spans="1:36" ht="30.9" customHeight="1" thickTop="1" thickBot="1">
      <c r="A19" s="176">
        <v>45948</v>
      </c>
      <c r="B19" s="178" t="s">
        <v>486</v>
      </c>
      <c r="C19" s="183">
        <v>524638</v>
      </c>
      <c r="D19" s="183">
        <v>349431</v>
      </c>
      <c r="E19" s="183">
        <f t="shared" si="0"/>
        <v>175207</v>
      </c>
      <c r="F19" s="183">
        <v>0</v>
      </c>
      <c r="G19" s="183">
        <v>0</v>
      </c>
      <c r="H19" s="221">
        <f t="shared" si="2"/>
        <v>225818</v>
      </c>
      <c r="I19" s="710"/>
      <c r="J19" s="339">
        <f t="shared" si="1"/>
        <v>334571</v>
      </c>
      <c r="K19" s="339"/>
      <c r="L19" s="339">
        <v>14860</v>
      </c>
      <c r="M19" s="339"/>
      <c r="N19" s="339"/>
      <c r="O19" s="339"/>
      <c r="P19" s="675"/>
      <c r="Q19" s="335"/>
      <c r="R19" s="237"/>
      <c r="S19" s="344">
        <f>6500*8+2.5*1100</f>
        <v>54750</v>
      </c>
      <c r="T19" s="295">
        <f>39940+7050</f>
        <v>46990</v>
      </c>
      <c r="U19" s="238">
        <f>V23</f>
        <v>33541</v>
      </c>
      <c r="V19" s="685">
        <f>SUM(Q19:U19)</f>
        <v>135281</v>
      </c>
      <c r="W19" s="686"/>
      <c r="X19" s="686"/>
      <c r="Y19" s="733"/>
      <c r="Z19" s="324" t="s">
        <v>734</v>
      </c>
      <c r="AA19" s="243">
        <f>R23</f>
        <v>0</v>
      </c>
      <c r="AB19" s="312">
        <f t="shared" si="6"/>
        <v>0</v>
      </c>
      <c r="AC19" s="322"/>
      <c r="AD19" s="243"/>
      <c r="AE19" s="313"/>
      <c r="AG19" s="652" t="s">
        <v>654</v>
      </c>
      <c r="AH19" s="652"/>
      <c r="AI19" s="652"/>
      <c r="AJ19" s="229">
        <v>5843976</v>
      </c>
    </row>
    <row r="20" spans="1:36" ht="30.9" customHeight="1" thickTop="1" thickBot="1">
      <c r="A20" s="176">
        <v>45949</v>
      </c>
      <c r="B20" s="178" t="s">
        <v>487</v>
      </c>
      <c r="C20" s="183">
        <v>404658</v>
      </c>
      <c r="D20" s="183">
        <v>142934</v>
      </c>
      <c r="E20" s="183">
        <f t="shared" si="0"/>
        <v>261724</v>
      </c>
      <c r="F20" s="183">
        <v>-411</v>
      </c>
      <c r="G20" s="183">
        <v>0</v>
      </c>
      <c r="H20" s="221">
        <f t="shared" si="2"/>
        <v>487131</v>
      </c>
      <c r="I20" s="710"/>
      <c r="J20" s="339">
        <f t="shared" si="1"/>
        <v>110626</v>
      </c>
      <c r="K20" s="339"/>
      <c r="L20" s="339"/>
      <c r="M20" s="339"/>
      <c r="N20" s="339">
        <f>530+13838+2890</f>
        <v>17258</v>
      </c>
      <c r="O20" s="339">
        <f>2890+12160</f>
        <v>15050</v>
      </c>
      <c r="P20" s="675"/>
      <c r="Q20" s="269"/>
      <c r="R20" s="232"/>
      <c r="S20" s="232"/>
      <c r="T20" s="232"/>
      <c r="U20" s="232"/>
      <c r="V20" s="232"/>
      <c r="W20" s="310"/>
      <c r="X20" s="310"/>
      <c r="Y20" s="733"/>
      <c r="Z20" s="324" t="s">
        <v>746</v>
      </c>
      <c r="AA20" s="243">
        <f>U4</f>
        <v>2218</v>
      </c>
      <c r="AB20" s="312">
        <f t="shared" si="6"/>
        <v>1.4294747247536107E-4</v>
      </c>
      <c r="AC20" s="314"/>
      <c r="AD20" s="243"/>
      <c r="AE20" s="313"/>
      <c r="AG20" s="652" t="s">
        <v>655</v>
      </c>
      <c r="AH20" s="652"/>
      <c r="AI20" s="652"/>
      <c r="AJ20" s="229">
        <v>6000000</v>
      </c>
    </row>
    <row r="21" spans="1:36" ht="30.9" customHeight="1" thickTop="1" thickBot="1">
      <c r="A21" s="176">
        <v>45950</v>
      </c>
      <c r="B21" s="177" t="s">
        <v>488</v>
      </c>
      <c r="C21" s="183">
        <v>366065</v>
      </c>
      <c r="D21" s="183">
        <v>441097</v>
      </c>
      <c r="E21" s="183">
        <f t="shared" si="0"/>
        <v>-75032</v>
      </c>
      <c r="F21" s="183">
        <v>0</v>
      </c>
      <c r="G21" s="183">
        <v>0</v>
      </c>
      <c r="H21" s="221">
        <f t="shared" si="2"/>
        <v>412099</v>
      </c>
      <c r="I21" s="710"/>
      <c r="J21" s="339">
        <f t="shared" si="1"/>
        <v>341836</v>
      </c>
      <c r="K21" s="339">
        <v>17561</v>
      </c>
      <c r="L21" s="339"/>
      <c r="M21" s="339"/>
      <c r="N21" s="339"/>
      <c r="O21" s="339">
        <v>81700</v>
      </c>
      <c r="P21" s="675"/>
      <c r="Q21" s="687" t="s">
        <v>772</v>
      </c>
      <c r="R21" s="687"/>
      <c r="S21" s="687"/>
      <c r="T21" s="687"/>
      <c r="U21" s="687"/>
      <c r="V21" s="687"/>
      <c r="W21" s="687"/>
      <c r="X21" s="687"/>
      <c r="Y21" s="733"/>
      <c r="Z21" s="326" t="s">
        <v>709</v>
      </c>
      <c r="AA21" s="318">
        <f>SUM(AA16:AA20)</f>
        <v>35759</v>
      </c>
      <c r="AB21" s="315">
        <f>SUM(AB16:AB20)</f>
        <v>2.3046251885691779E-3</v>
      </c>
      <c r="AC21" s="323" t="s">
        <v>709</v>
      </c>
      <c r="AD21" s="318">
        <f>SUM(AD16:AD20)</f>
        <v>36026</v>
      </c>
      <c r="AE21" s="316">
        <f>SUM(AE16:AE20)</f>
        <v>2.3218330222711261E-3</v>
      </c>
      <c r="AG21" s="653" t="s">
        <v>247</v>
      </c>
      <c r="AH21" s="653"/>
      <c r="AI21" s="653"/>
      <c r="AJ21" s="270">
        <f>SUM(AJ12:AJ20)</f>
        <v>15660542.786127169</v>
      </c>
    </row>
    <row r="22" spans="1:36" ht="30.9" customHeight="1" thickTop="1" thickBot="1">
      <c r="A22" s="176">
        <v>45951</v>
      </c>
      <c r="B22" s="177" t="s">
        <v>489</v>
      </c>
      <c r="C22" s="183">
        <v>302011</v>
      </c>
      <c r="D22" s="183">
        <v>256565</v>
      </c>
      <c r="E22" s="183">
        <f t="shared" si="0"/>
        <v>45446</v>
      </c>
      <c r="F22" s="183">
        <v>-11</v>
      </c>
      <c r="G22" s="183">
        <v>0</v>
      </c>
      <c r="H22" s="221">
        <f t="shared" si="2"/>
        <v>457534</v>
      </c>
      <c r="I22" s="710"/>
      <c r="J22" s="339">
        <f t="shared" si="1"/>
        <v>256565</v>
      </c>
      <c r="K22" s="339"/>
      <c r="L22" s="339"/>
      <c r="M22" s="339"/>
      <c r="N22" s="339"/>
      <c r="O22" s="339"/>
      <c r="P22" s="675"/>
      <c r="Q22" s="336" t="s">
        <v>625</v>
      </c>
      <c r="R22" s="299" t="s">
        <v>770</v>
      </c>
      <c r="S22" s="299" t="s">
        <v>733</v>
      </c>
      <c r="T22" s="299" t="s">
        <v>728</v>
      </c>
      <c r="U22" s="299" t="s">
        <v>727</v>
      </c>
      <c r="V22" s="690" t="s">
        <v>247</v>
      </c>
      <c r="W22" s="741"/>
      <c r="X22" s="691"/>
      <c r="Y22" s="733"/>
      <c r="Z22" s="694" t="s">
        <v>745</v>
      </c>
      <c r="AA22" s="695"/>
      <c r="AB22" s="695"/>
      <c r="AC22" s="695"/>
      <c r="AD22" s="721">
        <f>AD14+AD2</f>
        <v>0.98378641817265822</v>
      </c>
      <c r="AE22" s="721"/>
      <c r="AG22" s="661"/>
      <c r="AH22" s="662"/>
      <c r="AI22" s="662"/>
      <c r="AJ22" s="662"/>
    </row>
    <row r="23" spans="1:36" ht="30.9" customHeight="1" thickTop="1" thickBot="1">
      <c r="A23" s="176">
        <v>45952</v>
      </c>
      <c r="B23" s="177" t="s">
        <v>490</v>
      </c>
      <c r="C23" s="183">
        <v>317459</v>
      </c>
      <c r="D23" s="183">
        <v>759520</v>
      </c>
      <c r="E23" s="183">
        <f t="shared" si="0"/>
        <v>-442061</v>
      </c>
      <c r="F23" s="183">
        <v>0</v>
      </c>
      <c r="G23" s="183">
        <v>0</v>
      </c>
      <c r="H23" s="221">
        <f t="shared" si="2"/>
        <v>15473</v>
      </c>
      <c r="I23" s="710"/>
      <c r="J23" s="339">
        <f t="shared" si="1"/>
        <v>759200</v>
      </c>
      <c r="K23" s="339"/>
      <c r="L23" s="339"/>
      <c r="M23" s="339"/>
      <c r="N23" s="339">
        <v>320</v>
      </c>
      <c r="O23" s="339"/>
      <c r="P23" s="675"/>
      <c r="Q23" s="335">
        <v>0</v>
      </c>
      <c r="R23" s="353">
        <v>0</v>
      </c>
      <c r="S23" s="298">
        <v>11000</v>
      </c>
      <c r="T23" s="353">
        <v>0</v>
      </c>
      <c r="U23" s="298">
        <v>22541</v>
      </c>
      <c r="V23" s="692">
        <f>SUM(Q23:U23)</f>
        <v>33541</v>
      </c>
      <c r="W23" s="742"/>
      <c r="X23" s="693"/>
      <c r="Y23" s="733"/>
      <c r="Z23" s="696"/>
      <c r="AA23" s="697"/>
      <c r="AB23" s="697"/>
      <c r="AC23" s="697"/>
      <c r="AD23" s="722"/>
      <c r="AE23" s="722"/>
      <c r="AG23" s="647" t="s">
        <v>665</v>
      </c>
      <c r="AH23" s="647"/>
      <c r="AI23" s="647"/>
      <c r="AJ23" s="647"/>
    </row>
    <row r="24" spans="1:36" ht="30.9" customHeight="1" thickTop="1" thickBot="1">
      <c r="A24" s="176">
        <v>45953</v>
      </c>
      <c r="B24" s="177" t="s">
        <v>491</v>
      </c>
      <c r="C24" s="183">
        <v>532810</v>
      </c>
      <c r="D24" s="183">
        <v>268911</v>
      </c>
      <c r="E24" s="183">
        <f t="shared" si="0"/>
        <v>263899</v>
      </c>
      <c r="F24" s="183">
        <v>-44</v>
      </c>
      <c r="G24" s="183">
        <v>0</v>
      </c>
      <c r="H24" s="184">
        <f t="shared" si="2"/>
        <v>279328</v>
      </c>
      <c r="I24" s="710"/>
      <c r="J24" s="339">
        <f t="shared" si="1"/>
        <v>261085</v>
      </c>
      <c r="K24" s="339"/>
      <c r="L24" s="339"/>
      <c r="M24" s="339">
        <v>7826</v>
      </c>
      <c r="N24" s="339"/>
      <c r="O24" s="339"/>
      <c r="P24" s="675"/>
      <c r="Y24" s="733"/>
      <c r="Z24" s="711" t="s">
        <v>735</v>
      </c>
      <c r="AA24" s="711"/>
      <c r="AB24" s="711"/>
      <c r="AC24" s="711"/>
      <c r="AD24" s="711"/>
      <c r="AE24" s="711"/>
      <c r="AG24" s="656" t="s">
        <v>666</v>
      </c>
      <c r="AH24" s="658"/>
      <c r="AI24" s="657"/>
      <c r="AJ24" s="232"/>
    </row>
    <row r="25" spans="1:36" ht="30.9" customHeight="1" thickTop="1" thickBot="1">
      <c r="A25" s="176">
        <v>45954</v>
      </c>
      <c r="B25" s="178" t="s">
        <v>485</v>
      </c>
      <c r="C25" s="183">
        <v>1027395</v>
      </c>
      <c r="D25" s="350">
        <v>640542</v>
      </c>
      <c r="E25" s="183">
        <f t="shared" si="0"/>
        <v>386853</v>
      </c>
      <c r="F25" s="183">
        <v>-84</v>
      </c>
      <c r="G25" s="183">
        <v>0</v>
      </c>
      <c r="H25" s="184">
        <f t="shared" si="2"/>
        <v>666097</v>
      </c>
      <c r="I25" s="710"/>
      <c r="J25" s="339">
        <f t="shared" si="1"/>
        <v>638532</v>
      </c>
      <c r="K25" s="339"/>
      <c r="L25" s="339"/>
      <c r="M25" s="339"/>
      <c r="N25" s="339">
        <v>2010</v>
      </c>
      <c r="O25" s="339"/>
      <c r="P25" s="675"/>
      <c r="Q25" s="689" t="s">
        <v>672</v>
      </c>
      <c r="R25" s="664"/>
      <c r="S25" s="664"/>
      <c r="T25" s="664"/>
      <c r="U25" s="664"/>
      <c r="V25" s="664"/>
      <c r="W25" s="285"/>
      <c r="X25" s="285"/>
      <c r="Y25" s="733"/>
      <c r="Z25" s="300"/>
      <c r="AA25" s="712" t="s">
        <v>739</v>
      </c>
      <c r="AB25" s="712"/>
      <c r="AC25" s="301" t="s">
        <v>738</v>
      </c>
      <c r="AD25" s="712" t="s">
        <v>740</v>
      </c>
      <c r="AE25" s="712"/>
      <c r="AG25" s="268"/>
      <c r="AH25" s="656"/>
      <c r="AI25" s="657"/>
      <c r="AJ25" s="232"/>
    </row>
    <row r="26" spans="1:36" ht="30.9" customHeight="1" thickTop="1" thickBot="1">
      <c r="A26" s="176">
        <v>45955</v>
      </c>
      <c r="B26" s="178" t="s">
        <v>486</v>
      </c>
      <c r="C26" s="350">
        <v>693650</v>
      </c>
      <c r="D26" s="350">
        <v>187283</v>
      </c>
      <c r="E26" s="183">
        <f t="shared" si="0"/>
        <v>506367</v>
      </c>
      <c r="F26" s="183">
        <v>0</v>
      </c>
      <c r="G26" s="183">
        <v>0</v>
      </c>
      <c r="H26" s="184">
        <f t="shared" si="2"/>
        <v>1172464</v>
      </c>
      <c r="I26" s="710"/>
      <c r="J26" s="339">
        <f t="shared" si="1"/>
        <v>176745</v>
      </c>
      <c r="K26" s="339">
        <v>7800</v>
      </c>
      <c r="L26" s="339">
        <v>1330</v>
      </c>
      <c r="M26" s="339">
        <v>1408</v>
      </c>
      <c r="N26" s="339"/>
      <c r="O26" s="339"/>
      <c r="P26" s="675"/>
      <c r="Q26" s="337"/>
      <c r="R26" s="665" t="s">
        <v>791</v>
      </c>
      <c r="S26" s="665"/>
      <c r="T26" s="665"/>
      <c r="U26" s="665"/>
      <c r="V26" s="665"/>
      <c r="W26" s="286"/>
      <c r="X26" s="286"/>
      <c r="Y26" s="733"/>
      <c r="Z26" s="302" t="s">
        <v>736</v>
      </c>
      <c r="AA26" s="303">
        <v>15233900</v>
      </c>
      <c r="AB26" s="305">
        <f>(AC26/AA26)-100%</f>
        <v>1.853031725296872E-2</v>
      </c>
      <c r="AC26" s="304">
        <f>C34</f>
        <v>15516189</v>
      </c>
      <c r="AD26" s="303">
        <v>16255196</v>
      </c>
      <c r="AE26" s="305">
        <f>AC26/AD26-100%</f>
        <v>-4.546281693558174E-2</v>
      </c>
      <c r="AG26" s="268"/>
      <c r="AH26" s="656"/>
      <c r="AI26" s="657"/>
      <c r="AJ26" s="232"/>
    </row>
    <row r="27" spans="1:36" ht="30.9" customHeight="1" thickTop="1" thickBot="1">
      <c r="A27" s="176">
        <v>45956</v>
      </c>
      <c r="B27" s="178" t="s">
        <v>487</v>
      </c>
      <c r="C27" s="350">
        <v>525967</v>
      </c>
      <c r="D27" s="350">
        <v>342613</v>
      </c>
      <c r="E27" s="183">
        <f t="shared" si="0"/>
        <v>183354</v>
      </c>
      <c r="F27" s="183">
        <v>-54</v>
      </c>
      <c r="G27" s="183">
        <v>0</v>
      </c>
      <c r="H27" s="184">
        <f t="shared" si="2"/>
        <v>1355764</v>
      </c>
      <c r="I27" s="710"/>
      <c r="J27" s="339">
        <f t="shared" si="1"/>
        <v>342293</v>
      </c>
      <c r="K27" s="339"/>
      <c r="L27" s="339"/>
      <c r="M27" s="339"/>
      <c r="N27" s="339">
        <v>320</v>
      </c>
      <c r="O27" s="339"/>
      <c r="P27" s="675"/>
      <c r="Q27" s="282"/>
      <c r="R27" s="665"/>
      <c r="S27" s="665"/>
      <c r="T27" s="665"/>
      <c r="U27" s="665"/>
      <c r="V27" s="665"/>
      <c r="W27" s="286"/>
      <c r="X27" s="286"/>
      <c r="Y27" s="733"/>
      <c r="Z27" s="302" t="s">
        <v>510</v>
      </c>
      <c r="AA27" s="303">
        <v>14436100</v>
      </c>
      <c r="AB27" s="305">
        <f>(AC27/AA27)-100%</f>
        <v>4.8887372628341419E-2</v>
      </c>
      <c r="AC27" s="304">
        <f>U8</f>
        <v>15141843</v>
      </c>
      <c r="AD27" s="303">
        <v>15119823</v>
      </c>
      <c r="AE27" s="305">
        <f>AC27/AD27-100%</f>
        <v>1.4563662550810541E-3</v>
      </c>
      <c r="AG27" s="268"/>
      <c r="AH27" s="656"/>
      <c r="AI27" s="657"/>
      <c r="AJ27" s="232"/>
    </row>
    <row r="28" spans="1:36" ht="30.9" customHeight="1" thickTop="1" thickBot="1">
      <c r="A28" s="176">
        <v>45957</v>
      </c>
      <c r="B28" s="177" t="s">
        <v>488</v>
      </c>
      <c r="C28" s="350">
        <v>559333</v>
      </c>
      <c r="D28" s="350">
        <v>269605</v>
      </c>
      <c r="E28" s="183">
        <f t="shared" si="0"/>
        <v>289728</v>
      </c>
      <c r="F28" s="183">
        <v>0</v>
      </c>
      <c r="G28" s="183">
        <v>0</v>
      </c>
      <c r="H28" s="184">
        <f t="shared" si="2"/>
        <v>1645492</v>
      </c>
      <c r="I28" s="710"/>
      <c r="J28" s="339">
        <f t="shared" si="1"/>
        <v>269605</v>
      </c>
      <c r="K28" s="339"/>
      <c r="L28" s="339"/>
      <c r="M28" s="339"/>
      <c r="N28" s="339"/>
      <c r="O28" s="339"/>
      <c r="P28" s="675"/>
      <c r="Q28" s="282"/>
      <c r="R28" s="665" t="s">
        <v>784</v>
      </c>
      <c r="S28" s="665"/>
      <c r="T28" s="665"/>
      <c r="U28" s="665"/>
      <c r="V28" s="665"/>
      <c r="W28" s="286"/>
      <c r="X28" s="286"/>
      <c r="Y28" s="733"/>
      <c r="Z28" s="302" t="s">
        <v>737</v>
      </c>
      <c r="AA28" s="303">
        <v>772000</v>
      </c>
      <c r="AB28" s="305">
        <f>(AC28/AA28)-100%</f>
        <v>-0.56463471502590679</v>
      </c>
      <c r="AC28" s="304">
        <f>R9</f>
        <v>336102</v>
      </c>
      <c r="AD28" s="303">
        <v>1121161</v>
      </c>
      <c r="AE28" s="305">
        <f>AC28/AD28-100%</f>
        <v>-0.70021968298932979</v>
      </c>
      <c r="AG28" s="268"/>
      <c r="AH28" s="656"/>
      <c r="AI28" s="657"/>
      <c r="AJ28" s="232"/>
    </row>
    <row r="29" spans="1:36" ht="30.9" customHeight="1" thickTop="1" thickBot="1">
      <c r="A29" s="176">
        <v>45958</v>
      </c>
      <c r="B29" s="177" t="s">
        <v>489</v>
      </c>
      <c r="C29" s="350">
        <v>195563</v>
      </c>
      <c r="D29" s="350">
        <v>78060</v>
      </c>
      <c r="E29" s="183">
        <f t="shared" si="0"/>
        <v>117503</v>
      </c>
      <c r="F29" s="183">
        <v>0</v>
      </c>
      <c r="G29" s="183">
        <v>0</v>
      </c>
      <c r="H29" s="184">
        <f t="shared" si="2"/>
        <v>1762995</v>
      </c>
      <c r="I29" s="710"/>
      <c r="J29" s="339">
        <f t="shared" si="1"/>
        <v>69360</v>
      </c>
      <c r="K29" s="339">
        <v>8700</v>
      </c>
      <c r="L29" s="339"/>
      <c r="M29" s="339"/>
      <c r="N29" s="339"/>
      <c r="O29" s="339"/>
      <c r="P29" s="675"/>
      <c r="Q29" s="282"/>
      <c r="R29" s="665" t="s">
        <v>785</v>
      </c>
      <c r="S29" s="665"/>
      <c r="T29" s="665"/>
      <c r="U29" s="665"/>
      <c r="V29" s="665"/>
      <c r="W29" s="286"/>
      <c r="X29" s="286"/>
      <c r="Y29" s="733"/>
      <c r="Z29" s="302" t="s">
        <v>757</v>
      </c>
      <c r="AA29" s="341">
        <v>3767</v>
      </c>
      <c r="AB29" s="305">
        <f t="shared" ref="AB29:AB31" si="8">(AC29/AA29)-100%</f>
        <v>1.3273161667108901E-3</v>
      </c>
      <c r="AC29" s="342">
        <v>3772</v>
      </c>
      <c r="AD29" s="341">
        <v>3571</v>
      </c>
      <c r="AE29" s="305">
        <f t="shared" ref="AE29:AE31" si="9">AC29/AD29-100%</f>
        <v>5.6286754410529216E-2</v>
      </c>
      <c r="AG29" s="658" t="s">
        <v>667</v>
      </c>
      <c r="AH29" s="658"/>
      <c r="AI29" s="657"/>
      <c r="AJ29" s="232"/>
    </row>
    <row r="30" spans="1:36" ht="30.9" customHeight="1" thickTop="1" thickBot="1">
      <c r="A30" s="176">
        <v>45959</v>
      </c>
      <c r="B30" s="177" t="s">
        <v>490</v>
      </c>
      <c r="C30" s="350">
        <v>352671</v>
      </c>
      <c r="D30" s="350">
        <v>1286527</v>
      </c>
      <c r="E30" s="183">
        <f>C30-D30</f>
        <v>-933856</v>
      </c>
      <c r="F30" s="183">
        <v>0</v>
      </c>
      <c r="G30" s="183">
        <v>0</v>
      </c>
      <c r="H30" s="184">
        <f t="shared" si="2"/>
        <v>829139</v>
      </c>
      <c r="I30" s="710"/>
      <c r="J30" s="339">
        <f t="shared" si="1"/>
        <v>1067602</v>
      </c>
      <c r="K30" s="339"/>
      <c r="L30" s="339"/>
      <c r="M30" s="339"/>
      <c r="N30" s="339">
        <v>320</v>
      </c>
      <c r="O30" s="339">
        <f>192550+26055</f>
        <v>218605</v>
      </c>
      <c r="P30" s="675"/>
      <c r="Q30" s="282"/>
      <c r="R30" s="739" t="s">
        <v>787</v>
      </c>
      <c r="S30" s="740"/>
      <c r="T30" s="740"/>
      <c r="U30" s="740"/>
      <c r="V30" s="740"/>
      <c r="W30" s="349"/>
      <c r="X30" s="286"/>
      <c r="Y30" s="733"/>
      <c r="Z30" s="302" t="s">
        <v>758</v>
      </c>
      <c r="AA30" s="303">
        <v>4044.0403504114679</v>
      </c>
      <c r="AB30" s="305">
        <f t="shared" si="8"/>
        <v>1.7180197532325803E-2</v>
      </c>
      <c r="AC30" s="304">
        <f>AC26/AC29</f>
        <v>4113.5177624602329</v>
      </c>
      <c r="AD30" s="303">
        <f>AD26/AD29</f>
        <v>4552.0011201344159</v>
      </c>
      <c r="AE30" s="305">
        <f t="shared" si="9"/>
        <v>-9.6327603201739831E-2</v>
      </c>
      <c r="AG30" s="268"/>
      <c r="AH30" s="656"/>
      <c r="AI30" s="657"/>
      <c r="AJ30" s="232"/>
    </row>
    <row r="31" spans="1:36" ht="30.9" customHeight="1" thickTop="1" thickBot="1">
      <c r="A31" s="176">
        <v>45960</v>
      </c>
      <c r="B31" s="177" t="s">
        <v>491</v>
      </c>
      <c r="C31" s="350">
        <v>523363</v>
      </c>
      <c r="D31" s="350">
        <v>534732</v>
      </c>
      <c r="E31" s="183">
        <f t="shared" ref="E31:E32" si="10">C31-D31</f>
        <v>-11369</v>
      </c>
      <c r="F31" s="183">
        <v>-94</v>
      </c>
      <c r="G31" s="183">
        <v>0</v>
      </c>
      <c r="H31" s="184">
        <f>H30+E31+F31</f>
        <v>817676</v>
      </c>
      <c r="I31" s="710"/>
      <c r="J31" s="339">
        <f t="shared" si="1"/>
        <v>527915</v>
      </c>
      <c r="K31" s="339"/>
      <c r="L31" s="339"/>
      <c r="M31" s="339"/>
      <c r="N31" s="339">
        <v>1317</v>
      </c>
      <c r="O31" s="339">
        <v>5500</v>
      </c>
      <c r="P31" s="675"/>
      <c r="Q31" s="282"/>
      <c r="R31" s="665"/>
      <c r="S31" s="665"/>
      <c r="T31" s="665"/>
      <c r="U31" s="665"/>
      <c r="V31" s="665"/>
      <c r="W31" s="286"/>
      <c r="X31" s="286"/>
      <c r="Y31" s="733"/>
      <c r="Z31" s="302" t="s">
        <v>756</v>
      </c>
      <c r="AA31" s="303">
        <v>491416.12903225806</v>
      </c>
      <c r="AB31" s="305">
        <f t="shared" si="8"/>
        <v>1.853031725296872E-2</v>
      </c>
      <c r="AC31" s="304">
        <f>AC26/31</f>
        <v>500522.22580645164</v>
      </c>
      <c r="AD31" s="303">
        <f>AD26/31</f>
        <v>524361.16129032255</v>
      </c>
      <c r="AE31" s="305">
        <f t="shared" si="9"/>
        <v>-4.5462816935581629E-2</v>
      </c>
      <c r="AG31" s="269"/>
      <c r="AH31" s="659"/>
      <c r="AI31" s="660"/>
      <c r="AJ31" s="232"/>
    </row>
    <row r="32" spans="1:36" ht="30.9" customHeight="1" thickTop="1" thickBot="1">
      <c r="A32" s="176">
        <v>45961</v>
      </c>
      <c r="B32" s="178" t="s">
        <v>485</v>
      </c>
      <c r="C32" s="350">
        <v>738783</v>
      </c>
      <c r="D32" s="351">
        <v>0</v>
      </c>
      <c r="E32" s="183">
        <f t="shared" si="10"/>
        <v>738783</v>
      </c>
      <c r="F32" s="183"/>
      <c r="G32" s="183">
        <v>0</v>
      </c>
      <c r="H32" s="184">
        <f t="shared" si="2"/>
        <v>1556459</v>
      </c>
      <c r="I32" s="710"/>
      <c r="J32" s="339">
        <f t="shared" si="1"/>
        <v>0</v>
      </c>
      <c r="K32" s="339"/>
      <c r="L32" s="339"/>
      <c r="M32" s="339"/>
      <c r="N32" s="339"/>
      <c r="O32" s="339"/>
      <c r="P32" s="675"/>
      <c r="Q32" s="348" t="s">
        <v>778</v>
      </c>
      <c r="R32" s="665" t="s">
        <v>790</v>
      </c>
      <c r="S32" s="665"/>
      <c r="T32" s="665"/>
      <c r="U32" s="665"/>
      <c r="V32" s="665"/>
      <c r="W32" s="286"/>
      <c r="X32" s="286"/>
      <c r="Y32" s="733"/>
      <c r="AG32" s="269"/>
      <c r="AH32" s="659"/>
      <c r="AI32" s="660"/>
      <c r="AJ32" s="232"/>
    </row>
    <row r="33" spans="1:38" ht="30.9" customHeight="1" thickTop="1">
      <c r="A33" s="264"/>
      <c r="B33" s="265"/>
      <c r="C33" s="183"/>
      <c r="D33" s="293">
        <v>100000</v>
      </c>
      <c r="E33" s="293">
        <f t="shared" si="0"/>
        <v>-100000</v>
      </c>
      <c r="F33" s="183"/>
      <c r="G33" s="183">
        <v>0</v>
      </c>
      <c r="H33" s="184">
        <f t="shared" si="2"/>
        <v>1456459</v>
      </c>
      <c r="I33" s="710"/>
      <c r="J33" s="339">
        <f t="shared" si="1"/>
        <v>100000</v>
      </c>
      <c r="K33" s="339"/>
      <c r="L33" s="339"/>
      <c r="M33" s="339"/>
      <c r="N33" s="339"/>
      <c r="O33" s="339"/>
      <c r="P33" s="675"/>
      <c r="Q33" s="348" t="s">
        <v>775</v>
      </c>
      <c r="R33" s="665" t="s">
        <v>776</v>
      </c>
      <c r="S33" s="665"/>
      <c r="T33" s="665"/>
      <c r="U33" s="665"/>
      <c r="V33" s="665"/>
      <c r="W33" s="286"/>
      <c r="X33" s="286"/>
      <c r="Y33" s="733"/>
      <c r="AH33" s="81"/>
      <c r="AI33" s="81"/>
    </row>
    <row r="34" spans="1:38" ht="45" customHeight="1">
      <c r="A34" s="672" t="s">
        <v>247</v>
      </c>
      <c r="B34" s="673"/>
      <c r="C34" s="292">
        <f>SUM(C2:C33)</f>
        <v>15516189</v>
      </c>
      <c r="D34" s="292">
        <f>SUM(D2:D33)</f>
        <v>14057512</v>
      </c>
      <c r="E34" s="292">
        <f>SUM(E2:E33)</f>
        <v>1458677</v>
      </c>
      <c r="F34" s="292">
        <f>SUM(F2:F33)</f>
        <v>-2218</v>
      </c>
      <c r="G34" s="292">
        <f>SUM(G2:G33)</f>
        <v>0</v>
      </c>
      <c r="H34" s="292">
        <f>C34-D34+G34</f>
        <v>1458677</v>
      </c>
      <c r="I34" s="710"/>
      <c r="J34" s="340">
        <f>SUM(J2:J33)</f>
        <v>13145001</v>
      </c>
      <c r="K34" s="340">
        <f t="shared" ref="K34:O34" si="11">SUM(K2:K33)</f>
        <v>84160</v>
      </c>
      <c r="L34" s="340">
        <f t="shared" si="11"/>
        <v>47179</v>
      </c>
      <c r="M34" s="340">
        <f t="shared" si="11"/>
        <v>17456</v>
      </c>
      <c r="N34" s="340">
        <f t="shared" si="11"/>
        <v>237361</v>
      </c>
      <c r="O34" s="340">
        <f t="shared" si="11"/>
        <v>526355</v>
      </c>
      <c r="P34" s="675"/>
      <c r="Y34" s="733"/>
      <c r="AG34" s="674"/>
      <c r="AH34" s="674"/>
      <c r="AI34" s="674"/>
      <c r="AJ34" s="674"/>
      <c r="AK34" s="674"/>
      <c r="AL34" s="674"/>
    </row>
    <row r="35" spans="1:38">
      <c r="A35" s="69"/>
    </row>
    <row r="36" spans="1:38">
      <c r="A36" s="69"/>
    </row>
    <row r="37" spans="1:38">
      <c r="A37" s="69"/>
    </row>
    <row r="38" spans="1:38">
      <c r="A38" s="69"/>
    </row>
    <row r="39" spans="1:38">
      <c r="A39" s="69"/>
    </row>
    <row r="40" spans="1:38" ht="21" customHeight="1">
      <c r="A40" s="69"/>
    </row>
    <row r="41" spans="1:38" ht="23.1" customHeight="1">
      <c r="A41" s="69"/>
    </row>
    <row r="42" spans="1:38">
      <c r="A42" s="69"/>
    </row>
    <row r="43" spans="1:38" ht="29.1" customHeight="1">
      <c r="A43" s="69"/>
    </row>
    <row r="44" spans="1:38" ht="15" customHeight="1">
      <c r="A44" s="69"/>
    </row>
    <row r="45" spans="1:38">
      <c r="A45" s="69"/>
    </row>
    <row r="46" spans="1:38">
      <c r="A46" s="69"/>
    </row>
    <row r="47" spans="1:38">
      <c r="A47" s="69"/>
    </row>
    <row r="48" spans="1:38">
      <c r="A48" s="69"/>
    </row>
    <row r="49" spans="1:1">
      <c r="A49" s="69"/>
    </row>
    <row r="50" spans="1:1">
      <c r="A50" s="69"/>
    </row>
    <row r="51" spans="1:1" ht="18.899999999999999" customHeight="1">
      <c r="A51" s="69"/>
    </row>
  </sheetData>
  <mergeCells count="75">
    <mergeCell ref="A1:B1"/>
    <mergeCell ref="I1:I34"/>
    <mergeCell ref="P1:P34"/>
    <mergeCell ref="Q1:X1"/>
    <mergeCell ref="Y1:Y34"/>
    <mergeCell ref="Q4:R5"/>
    <mergeCell ref="R9:X9"/>
    <mergeCell ref="Q10:X10"/>
    <mergeCell ref="Q11:X11"/>
    <mergeCell ref="U8:X8"/>
    <mergeCell ref="Q3:R3"/>
    <mergeCell ref="V3:X3"/>
    <mergeCell ref="U7:X7"/>
    <mergeCell ref="V18:X18"/>
    <mergeCell ref="Q16:S16"/>
    <mergeCell ref="T16:X16"/>
    <mergeCell ref="Z3:AB3"/>
    <mergeCell ref="AC3:AE3"/>
    <mergeCell ref="Z1:AE1"/>
    <mergeCell ref="AG5:AJ5"/>
    <mergeCell ref="Q6:X6"/>
    <mergeCell ref="AG6:AH6"/>
    <mergeCell ref="AI6:AJ6"/>
    <mergeCell ref="AG1:AJ1"/>
    <mergeCell ref="Q2:X2"/>
    <mergeCell ref="Z2:AB2"/>
    <mergeCell ref="AD2:AE2"/>
    <mergeCell ref="AG2:AJ2"/>
    <mergeCell ref="Z15:AB15"/>
    <mergeCell ref="AC15:AE15"/>
    <mergeCell ref="AG15:AG16"/>
    <mergeCell ref="AH15:AI15"/>
    <mergeCell ref="AH16:AI16"/>
    <mergeCell ref="AG11:AJ11"/>
    <mergeCell ref="AG12:AI12"/>
    <mergeCell ref="AG13:AH14"/>
    <mergeCell ref="Z14:AB14"/>
    <mergeCell ref="AD14:AE14"/>
    <mergeCell ref="Q17:V17"/>
    <mergeCell ref="AH17:AI17"/>
    <mergeCell ref="V22:X22"/>
    <mergeCell ref="Z22:AC23"/>
    <mergeCell ref="AD22:AE23"/>
    <mergeCell ref="AG22:AJ22"/>
    <mergeCell ref="V23:X23"/>
    <mergeCell ref="V19:X19"/>
    <mergeCell ref="AG19:AI19"/>
    <mergeCell ref="AG20:AI20"/>
    <mergeCell ref="Q21:X21"/>
    <mergeCell ref="AG21:AI21"/>
    <mergeCell ref="AG23:AJ23"/>
    <mergeCell ref="AG18:AI18"/>
    <mergeCell ref="Z24:AE24"/>
    <mergeCell ref="AG24:AI24"/>
    <mergeCell ref="Q25:V25"/>
    <mergeCell ref="AA25:AB25"/>
    <mergeCell ref="AD25:AE25"/>
    <mergeCell ref="AH25:AI25"/>
    <mergeCell ref="R26:V26"/>
    <mergeCell ref="AH26:AI26"/>
    <mergeCell ref="R27:V27"/>
    <mergeCell ref="AH27:AI27"/>
    <mergeCell ref="R28:V28"/>
    <mergeCell ref="AH28:AI28"/>
    <mergeCell ref="R29:V29"/>
    <mergeCell ref="AG29:AI29"/>
    <mergeCell ref="R30:V30"/>
    <mergeCell ref="AH30:AI30"/>
    <mergeCell ref="R31:V31"/>
    <mergeCell ref="AH31:AI31"/>
    <mergeCell ref="R32:V32"/>
    <mergeCell ref="AH32:AI32"/>
    <mergeCell ref="R33:V33"/>
    <mergeCell ref="A34:B34"/>
    <mergeCell ref="AG34:AL34"/>
  </mergeCells>
  <conditionalFormatting sqref="K2:O32 N33">
    <cfRule type="cellIs" dxfId="77" priority="2" operator="greaterThan">
      <formula>0</formula>
    </cfRule>
    <cfRule type="cellIs" dxfId="76" priority="3" operator="equal">
      <formula>0</formula>
    </cfRule>
    <cfRule type="cellIs" dxfId="75" priority="4" operator="equal">
      <formula>"¥11.055"</formula>
    </cfRule>
    <cfRule type="cellIs" dxfId="74" priority="5" operator="equal">
      <formula>0</formula>
    </cfRule>
  </conditionalFormatting>
  <conditionalFormatting sqref="AJ12:AJ18">
    <cfRule type="cellIs" dxfId="73" priority="1" operator="greaterThan">
      <formula>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8A175-79A2-48F5-9581-78A3FA82B459}">
  <dimension ref="A1:AL51"/>
  <sheetViews>
    <sheetView topLeftCell="N1" zoomScaleNormal="100" workbookViewId="0">
      <pane ySplit="1" topLeftCell="A2" activePane="bottomLeft" state="frozen"/>
      <selection pane="bottomLeft" activeCell="R9" sqref="R9:X9"/>
    </sheetView>
  </sheetViews>
  <sheetFormatPr defaultColWidth="10.6328125" defaultRowHeight="18"/>
  <cols>
    <col min="1" max="1" width="5.90625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6.81640625" style="69" customWidth="1"/>
    <col min="7" max="7" width="4.54296875" style="69" customWidth="1"/>
    <col min="8" max="8" width="12.453125" style="69" customWidth="1"/>
    <col min="9" max="9" width="4.1796875" style="69" customWidth="1"/>
    <col min="10" max="15" width="11.90625" style="69" customWidth="1"/>
    <col min="16" max="16" width="3" style="69" customWidth="1"/>
    <col min="17" max="23" width="8.6328125" style="69" customWidth="1"/>
    <col min="24" max="24" width="7.7265625" style="69" customWidth="1"/>
    <col min="25" max="25" width="3.1796875" style="69" customWidth="1"/>
    <col min="26" max="26" width="13.1796875" style="69" customWidth="1"/>
    <col min="27" max="27" width="13.1796875" style="296" customWidth="1"/>
    <col min="28" max="28" width="5.81640625" style="297" customWidth="1"/>
    <col min="29" max="29" width="13.1796875" style="69" customWidth="1"/>
    <col min="30" max="30" width="13.81640625" style="296" customWidth="1"/>
    <col min="31" max="31" width="4.90625" style="297" customWidth="1"/>
    <col min="32" max="32" width="10.81640625" style="296" customWidth="1"/>
    <col min="33" max="34" width="7" style="69" customWidth="1"/>
    <col min="35" max="35" width="11.453125" style="69" customWidth="1"/>
    <col min="36" max="36" width="21" style="69" customWidth="1"/>
    <col min="37" max="16384" width="10.6328125" style="69"/>
  </cols>
  <sheetData>
    <row r="1" spans="1:36" ht="38.25" customHeight="1" thickTop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133" t="s">
        <v>463</v>
      </c>
      <c r="H1" s="220" t="s">
        <v>464</v>
      </c>
      <c r="I1" s="710"/>
      <c r="J1" s="338" t="s">
        <v>705</v>
      </c>
      <c r="K1" s="338" t="s">
        <v>741</v>
      </c>
      <c r="L1" s="338" t="s">
        <v>707</v>
      </c>
      <c r="M1" s="338" t="s">
        <v>708</v>
      </c>
      <c r="N1" s="338" t="s">
        <v>710</v>
      </c>
      <c r="O1" s="338" t="s">
        <v>742</v>
      </c>
      <c r="P1" s="675"/>
      <c r="Q1" s="723" t="s">
        <v>793</v>
      </c>
      <c r="R1" s="723"/>
      <c r="S1" s="723"/>
      <c r="T1" s="723"/>
      <c r="U1" s="723"/>
      <c r="V1" s="723"/>
      <c r="W1" s="723"/>
      <c r="X1" s="723"/>
      <c r="Y1" s="733"/>
      <c r="Z1" s="676" t="s">
        <v>718</v>
      </c>
      <c r="AA1" s="677"/>
      <c r="AB1" s="677"/>
      <c r="AC1" s="677"/>
      <c r="AD1" s="677"/>
      <c r="AE1" s="678"/>
      <c r="AF1" s="281"/>
      <c r="AG1" s="631" t="s">
        <v>642</v>
      </c>
      <c r="AH1" s="632"/>
      <c r="AI1" s="632"/>
      <c r="AJ1" s="632"/>
    </row>
    <row r="2" spans="1:36" ht="30.9" customHeight="1" thickTop="1" thickBot="1">
      <c r="A2" s="176">
        <v>45962</v>
      </c>
      <c r="B2" s="178" t="s">
        <v>486</v>
      </c>
      <c r="C2" s="183">
        <v>655912</v>
      </c>
      <c r="D2" s="183">
        <v>792802</v>
      </c>
      <c r="E2" s="183">
        <f>C2-D2</f>
        <v>-136890</v>
      </c>
      <c r="F2" s="183">
        <v>-22</v>
      </c>
      <c r="G2" s="183">
        <v>0</v>
      </c>
      <c r="H2" s="221">
        <f>E2+F2</f>
        <v>-136912</v>
      </c>
      <c r="I2" s="710"/>
      <c r="J2" s="339">
        <f>D2-SUM(K2:O2)</f>
        <v>777792</v>
      </c>
      <c r="K2" s="339">
        <v>13000</v>
      </c>
      <c r="L2" s="339"/>
      <c r="M2" s="339"/>
      <c r="N2" s="339">
        <v>2010</v>
      </c>
      <c r="O2" s="339"/>
      <c r="P2" s="675"/>
      <c r="Q2" s="709" t="s">
        <v>249</v>
      </c>
      <c r="R2" s="709"/>
      <c r="S2" s="709"/>
      <c r="T2" s="709"/>
      <c r="U2" s="709"/>
      <c r="V2" s="709"/>
      <c r="W2" s="709"/>
      <c r="X2" s="709"/>
      <c r="Y2" s="733"/>
      <c r="Z2" s="734" t="s">
        <v>711</v>
      </c>
      <c r="AA2" s="725"/>
      <c r="AB2" s="726"/>
      <c r="AC2" s="346">
        <f>AD13+AA13</f>
        <v>14408965</v>
      </c>
      <c r="AD2" s="681">
        <f>AB13+AE13</f>
        <v>0.94393445466738701</v>
      </c>
      <c r="AE2" s="682"/>
      <c r="AF2" s="81"/>
      <c r="AG2" s="627" t="s">
        <v>638</v>
      </c>
      <c r="AH2" s="628"/>
      <c r="AI2" s="628"/>
      <c r="AJ2" s="628"/>
    </row>
    <row r="3" spans="1:36" ht="30.9" customHeight="1" thickTop="1" thickBot="1">
      <c r="A3" s="176">
        <v>45963</v>
      </c>
      <c r="B3" s="178" t="s">
        <v>487</v>
      </c>
      <c r="C3" s="183">
        <v>504753</v>
      </c>
      <c r="D3" s="183">
        <v>219384</v>
      </c>
      <c r="E3" s="183">
        <f t="shared" ref="E3:E33" si="0">C3-D3</f>
        <v>285369</v>
      </c>
      <c r="F3" s="183">
        <v>-241</v>
      </c>
      <c r="G3" s="183">
        <v>0</v>
      </c>
      <c r="H3" s="221">
        <f>H2+E3+F3</f>
        <v>148216</v>
      </c>
      <c r="I3" s="710"/>
      <c r="J3" s="339">
        <f t="shared" ref="J3:J33" si="1">D3-SUM(K3:O3)</f>
        <v>19064</v>
      </c>
      <c r="K3" s="339"/>
      <c r="L3" s="339"/>
      <c r="M3" s="339"/>
      <c r="N3" s="339">
        <v>320</v>
      </c>
      <c r="O3" s="339">
        <v>200000</v>
      </c>
      <c r="P3" s="675"/>
      <c r="Q3" s="725" t="s">
        <v>769</v>
      </c>
      <c r="R3" s="726"/>
      <c r="S3" s="222" t="s">
        <v>251</v>
      </c>
      <c r="T3" s="222" t="s">
        <v>252</v>
      </c>
      <c r="U3" s="222" t="s">
        <v>449</v>
      </c>
      <c r="V3" s="659" t="s">
        <v>773</v>
      </c>
      <c r="W3" s="724"/>
      <c r="X3" s="724"/>
      <c r="Y3" s="733"/>
      <c r="Z3" s="713" t="s">
        <v>713</v>
      </c>
      <c r="AA3" s="714"/>
      <c r="AB3" s="714"/>
      <c r="AC3" s="715" t="s">
        <v>712</v>
      </c>
      <c r="AD3" s="715"/>
      <c r="AE3" s="716"/>
      <c r="AF3" s="81"/>
      <c r="AG3" s="246"/>
      <c r="AH3" s="247"/>
      <c r="AI3" s="247"/>
      <c r="AJ3" s="247"/>
    </row>
    <row r="4" spans="1:36" ht="30.9" customHeight="1" thickTop="1" thickBot="1">
      <c r="A4" s="176">
        <v>45964</v>
      </c>
      <c r="B4" s="177" t="s">
        <v>488</v>
      </c>
      <c r="C4" s="183">
        <v>418660</v>
      </c>
      <c r="D4" s="183">
        <v>61590</v>
      </c>
      <c r="E4" s="183">
        <f t="shared" si="0"/>
        <v>357070</v>
      </c>
      <c r="F4" s="183">
        <v>0</v>
      </c>
      <c r="G4" s="183">
        <v>0</v>
      </c>
      <c r="H4" s="221">
        <f t="shared" ref="H4:H33" si="2">H3+E4+F4</f>
        <v>505286</v>
      </c>
      <c r="I4" s="710"/>
      <c r="J4" s="339">
        <f t="shared" si="1"/>
        <v>61290</v>
      </c>
      <c r="K4" s="339"/>
      <c r="L4" s="339"/>
      <c r="M4" s="339"/>
      <c r="N4" s="339">
        <v>300</v>
      </c>
      <c r="O4" s="339"/>
      <c r="P4" s="675"/>
      <c r="Q4" s="727">
        <f>C34</f>
        <v>15264794</v>
      </c>
      <c r="R4" s="728"/>
      <c r="S4" s="224">
        <v>0</v>
      </c>
      <c r="T4" s="224">
        <v>0</v>
      </c>
      <c r="U4" s="224">
        <f>-F34</f>
        <v>5317</v>
      </c>
      <c r="V4" s="224">
        <v>53596</v>
      </c>
      <c r="W4" s="306"/>
      <c r="X4" s="306"/>
      <c r="Y4" s="733"/>
      <c r="Z4" s="319" t="s">
        <v>714</v>
      </c>
      <c r="AA4" s="243">
        <v>192550</v>
      </c>
      <c r="AB4" s="312">
        <f>AA4/$Q$4</f>
        <v>1.2613992694562403E-2</v>
      </c>
      <c r="AC4" s="328" t="s">
        <v>719</v>
      </c>
      <c r="AD4" s="243">
        <f>R8</f>
        <v>885150</v>
      </c>
      <c r="AE4" s="313">
        <f>AD4/$Q$4</f>
        <v>5.7986370467888397E-2</v>
      </c>
      <c r="AG4" s="249"/>
      <c r="AH4" s="250"/>
      <c r="AI4" s="250"/>
      <c r="AJ4" s="250"/>
    </row>
    <row r="5" spans="1:36" ht="30.9" customHeight="1" thickTop="1" thickBot="1">
      <c r="A5" s="176">
        <v>45965</v>
      </c>
      <c r="B5" s="177" t="s">
        <v>489</v>
      </c>
      <c r="C5" s="183">
        <v>387587</v>
      </c>
      <c r="D5" s="183">
        <v>151692</v>
      </c>
      <c r="E5" s="183">
        <f t="shared" si="0"/>
        <v>235895</v>
      </c>
      <c r="F5" s="183">
        <v>0</v>
      </c>
      <c r="G5" s="183">
        <v>0</v>
      </c>
      <c r="H5" s="221">
        <f t="shared" si="2"/>
        <v>741181</v>
      </c>
      <c r="I5" s="710"/>
      <c r="J5" s="339">
        <f t="shared" si="1"/>
        <v>151692</v>
      </c>
      <c r="K5" s="339"/>
      <c r="L5" s="339"/>
      <c r="M5" s="339"/>
      <c r="N5" s="339"/>
      <c r="O5" s="339"/>
      <c r="P5" s="675"/>
      <c r="Q5" s="729"/>
      <c r="R5" s="730"/>
      <c r="S5" s="225">
        <f>S4/Q4</f>
        <v>0</v>
      </c>
      <c r="T5" s="225">
        <f>T4/Q4</f>
        <v>0</v>
      </c>
      <c r="U5" s="226">
        <f>U4/Q4</f>
        <v>3.4831783514405765E-4</v>
      </c>
      <c r="V5" s="226">
        <f>V4/Q4</f>
        <v>3.5110857047923475E-3</v>
      </c>
      <c r="W5" s="307"/>
      <c r="X5" s="307"/>
      <c r="Y5" s="733"/>
      <c r="Z5" s="319" t="s">
        <v>715</v>
      </c>
      <c r="AA5" s="243">
        <v>26055</v>
      </c>
      <c r="AB5" s="312">
        <f t="shared" ref="AB5:AB12" si="3">AA5/$Q$4</f>
        <v>1.7068687595784128E-3</v>
      </c>
      <c r="AC5" s="328" t="s">
        <v>720</v>
      </c>
      <c r="AD5" s="243">
        <f>SUM(Q14:X14)</f>
        <v>0</v>
      </c>
      <c r="AE5" s="313">
        <f t="shared" ref="AE5:AE12" si="4">AD5/$Q$4</f>
        <v>0</v>
      </c>
      <c r="AG5" s="654" t="s">
        <v>639</v>
      </c>
      <c r="AH5" s="655"/>
      <c r="AI5" s="655"/>
      <c r="AJ5" s="655"/>
    </row>
    <row r="6" spans="1:36" ht="30.9" customHeight="1" thickTop="1" thickBot="1">
      <c r="A6" s="176">
        <v>45966</v>
      </c>
      <c r="B6" s="177" t="s">
        <v>490</v>
      </c>
      <c r="C6" s="183">
        <v>262021</v>
      </c>
      <c r="D6" s="183">
        <v>1193343</v>
      </c>
      <c r="E6" s="183">
        <f t="shared" si="0"/>
        <v>-931322</v>
      </c>
      <c r="F6" s="183">
        <v>0</v>
      </c>
      <c r="G6" s="183">
        <v>0</v>
      </c>
      <c r="H6" s="221">
        <f t="shared" si="2"/>
        <v>-190141</v>
      </c>
      <c r="I6" s="710"/>
      <c r="J6" s="339">
        <f>D6-SUM(K6:O6)</f>
        <v>1180022</v>
      </c>
      <c r="K6" s="339">
        <v>13321</v>
      </c>
      <c r="L6" s="339"/>
      <c r="M6" s="339"/>
      <c r="N6" s="339"/>
      <c r="O6" s="339"/>
      <c r="P6" s="675"/>
      <c r="Q6" s="702" t="s">
        <v>250</v>
      </c>
      <c r="R6" s="702"/>
      <c r="S6" s="702"/>
      <c r="T6" s="702"/>
      <c r="U6" s="702"/>
      <c r="V6" s="702"/>
      <c r="W6" s="702"/>
      <c r="X6" s="702"/>
      <c r="Y6" s="733"/>
      <c r="Z6" s="319" t="s">
        <v>716</v>
      </c>
      <c r="AA6" s="243">
        <v>6080</v>
      </c>
      <c r="AB6" s="312">
        <f t="shared" si="3"/>
        <v>3.983021323445308E-4</v>
      </c>
      <c r="AC6" s="328" t="s">
        <v>721</v>
      </c>
      <c r="AD6" s="243">
        <v>138353</v>
      </c>
      <c r="AE6" s="313">
        <f t="shared" si="4"/>
        <v>9.0635353480695516E-3</v>
      </c>
      <c r="AG6" s="630" t="s">
        <v>231</v>
      </c>
      <c r="AH6" s="630"/>
      <c r="AI6" s="490"/>
      <c r="AJ6" s="490"/>
    </row>
    <row r="7" spans="1:36" ht="30.9" customHeight="1" thickTop="1" thickBot="1">
      <c r="A7" s="176">
        <v>45967</v>
      </c>
      <c r="B7" s="177" t="s">
        <v>491</v>
      </c>
      <c r="C7" s="183">
        <v>556898</v>
      </c>
      <c r="D7" s="183">
        <v>263054</v>
      </c>
      <c r="E7" s="183">
        <f t="shared" si="0"/>
        <v>293844</v>
      </c>
      <c r="F7" s="183">
        <v>-54</v>
      </c>
      <c r="G7" s="183">
        <v>0</v>
      </c>
      <c r="H7" s="221">
        <f t="shared" si="2"/>
        <v>103649</v>
      </c>
      <c r="I7" s="710"/>
      <c r="J7" s="339">
        <f>D7-SUM(K7:O7)</f>
        <v>254150</v>
      </c>
      <c r="K7" s="339">
        <v>3850</v>
      </c>
      <c r="L7" s="339"/>
      <c r="M7" s="339">
        <v>5054</v>
      </c>
      <c r="N7" s="339"/>
      <c r="O7" s="339"/>
      <c r="P7" s="675"/>
      <c r="Q7" s="329" t="s">
        <v>705</v>
      </c>
      <c r="R7" s="290" t="s">
        <v>253</v>
      </c>
      <c r="S7" s="288" t="s">
        <v>624</v>
      </c>
      <c r="T7" s="222"/>
      <c r="U7" s="703" t="s">
        <v>247</v>
      </c>
      <c r="V7" s="704"/>
      <c r="W7" s="704"/>
      <c r="X7" s="704"/>
      <c r="Y7" s="733"/>
      <c r="Z7" s="319" t="s">
        <v>717</v>
      </c>
      <c r="AA7" s="243">
        <f>T19</f>
        <v>46990</v>
      </c>
      <c r="AB7" s="312">
        <f t="shared" si="3"/>
        <v>3.0783251971824841E-3</v>
      </c>
      <c r="AC7" s="328" t="s">
        <v>722</v>
      </c>
      <c r="AD7" s="243">
        <v>3396</v>
      </c>
      <c r="AE7" s="313">
        <f t="shared" si="4"/>
        <v>2.2247270418454385E-4</v>
      </c>
      <c r="AG7" s="242" t="s">
        <v>640</v>
      </c>
      <c r="AH7" s="243">
        <v>300000</v>
      </c>
    </row>
    <row r="8" spans="1:36" ht="30.9" customHeight="1" thickTop="1" thickBot="1">
      <c r="A8" s="176">
        <v>45968</v>
      </c>
      <c r="B8" s="178" t="s">
        <v>485</v>
      </c>
      <c r="C8" s="183">
        <v>639036</v>
      </c>
      <c r="D8" s="183">
        <v>643274</v>
      </c>
      <c r="E8" s="183">
        <f t="shared" si="0"/>
        <v>-4238</v>
      </c>
      <c r="F8" s="183">
        <v>-51</v>
      </c>
      <c r="G8" s="183">
        <v>0</v>
      </c>
      <c r="H8" s="221">
        <f t="shared" si="2"/>
        <v>99360</v>
      </c>
      <c r="I8" s="710"/>
      <c r="J8" s="339">
        <f t="shared" si="1"/>
        <v>643274</v>
      </c>
      <c r="K8" s="339"/>
      <c r="L8" s="339"/>
      <c r="M8" s="339"/>
      <c r="N8" s="339"/>
      <c r="O8" s="339"/>
      <c r="P8" s="675"/>
      <c r="Q8" s="330">
        <f>D34</f>
        <v>13454812</v>
      </c>
      <c r="R8" s="291">
        <f>T16</f>
        <v>885150</v>
      </c>
      <c r="S8" s="289">
        <f>V19</f>
        <v>261719</v>
      </c>
      <c r="T8" s="229"/>
      <c r="U8" s="705">
        <f>SUM(Q8:T8)</f>
        <v>14601681</v>
      </c>
      <c r="V8" s="706"/>
      <c r="W8" s="706"/>
      <c r="X8" s="706"/>
      <c r="Y8" s="733"/>
      <c r="Z8" s="319" t="s">
        <v>723</v>
      </c>
      <c r="AA8" s="243">
        <v>5500</v>
      </c>
      <c r="AB8" s="312">
        <f t="shared" si="3"/>
        <v>3.6030620524587495E-4</v>
      </c>
      <c r="AC8" s="328" t="s">
        <v>708</v>
      </c>
      <c r="AD8" s="243">
        <f>M34</f>
        <v>7724</v>
      </c>
      <c r="AE8" s="313">
        <f t="shared" si="4"/>
        <v>5.0600093260347962E-4</v>
      </c>
      <c r="AG8" s="242" t="s">
        <v>641</v>
      </c>
      <c r="AH8" s="243">
        <v>55000</v>
      </c>
    </row>
    <row r="9" spans="1:36" ht="30.9" customHeight="1" thickTop="1" thickBot="1">
      <c r="A9" s="176">
        <v>45969</v>
      </c>
      <c r="B9" s="178" t="s">
        <v>486</v>
      </c>
      <c r="C9" s="183">
        <v>678712</v>
      </c>
      <c r="D9" s="183">
        <v>232170</v>
      </c>
      <c r="E9" s="183">
        <f t="shared" si="0"/>
        <v>446542</v>
      </c>
      <c r="F9" s="183">
        <v>-227</v>
      </c>
      <c r="G9" s="183">
        <v>0</v>
      </c>
      <c r="H9" s="221">
        <f t="shared" si="2"/>
        <v>545675</v>
      </c>
      <c r="I9" s="710"/>
      <c r="J9" s="339">
        <f t="shared" si="1"/>
        <v>223570</v>
      </c>
      <c r="K9" s="339">
        <v>8000</v>
      </c>
      <c r="L9" s="339"/>
      <c r="M9" s="339"/>
      <c r="N9" s="339">
        <v>600</v>
      </c>
      <c r="O9" s="339"/>
      <c r="P9" s="675"/>
      <c r="Q9" s="331" t="s">
        <v>266</v>
      </c>
      <c r="R9" s="731">
        <f>Q4-U8-V4-U4</f>
        <v>604200</v>
      </c>
      <c r="S9" s="732"/>
      <c r="T9" s="732"/>
      <c r="U9" s="732"/>
      <c r="V9" s="732"/>
      <c r="W9" s="732"/>
      <c r="X9" s="732"/>
      <c r="Y9" s="733"/>
      <c r="Z9" s="319" t="s">
        <v>724</v>
      </c>
      <c r="AA9" s="243">
        <v>0</v>
      </c>
      <c r="AB9" s="312">
        <f t="shared" si="3"/>
        <v>0</v>
      </c>
      <c r="AC9" s="328" t="s">
        <v>707</v>
      </c>
      <c r="AD9" s="243">
        <f>L34</f>
        <v>55036</v>
      </c>
      <c r="AE9" s="313">
        <f t="shared" si="4"/>
        <v>3.6054204203476311E-3</v>
      </c>
      <c r="AG9" s="241" t="s">
        <v>495</v>
      </c>
      <c r="AH9" s="243">
        <v>35000</v>
      </c>
    </row>
    <row r="10" spans="1:36" ht="30.9" customHeight="1" thickTop="1" thickBot="1">
      <c r="A10" s="176">
        <v>45970</v>
      </c>
      <c r="B10" s="178" t="s">
        <v>487</v>
      </c>
      <c r="C10" s="183">
        <v>386760</v>
      </c>
      <c r="D10" s="183">
        <v>836366</v>
      </c>
      <c r="E10" s="183">
        <f t="shared" si="0"/>
        <v>-449606</v>
      </c>
      <c r="F10" s="183">
        <v>-34</v>
      </c>
      <c r="G10" s="183">
        <v>0</v>
      </c>
      <c r="H10" s="221">
        <f t="shared" si="2"/>
        <v>96035</v>
      </c>
      <c r="I10" s="710"/>
      <c r="J10" s="339">
        <f t="shared" si="1"/>
        <v>836046</v>
      </c>
      <c r="K10" s="339"/>
      <c r="L10" s="339"/>
      <c r="M10" s="339"/>
      <c r="N10" s="339">
        <v>320</v>
      </c>
      <c r="O10" s="339"/>
      <c r="P10" s="675"/>
      <c r="Q10" s="708" t="s">
        <v>257</v>
      </c>
      <c r="R10" s="708"/>
      <c r="S10" s="708"/>
      <c r="T10" s="708"/>
      <c r="U10" s="708"/>
      <c r="V10" s="708"/>
      <c r="W10" s="708"/>
      <c r="X10" s="708"/>
      <c r="Y10" s="733"/>
      <c r="Z10" s="319" t="s">
        <v>743</v>
      </c>
      <c r="AA10" s="243">
        <v>0</v>
      </c>
      <c r="AB10" s="312">
        <f t="shared" si="3"/>
        <v>0</v>
      </c>
      <c r="AC10" s="328" t="s">
        <v>706</v>
      </c>
      <c r="AD10" s="243">
        <f>K34</f>
        <v>91378</v>
      </c>
      <c r="AE10" s="313">
        <f t="shared" si="4"/>
        <v>5.9861928041741019E-3</v>
      </c>
      <c r="AG10" s="244" t="s">
        <v>73</v>
      </c>
      <c r="AH10" s="245">
        <f>SUM(AH7:AH9)</f>
        <v>390000</v>
      </c>
      <c r="AI10" s="252"/>
      <c r="AJ10" s="252"/>
    </row>
    <row r="11" spans="1:36" ht="30.9" customHeight="1" thickTop="1" thickBot="1">
      <c r="A11" s="176">
        <v>45971</v>
      </c>
      <c r="B11" s="177" t="s">
        <v>488</v>
      </c>
      <c r="C11" s="183">
        <v>291841</v>
      </c>
      <c r="D11" s="183">
        <v>35940</v>
      </c>
      <c r="E11" s="183">
        <f t="shared" si="0"/>
        <v>255901</v>
      </c>
      <c r="F11" s="183">
        <v>0</v>
      </c>
      <c r="G11" s="183">
        <v>0</v>
      </c>
      <c r="H11" s="221">
        <f>H10+E11+F11</f>
        <v>351936</v>
      </c>
      <c r="I11" s="710"/>
      <c r="J11" s="339">
        <f t="shared" si="1"/>
        <v>35940</v>
      </c>
      <c r="K11" s="339"/>
      <c r="L11" s="339"/>
      <c r="M11" s="339"/>
      <c r="N11" s="339"/>
      <c r="O11" s="339"/>
      <c r="P11" s="675"/>
      <c r="Q11" s="707" t="s">
        <v>477</v>
      </c>
      <c r="R11" s="707"/>
      <c r="S11" s="707"/>
      <c r="T11" s="707"/>
      <c r="U11" s="707"/>
      <c r="V11" s="707"/>
      <c r="W11" s="707"/>
      <c r="X11" s="707"/>
      <c r="Y11" s="733"/>
      <c r="Z11" s="319" t="s">
        <v>744</v>
      </c>
      <c r="AA11" s="352">
        <v>0</v>
      </c>
      <c r="AB11" s="312">
        <f t="shared" si="3"/>
        <v>0</v>
      </c>
      <c r="AC11" s="328" t="s">
        <v>705</v>
      </c>
      <c r="AD11" s="243">
        <f>J34</f>
        <v>12496649</v>
      </c>
      <c r="AE11" s="313">
        <f t="shared" si="4"/>
        <v>0.81865821445084686</v>
      </c>
      <c r="AG11" s="647" t="s">
        <v>643</v>
      </c>
      <c r="AH11" s="647"/>
      <c r="AI11" s="647"/>
      <c r="AJ11" s="647"/>
    </row>
    <row r="12" spans="1:36" ht="30.9" customHeight="1" thickTop="1" thickBot="1">
      <c r="A12" s="176">
        <v>45972</v>
      </c>
      <c r="B12" s="177" t="s">
        <v>489</v>
      </c>
      <c r="C12" s="183">
        <v>516526</v>
      </c>
      <c r="D12" s="183">
        <v>439976</v>
      </c>
      <c r="E12" s="183">
        <f t="shared" si="0"/>
        <v>76550</v>
      </c>
      <c r="F12" s="183">
        <v>-112</v>
      </c>
      <c r="G12" s="183">
        <v>0</v>
      </c>
      <c r="H12" s="221">
        <f t="shared" si="2"/>
        <v>428374</v>
      </c>
      <c r="I12" s="710"/>
      <c r="J12" s="339">
        <f t="shared" si="1"/>
        <v>314647</v>
      </c>
      <c r="K12" s="339"/>
      <c r="L12" s="339"/>
      <c r="M12" s="339"/>
      <c r="N12" s="339">
        <v>125329</v>
      </c>
      <c r="O12" s="339"/>
      <c r="P12" s="675"/>
      <c r="Q12" s="269" t="s">
        <v>478</v>
      </c>
      <c r="R12" s="229" t="s">
        <v>479</v>
      </c>
      <c r="S12" s="229" t="s">
        <v>480</v>
      </c>
      <c r="T12" s="229" t="s">
        <v>455</v>
      </c>
      <c r="U12" s="229" t="s">
        <v>468</v>
      </c>
      <c r="V12" s="258" t="s">
        <v>230</v>
      </c>
      <c r="W12" s="308" t="s">
        <v>670</v>
      </c>
      <c r="X12" s="308" t="s">
        <v>788</v>
      </c>
      <c r="Y12" s="733"/>
      <c r="Z12" s="345" t="s">
        <v>771</v>
      </c>
      <c r="AA12" s="243">
        <v>200000</v>
      </c>
      <c r="AB12" s="312">
        <f t="shared" si="3"/>
        <v>1.3102043827122725E-2</v>
      </c>
      <c r="AC12" s="328" t="s">
        <v>725</v>
      </c>
      <c r="AD12" s="243">
        <f>N34</f>
        <v>254104</v>
      </c>
      <c r="AE12" s="313">
        <f t="shared" si="4"/>
        <v>1.6646408723235962E-2</v>
      </c>
      <c r="AG12" s="650" t="s">
        <v>644</v>
      </c>
      <c r="AH12" s="650"/>
      <c r="AI12" s="650"/>
      <c r="AJ12" s="229">
        <v>0</v>
      </c>
    </row>
    <row r="13" spans="1:36" ht="30.9" customHeight="1" thickTop="1" thickBot="1">
      <c r="A13" s="176">
        <v>45973</v>
      </c>
      <c r="B13" s="177" t="s">
        <v>490</v>
      </c>
      <c r="C13" s="183">
        <v>257403</v>
      </c>
      <c r="D13" s="183">
        <v>472126</v>
      </c>
      <c r="E13" s="183">
        <f t="shared" si="0"/>
        <v>-214723</v>
      </c>
      <c r="F13" s="183">
        <v>-541</v>
      </c>
      <c r="G13" s="183">
        <v>0</v>
      </c>
      <c r="H13" s="221">
        <f t="shared" si="2"/>
        <v>213110</v>
      </c>
      <c r="I13" s="710"/>
      <c r="J13" s="339">
        <f t="shared" si="1"/>
        <v>468630</v>
      </c>
      <c r="K13" s="339"/>
      <c r="L13" s="339"/>
      <c r="M13" s="339">
        <v>2670</v>
      </c>
      <c r="N13" s="339">
        <v>826</v>
      </c>
      <c r="O13" s="339"/>
      <c r="P13" s="675"/>
      <c r="Q13" s="332">
        <f>AH10-75000</f>
        <v>315000</v>
      </c>
      <c r="R13" s="229">
        <f>12.5*4*1100</f>
        <v>55000</v>
      </c>
      <c r="S13" s="229">
        <f>18*1100</f>
        <v>19800</v>
      </c>
      <c r="T13" s="229">
        <f>98*1100</f>
        <v>107800</v>
      </c>
      <c r="U13" s="229">
        <f>80.5*1100</f>
        <v>88550</v>
      </c>
      <c r="V13" s="229">
        <v>70000</v>
      </c>
      <c r="W13" s="266">
        <f>92.5*1100</f>
        <v>101750</v>
      </c>
      <c r="X13" s="266">
        <f>47.5*1100</f>
        <v>52250</v>
      </c>
      <c r="Y13" s="733"/>
      <c r="Z13" s="311" t="s">
        <v>709</v>
      </c>
      <c r="AA13" s="317">
        <f>SUM(AA4:AA12)</f>
        <v>477175</v>
      </c>
      <c r="AB13" s="312">
        <f>SUM(AB4:AB12)</f>
        <v>3.1259838816036431E-2</v>
      </c>
      <c r="AC13" s="327" t="s">
        <v>709</v>
      </c>
      <c r="AD13" s="317">
        <f>SUM(AD4:AD12)</f>
        <v>13931790</v>
      </c>
      <c r="AE13" s="313">
        <f>SUM(AE4:AE12)</f>
        <v>0.91267461585135057</v>
      </c>
      <c r="AG13" s="650" t="s">
        <v>645</v>
      </c>
      <c r="AH13" s="650"/>
      <c r="AI13" s="261" t="s">
        <v>646</v>
      </c>
      <c r="AJ13" s="229">
        <f>300000+125482+142800+1720000</f>
        <v>2288282</v>
      </c>
    </row>
    <row r="14" spans="1:36" ht="30.9" customHeight="1" thickTop="1" thickBot="1">
      <c r="A14" s="176">
        <v>45974</v>
      </c>
      <c r="B14" s="177" t="s">
        <v>491</v>
      </c>
      <c r="C14" s="183">
        <v>684968</v>
      </c>
      <c r="D14" s="183">
        <v>473603</v>
      </c>
      <c r="E14" s="183">
        <f t="shared" si="0"/>
        <v>211365</v>
      </c>
      <c r="F14" s="183">
        <v>-114</v>
      </c>
      <c r="G14" s="183">
        <v>0</v>
      </c>
      <c r="H14" s="221">
        <f t="shared" si="2"/>
        <v>424361</v>
      </c>
      <c r="I14" s="710"/>
      <c r="J14" s="339">
        <f t="shared" si="1"/>
        <v>471981</v>
      </c>
      <c r="K14" s="339"/>
      <c r="L14" s="339"/>
      <c r="M14" s="339"/>
      <c r="N14" s="339">
        <v>1622</v>
      </c>
      <c r="O14" s="339"/>
      <c r="P14" s="675"/>
      <c r="Q14" s="333">
        <v>0</v>
      </c>
      <c r="R14" s="287">
        <v>0</v>
      </c>
      <c r="S14" s="287">
        <v>0</v>
      </c>
      <c r="T14" s="287">
        <v>0</v>
      </c>
      <c r="U14" s="287">
        <v>0</v>
      </c>
      <c r="V14" s="287">
        <v>0</v>
      </c>
      <c r="W14" s="287">
        <v>0</v>
      </c>
      <c r="X14" s="287">
        <v>0</v>
      </c>
      <c r="Y14" s="733"/>
      <c r="Z14" s="735" t="s">
        <v>726</v>
      </c>
      <c r="AA14" s="736"/>
      <c r="AB14" s="737"/>
      <c r="AC14" s="347">
        <f>AA21+AD21</f>
        <v>216493</v>
      </c>
      <c r="AD14" s="681">
        <f>AB21+AE21</f>
        <v>1.4182503871326399E-2</v>
      </c>
      <c r="AE14" s="682"/>
      <c r="AF14" s="81"/>
      <c r="AG14" s="650"/>
      <c r="AH14" s="650"/>
      <c r="AI14" s="261" t="s">
        <v>647</v>
      </c>
      <c r="AJ14" s="229">
        <v>0</v>
      </c>
    </row>
    <row r="15" spans="1:36" ht="30.9" customHeight="1" thickTop="1" thickBot="1">
      <c r="A15" s="176">
        <v>45975</v>
      </c>
      <c r="B15" s="178" t="s">
        <v>485</v>
      </c>
      <c r="C15" s="183">
        <v>757018</v>
      </c>
      <c r="D15" s="183">
        <v>344906</v>
      </c>
      <c r="E15" s="183">
        <f t="shared" si="0"/>
        <v>412112</v>
      </c>
      <c r="F15" s="183">
        <v>-541</v>
      </c>
      <c r="G15" s="183">
        <v>0</v>
      </c>
      <c r="H15" s="221">
        <f t="shared" si="2"/>
        <v>835932</v>
      </c>
      <c r="I15" s="710"/>
      <c r="J15" s="339">
        <f t="shared" si="1"/>
        <v>331906</v>
      </c>
      <c r="K15" s="339">
        <v>13000</v>
      </c>
      <c r="L15" s="339"/>
      <c r="M15" s="339"/>
      <c r="N15" s="339"/>
      <c r="O15" s="339"/>
      <c r="P15" s="675"/>
      <c r="Q15" s="334">
        <f>SUM(Q13:Q14)</f>
        <v>315000</v>
      </c>
      <c r="R15" s="234">
        <f t="shared" ref="R15:X15" si="5">SUM(R13:R14)</f>
        <v>55000</v>
      </c>
      <c r="S15" s="234">
        <f t="shared" si="5"/>
        <v>19800</v>
      </c>
      <c r="T15" s="234">
        <f t="shared" si="5"/>
        <v>107800</v>
      </c>
      <c r="U15" s="234">
        <f t="shared" si="5"/>
        <v>88550</v>
      </c>
      <c r="V15" s="234">
        <f t="shared" si="5"/>
        <v>70000</v>
      </c>
      <c r="W15" s="234">
        <f t="shared" si="5"/>
        <v>101750</v>
      </c>
      <c r="X15" s="260">
        <f t="shared" si="5"/>
        <v>52250</v>
      </c>
      <c r="Y15" s="733"/>
      <c r="Z15" s="719" t="s">
        <v>729</v>
      </c>
      <c r="AA15" s="720"/>
      <c r="AB15" s="720"/>
      <c r="AC15" s="717" t="s">
        <v>730</v>
      </c>
      <c r="AD15" s="717"/>
      <c r="AE15" s="718"/>
      <c r="AF15" s="81"/>
      <c r="AG15" s="650" t="s">
        <v>648</v>
      </c>
      <c r="AH15" s="650" t="s">
        <v>649</v>
      </c>
      <c r="AI15" s="650"/>
      <c r="AJ15" s="229">
        <v>391000</v>
      </c>
    </row>
    <row r="16" spans="1:36" ht="30.9" customHeight="1" thickTop="1" thickBot="1">
      <c r="A16" s="176">
        <v>45976</v>
      </c>
      <c r="B16" s="178" t="s">
        <v>486</v>
      </c>
      <c r="C16" s="183">
        <v>910219</v>
      </c>
      <c r="D16" s="183">
        <v>729166</v>
      </c>
      <c r="E16" s="183">
        <f t="shared" si="0"/>
        <v>181053</v>
      </c>
      <c r="F16" s="183">
        <v>-555</v>
      </c>
      <c r="G16" s="183">
        <v>0</v>
      </c>
      <c r="H16" s="221">
        <f t="shared" si="2"/>
        <v>1016430</v>
      </c>
      <c r="I16" s="710"/>
      <c r="J16" s="339">
        <f t="shared" si="1"/>
        <v>698071</v>
      </c>
      <c r="K16" s="339">
        <v>14113</v>
      </c>
      <c r="L16" s="339">
        <v>16982</v>
      </c>
      <c r="M16" s="339"/>
      <c r="N16" s="339" t="s">
        <v>794</v>
      </c>
      <c r="O16" s="339"/>
      <c r="P16" s="675"/>
      <c r="Q16" s="698" t="s">
        <v>247</v>
      </c>
      <c r="R16" s="641"/>
      <c r="S16" s="641"/>
      <c r="T16" s="648">
        <f>SUM(R15:X15)+AH10</f>
        <v>885150</v>
      </c>
      <c r="U16" s="699"/>
      <c r="V16" s="699"/>
      <c r="W16" s="699"/>
      <c r="X16" s="699"/>
      <c r="Y16" s="733"/>
      <c r="Z16" s="324" t="s">
        <v>728</v>
      </c>
      <c r="AA16" s="243">
        <f>T23</f>
        <v>50000</v>
      </c>
      <c r="AB16" s="312">
        <f>AA16/$Q$4</f>
        <v>3.2755109567806813E-3</v>
      </c>
      <c r="AC16" s="321" t="s">
        <v>731</v>
      </c>
      <c r="AD16" s="243">
        <f>V4</f>
        <v>53596</v>
      </c>
      <c r="AE16" s="313">
        <f>AD16/$Q$4</f>
        <v>3.5110857047923475E-3</v>
      </c>
      <c r="AG16" s="650"/>
      <c r="AH16" s="650" t="s">
        <v>650</v>
      </c>
      <c r="AI16" s="650"/>
      <c r="AJ16" s="229">
        <v>160359</v>
      </c>
    </row>
    <row r="17" spans="1:36" ht="30.9" customHeight="1" thickTop="1" thickBot="1">
      <c r="A17" s="176">
        <v>45977</v>
      </c>
      <c r="B17" s="178" t="s">
        <v>487</v>
      </c>
      <c r="C17" s="183">
        <v>400565</v>
      </c>
      <c r="D17" s="183">
        <v>451940</v>
      </c>
      <c r="E17" s="183">
        <f t="shared" si="0"/>
        <v>-51375</v>
      </c>
      <c r="F17" s="183">
        <v>0</v>
      </c>
      <c r="G17" s="183">
        <v>0</v>
      </c>
      <c r="H17" s="221">
        <f t="shared" si="2"/>
        <v>965055</v>
      </c>
      <c r="I17" s="710"/>
      <c r="J17" s="339">
        <f t="shared" si="1"/>
        <v>451620</v>
      </c>
      <c r="K17" s="339"/>
      <c r="L17" s="339"/>
      <c r="M17" s="339"/>
      <c r="N17" s="339">
        <v>320</v>
      </c>
      <c r="O17" s="339"/>
      <c r="P17" s="675"/>
      <c r="Q17" s="688" t="s">
        <v>482</v>
      </c>
      <c r="R17" s="643"/>
      <c r="S17" s="643"/>
      <c r="T17" s="643"/>
      <c r="U17" s="643"/>
      <c r="V17" s="649"/>
      <c r="W17" s="283"/>
      <c r="X17" s="283"/>
      <c r="Y17" s="733"/>
      <c r="Z17" s="324" t="s">
        <v>727</v>
      </c>
      <c r="AA17" s="243">
        <f>U23</f>
        <v>42441</v>
      </c>
      <c r="AB17" s="312">
        <f t="shared" ref="AB17:AB20" si="6">AA17/$Q$4</f>
        <v>2.7803192103345777E-3</v>
      </c>
      <c r="AC17" s="321" t="s">
        <v>732</v>
      </c>
      <c r="AD17" s="243">
        <v>939</v>
      </c>
      <c r="AE17" s="313">
        <f t="shared" ref="AE17" si="7">AD17/$Q$4</f>
        <v>6.1514095768341195E-5</v>
      </c>
      <c r="AG17" s="261" t="s">
        <v>651</v>
      </c>
      <c r="AH17" s="650" t="s">
        <v>652</v>
      </c>
      <c r="AI17" s="650"/>
      <c r="AJ17" s="229">
        <v>700000</v>
      </c>
    </row>
    <row r="18" spans="1:36" ht="30.9" customHeight="1" thickTop="1" thickBot="1">
      <c r="A18" s="176">
        <v>45978</v>
      </c>
      <c r="B18" s="177" t="s">
        <v>488</v>
      </c>
      <c r="C18" s="183">
        <v>359399</v>
      </c>
      <c r="D18" s="183">
        <v>886302</v>
      </c>
      <c r="E18" s="183">
        <f t="shared" si="0"/>
        <v>-526903</v>
      </c>
      <c r="F18" s="183">
        <v>0</v>
      </c>
      <c r="G18" s="183">
        <v>0</v>
      </c>
      <c r="H18" s="221">
        <f t="shared" si="2"/>
        <v>438152</v>
      </c>
      <c r="I18" s="710"/>
      <c r="J18" s="339">
        <f t="shared" si="1"/>
        <v>886302</v>
      </c>
      <c r="K18" s="339"/>
      <c r="L18" s="339"/>
      <c r="M18" s="339"/>
      <c r="N18" s="339"/>
      <c r="O18" s="339"/>
      <c r="P18" s="675"/>
      <c r="Q18" s="284"/>
      <c r="R18" s="235"/>
      <c r="S18" s="343" t="s">
        <v>760</v>
      </c>
      <c r="T18" s="294" t="s">
        <v>703</v>
      </c>
      <c r="U18" s="236" t="s">
        <v>498</v>
      </c>
      <c r="V18" s="683" t="s">
        <v>247</v>
      </c>
      <c r="W18" s="684"/>
      <c r="X18" s="684"/>
      <c r="Y18" s="733"/>
      <c r="Z18" s="324" t="s">
        <v>733</v>
      </c>
      <c r="AA18" s="243">
        <f>S23</f>
        <v>14200</v>
      </c>
      <c r="AB18" s="312">
        <f t="shared" si="6"/>
        <v>9.3024511172571343E-4</v>
      </c>
      <c r="AC18" s="322"/>
      <c r="AD18" s="243"/>
      <c r="AE18" s="313"/>
      <c r="AG18" s="650" t="s">
        <v>777</v>
      </c>
      <c r="AH18" s="650"/>
      <c r="AI18" s="650"/>
      <c r="AJ18" s="229">
        <f>209847235/173</f>
        <v>1212989.7976878614</v>
      </c>
    </row>
    <row r="19" spans="1:36" ht="30.9" customHeight="1" thickTop="1" thickBot="1">
      <c r="A19" s="176">
        <v>45979</v>
      </c>
      <c r="B19" s="177" t="s">
        <v>489</v>
      </c>
      <c r="C19" s="183">
        <v>224902</v>
      </c>
      <c r="D19" s="183">
        <v>226395</v>
      </c>
      <c r="E19" s="183">
        <f t="shared" si="0"/>
        <v>-1493</v>
      </c>
      <c r="F19" s="183">
        <v>0</v>
      </c>
      <c r="G19" s="183">
        <v>0</v>
      </c>
      <c r="H19" s="221">
        <f t="shared" si="2"/>
        <v>436659</v>
      </c>
      <c r="I19" s="710"/>
      <c r="J19" s="339">
        <f t="shared" si="1"/>
        <v>204704</v>
      </c>
      <c r="K19" s="339"/>
      <c r="L19" s="339"/>
      <c r="M19" s="339"/>
      <c r="N19" s="339">
        <f>2530+19161</f>
        <v>21691</v>
      </c>
      <c r="O19" s="339"/>
      <c r="P19" s="675"/>
      <c r="Q19" s="335"/>
      <c r="R19" s="237"/>
      <c r="S19" s="344">
        <f>6500*8</f>
        <v>52000</v>
      </c>
      <c r="T19" s="295">
        <f>39940+7050</f>
        <v>46990</v>
      </c>
      <c r="U19" s="238">
        <f>V23</f>
        <v>162729</v>
      </c>
      <c r="V19" s="685">
        <f>SUM(Q19:U19)</f>
        <v>261719</v>
      </c>
      <c r="W19" s="686"/>
      <c r="X19" s="686"/>
      <c r="Y19" s="733"/>
      <c r="Z19" s="324" t="s">
        <v>734</v>
      </c>
      <c r="AA19" s="243">
        <f>R23</f>
        <v>50000</v>
      </c>
      <c r="AB19" s="312">
        <f t="shared" si="6"/>
        <v>3.2755109567806813E-3</v>
      </c>
      <c r="AC19" s="322"/>
      <c r="AD19" s="243"/>
      <c r="AE19" s="313"/>
      <c r="AG19" s="652" t="s">
        <v>654</v>
      </c>
      <c r="AH19" s="652"/>
      <c r="AI19" s="652"/>
      <c r="AJ19" s="229">
        <v>5043976</v>
      </c>
    </row>
    <row r="20" spans="1:36" ht="30.9" customHeight="1" thickTop="1" thickBot="1">
      <c r="A20" s="176">
        <v>45980</v>
      </c>
      <c r="B20" s="177" t="s">
        <v>490</v>
      </c>
      <c r="C20" s="183">
        <v>321883</v>
      </c>
      <c r="D20" s="183">
        <v>714424</v>
      </c>
      <c r="E20" s="183">
        <f t="shared" si="0"/>
        <v>-392541</v>
      </c>
      <c r="F20" s="183">
        <v>-223</v>
      </c>
      <c r="G20" s="183">
        <v>0</v>
      </c>
      <c r="H20" s="221">
        <f t="shared" si="2"/>
        <v>43895</v>
      </c>
      <c r="I20" s="710"/>
      <c r="J20" s="339">
        <f t="shared" si="1"/>
        <v>701823</v>
      </c>
      <c r="K20" s="339"/>
      <c r="L20" s="339"/>
      <c r="M20" s="339"/>
      <c r="N20" s="339">
        <f>160+1361+5280+5800</f>
        <v>12601</v>
      </c>
      <c r="O20" s="339"/>
      <c r="P20" s="675"/>
      <c r="Q20" s="269"/>
      <c r="R20" s="232"/>
      <c r="S20" s="232"/>
      <c r="T20" s="232"/>
      <c r="U20" s="232"/>
      <c r="V20" s="232"/>
      <c r="W20" s="310"/>
      <c r="X20" s="310"/>
      <c r="Y20" s="733"/>
      <c r="Z20" s="324" t="s">
        <v>746</v>
      </c>
      <c r="AA20" s="243">
        <f>U4</f>
        <v>5317</v>
      </c>
      <c r="AB20" s="312">
        <f t="shared" si="6"/>
        <v>3.4831783514405765E-4</v>
      </c>
      <c r="AC20" s="314"/>
      <c r="AD20" s="243"/>
      <c r="AE20" s="313"/>
      <c r="AG20" s="652" t="s">
        <v>655</v>
      </c>
      <c r="AH20" s="652"/>
      <c r="AI20" s="652"/>
      <c r="AJ20" s="229">
        <v>6000000</v>
      </c>
    </row>
    <row r="21" spans="1:36" ht="30.9" customHeight="1" thickTop="1" thickBot="1">
      <c r="A21" s="176">
        <v>45981</v>
      </c>
      <c r="B21" s="177" t="s">
        <v>491</v>
      </c>
      <c r="C21" s="183">
        <v>368955</v>
      </c>
      <c r="D21" s="183">
        <v>239645</v>
      </c>
      <c r="E21" s="183">
        <f t="shared" si="0"/>
        <v>129310</v>
      </c>
      <c r="F21" s="183">
        <v>-44</v>
      </c>
      <c r="G21" s="183">
        <v>0</v>
      </c>
      <c r="H21" s="221">
        <f t="shared" si="2"/>
        <v>173161</v>
      </c>
      <c r="I21" s="710"/>
      <c r="J21" s="339">
        <f t="shared" si="1"/>
        <v>238691</v>
      </c>
      <c r="K21" s="339"/>
      <c r="L21" s="339"/>
      <c r="M21" s="339"/>
      <c r="N21" s="339">
        <f>300+160+494</f>
        <v>954</v>
      </c>
      <c r="O21" s="339"/>
      <c r="P21" s="675"/>
      <c r="Q21" s="687" t="s">
        <v>772</v>
      </c>
      <c r="R21" s="687"/>
      <c r="S21" s="687"/>
      <c r="T21" s="687"/>
      <c r="U21" s="687"/>
      <c r="V21" s="687"/>
      <c r="W21" s="687"/>
      <c r="X21" s="687"/>
      <c r="Y21" s="733"/>
      <c r="Z21" s="326" t="s">
        <v>709</v>
      </c>
      <c r="AA21" s="318">
        <f>SUM(AA16:AA20)</f>
        <v>161958</v>
      </c>
      <c r="AB21" s="315">
        <f>SUM(AB16:AB20)</f>
        <v>1.0609904070765711E-2</v>
      </c>
      <c r="AC21" s="323" t="s">
        <v>709</v>
      </c>
      <c r="AD21" s="318">
        <f>SUM(AD16:AD20)</f>
        <v>54535</v>
      </c>
      <c r="AE21" s="316">
        <f>SUM(AE16:AE20)</f>
        <v>3.5725998005606886E-3</v>
      </c>
      <c r="AG21" s="653" t="s">
        <v>247</v>
      </c>
      <c r="AH21" s="653"/>
      <c r="AI21" s="653"/>
      <c r="AJ21" s="270">
        <f>SUM(AJ12:AJ20)</f>
        <v>15796606.797687862</v>
      </c>
    </row>
    <row r="22" spans="1:36" ht="30.9" customHeight="1" thickTop="1" thickBot="1">
      <c r="A22" s="176">
        <v>45982</v>
      </c>
      <c r="B22" s="178" t="s">
        <v>485</v>
      </c>
      <c r="C22" s="183">
        <v>686947</v>
      </c>
      <c r="D22" s="183">
        <v>328775</v>
      </c>
      <c r="E22" s="183">
        <f t="shared" si="0"/>
        <v>358172</v>
      </c>
      <c r="F22" s="183">
        <v>0</v>
      </c>
      <c r="G22" s="183">
        <v>0</v>
      </c>
      <c r="H22" s="221">
        <f t="shared" si="2"/>
        <v>531333</v>
      </c>
      <c r="I22" s="710"/>
      <c r="J22" s="339">
        <f t="shared" si="1"/>
        <v>320482</v>
      </c>
      <c r="K22" s="339">
        <v>8293</v>
      </c>
      <c r="L22" s="339"/>
      <c r="M22" s="339"/>
      <c r="N22" s="339"/>
      <c r="O22" s="339"/>
      <c r="P22" s="675"/>
      <c r="Q22" s="336" t="s">
        <v>625</v>
      </c>
      <c r="R22" s="299" t="s">
        <v>770</v>
      </c>
      <c r="S22" s="299" t="s">
        <v>733</v>
      </c>
      <c r="T22" s="299" t="s">
        <v>728</v>
      </c>
      <c r="U22" s="299" t="s">
        <v>727</v>
      </c>
      <c r="V22" s="690" t="s">
        <v>247</v>
      </c>
      <c r="W22" s="741"/>
      <c r="X22" s="691"/>
      <c r="Y22" s="733"/>
      <c r="Z22" s="694" t="s">
        <v>745</v>
      </c>
      <c r="AA22" s="695"/>
      <c r="AB22" s="695"/>
      <c r="AC22" s="695"/>
      <c r="AD22" s="721">
        <f>AD14+AD2</f>
        <v>0.95811695853871337</v>
      </c>
      <c r="AE22" s="721"/>
      <c r="AG22" s="661"/>
      <c r="AH22" s="662"/>
      <c r="AI22" s="662"/>
      <c r="AJ22" s="662"/>
    </row>
    <row r="23" spans="1:36" ht="30.9" customHeight="1" thickTop="1" thickBot="1">
      <c r="A23" s="176">
        <v>45983</v>
      </c>
      <c r="B23" s="178" t="s">
        <v>486</v>
      </c>
      <c r="C23" s="183">
        <v>721702</v>
      </c>
      <c r="D23" s="183">
        <v>359411</v>
      </c>
      <c r="E23" s="183">
        <f t="shared" si="0"/>
        <v>362291</v>
      </c>
      <c r="F23" s="183">
        <v>-874</v>
      </c>
      <c r="G23" s="183">
        <v>0</v>
      </c>
      <c r="H23" s="221">
        <f t="shared" si="2"/>
        <v>892750</v>
      </c>
      <c r="I23" s="710"/>
      <c r="J23" s="339">
        <f t="shared" si="1"/>
        <v>353911</v>
      </c>
      <c r="K23" s="339"/>
      <c r="L23" s="339"/>
      <c r="M23" s="339"/>
      <c r="N23" s="339"/>
      <c r="O23" s="339">
        <v>5500</v>
      </c>
      <c r="P23" s="675"/>
      <c r="Q23" s="335">
        <v>6088</v>
      </c>
      <c r="R23" s="353">
        <v>50000</v>
      </c>
      <c r="S23" s="298">
        <v>14200</v>
      </c>
      <c r="T23" s="353">
        <v>50000</v>
      </c>
      <c r="U23" s="298">
        <v>42441</v>
      </c>
      <c r="V23" s="692">
        <f>SUM(Q23:U23)</f>
        <v>162729</v>
      </c>
      <c r="W23" s="742"/>
      <c r="X23" s="693"/>
      <c r="Y23" s="733"/>
      <c r="Z23" s="696"/>
      <c r="AA23" s="697"/>
      <c r="AB23" s="697"/>
      <c r="AC23" s="697"/>
      <c r="AD23" s="722"/>
      <c r="AE23" s="722"/>
      <c r="AG23" s="647" t="s">
        <v>665</v>
      </c>
      <c r="AH23" s="647"/>
      <c r="AI23" s="647"/>
      <c r="AJ23" s="647"/>
    </row>
    <row r="24" spans="1:36" ht="30.9" customHeight="1" thickTop="1" thickBot="1">
      <c r="A24" s="176">
        <v>45984</v>
      </c>
      <c r="B24" s="178" t="s">
        <v>487</v>
      </c>
      <c r="C24" s="183">
        <v>553675</v>
      </c>
      <c r="D24" s="183">
        <v>211040</v>
      </c>
      <c r="E24" s="183">
        <f t="shared" si="0"/>
        <v>342635</v>
      </c>
      <c r="F24" s="183">
        <v>0</v>
      </c>
      <c r="G24" s="183">
        <v>0</v>
      </c>
      <c r="H24" s="184">
        <f t="shared" si="2"/>
        <v>1235385</v>
      </c>
      <c r="I24" s="710"/>
      <c r="J24" s="339">
        <f t="shared" si="1"/>
        <v>210720</v>
      </c>
      <c r="K24" s="339"/>
      <c r="L24" s="339"/>
      <c r="M24" s="339"/>
      <c r="N24" s="339">
        <v>320</v>
      </c>
      <c r="O24" s="339"/>
      <c r="P24" s="675"/>
      <c r="Y24" s="733"/>
      <c r="Z24" s="711" t="s">
        <v>735</v>
      </c>
      <c r="AA24" s="711"/>
      <c r="AB24" s="711"/>
      <c r="AC24" s="711"/>
      <c r="AD24" s="711"/>
      <c r="AE24" s="711"/>
      <c r="AG24" s="656" t="s">
        <v>666</v>
      </c>
      <c r="AH24" s="658"/>
      <c r="AI24" s="657"/>
      <c r="AJ24" s="232"/>
    </row>
    <row r="25" spans="1:36" ht="30.9" customHeight="1" thickTop="1" thickBot="1">
      <c r="A25" s="176">
        <v>45985</v>
      </c>
      <c r="B25" s="177" t="s">
        <v>488</v>
      </c>
      <c r="C25" s="183">
        <v>347577</v>
      </c>
      <c r="D25" s="350">
        <v>340719</v>
      </c>
      <c r="E25" s="183">
        <f t="shared" si="0"/>
        <v>6858</v>
      </c>
      <c r="F25" s="183">
        <v>0</v>
      </c>
      <c r="G25" s="183">
        <v>0</v>
      </c>
      <c r="H25" s="184">
        <f t="shared" si="2"/>
        <v>1242243</v>
      </c>
      <c r="I25" s="710"/>
      <c r="J25" s="339">
        <f t="shared" si="1"/>
        <v>214903</v>
      </c>
      <c r="K25" s="339"/>
      <c r="L25" s="339"/>
      <c r="M25" s="339"/>
      <c r="N25" s="339"/>
      <c r="O25" s="339">
        <f>6080+119736</f>
        <v>125816</v>
      </c>
      <c r="P25" s="675"/>
      <c r="Q25" s="689" t="s">
        <v>672</v>
      </c>
      <c r="R25" s="664"/>
      <c r="S25" s="664"/>
      <c r="T25" s="664"/>
      <c r="U25" s="664"/>
      <c r="V25" s="664"/>
      <c r="W25" s="285"/>
      <c r="X25" s="285"/>
      <c r="Y25" s="733"/>
      <c r="Z25" s="300"/>
      <c r="AA25" s="712" t="s">
        <v>739</v>
      </c>
      <c r="AB25" s="712"/>
      <c r="AC25" s="301" t="s">
        <v>738</v>
      </c>
      <c r="AD25" s="712" t="s">
        <v>740</v>
      </c>
      <c r="AE25" s="712"/>
      <c r="AG25" s="268"/>
      <c r="AH25" s="656"/>
      <c r="AI25" s="657"/>
      <c r="AJ25" s="232"/>
    </row>
    <row r="26" spans="1:36" ht="30.9" customHeight="1" thickTop="1" thickBot="1">
      <c r="A26" s="176">
        <v>45986</v>
      </c>
      <c r="B26" s="177" t="s">
        <v>489</v>
      </c>
      <c r="C26" s="350">
        <v>375002</v>
      </c>
      <c r="D26" s="350">
        <v>146411</v>
      </c>
      <c r="E26" s="183">
        <f t="shared" si="0"/>
        <v>228591</v>
      </c>
      <c r="F26" s="183">
        <v>-225</v>
      </c>
      <c r="G26" s="183">
        <v>0</v>
      </c>
      <c r="H26" s="184">
        <f t="shared" si="2"/>
        <v>1470609</v>
      </c>
      <c r="I26" s="710"/>
      <c r="J26" s="339">
        <f t="shared" si="1"/>
        <v>104480</v>
      </c>
      <c r="K26" s="339">
        <v>13801</v>
      </c>
      <c r="L26" s="339">
        <v>18659</v>
      </c>
      <c r="M26" s="339"/>
      <c r="N26" s="339">
        <f>7311+600+1560</f>
        <v>9471</v>
      </c>
      <c r="O26" s="339"/>
      <c r="P26" s="675"/>
      <c r="Q26" s="337"/>
      <c r="R26" s="665" t="s">
        <v>791</v>
      </c>
      <c r="S26" s="665"/>
      <c r="T26" s="665"/>
      <c r="U26" s="665"/>
      <c r="V26" s="665"/>
      <c r="W26" s="286"/>
      <c r="X26" s="286"/>
      <c r="Y26" s="733"/>
      <c r="Z26" s="302" t="s">
        <v>736</v>
      </c>
      <c r="AA26" s="303">
        <v>15516189</v>
      </c>
      <c r="AB26" s="305">
        <f>(AC26/AA26)-100%</f>
        <v>-1.6202109938207143E-2</v>
      </c>
      <c r="AC26" s="304">
        <f>C34</f>
        <v>15264794</v>
      </c>
      <c r="AD26" s="303">
        <f>'2024_11'!I4</f>
        <v>17425659</v>
      </c>
      <c r="AE26" s="305">
        <f>AC26/AD26-100%</f>
        <v>-0.12400477938883114</v>
      </c>
      <c r="AG26" s="268"/>
      <c r="AH26" s="656"/>
      <c r="AI26" s="657"/>
      <c r="AJ26" s="232"/>
    </row>
    <row r="27" spans="1:36" ht="30.9" customHeight="1" thickTop="1" thickBot="1">
      <c r="A27" s="176">
        <v>45987</v>
      </c>
      <c r="B27" s="177" t="s">
        <v>490</v>
      </c>
      <c r="C27" s="350">
        <v>394158</v>
      </c>
      <c r="D27" s="350">
        <v>1001546</v>
      </c>
      <c r="E27" s="183">
        <f t="shared" si="0"/>
        <v>-607388</v>
      </c>
      <c r="F27" s="183">
        <v>-441</v>
      </c>
      <c r="G27" s="183">
        <v>0</v>
      </c>
      <c r="H27" s="184">
        <f t="shared" si="2"/>
        <v>862780</v>
      </c>
      <c r="I27" s="710"/>
      <c r="J27" s="339">
        <f t="shared" si="1"/>
        <v>1001226</v>
      </c>
      <c r="K27" s="339"/>
      <c r="L27" s="339"/>
      <c r="M27" s="339"/>
      <c r="N27" s="339">
        <v>320</v>
      </c>
      <c r="O27" s="339"/>
      <c r="P27" s="675"/>
      <c r="Q27" s="282"/>
      <c r="R27" s="665"/>
      <c r="S27" s="665"/>
      <c r="T27" s="665"/>
      <c r="U27" s="665"/>
      <c r="V27" s="665"/>
      <c r="W27" s="286"/>
      <c r="X27" s="286"/>
      <c r="Y27" s="733"/>
      <c r="Z27" s="302" t="s">
        <v>510</v>
      </c>
      <c r="AA27" s="303">
        <v>15141843</v>
      </c>
      <c r="AB27" s="305">
        <f>(AC27/AA27)-100%</f>
        <v>-3.5673464584198844E-2</v>
      </c>
      <c r="AC27" s="304">
        <f>U8</f>
        <v>14601681</v>
      </c>
      <c r="AD27" s="303">
        <f>'2024_11'!M8</f>
        <v>16544752</v>
      </c>
      <c r="AE27" s="305">
        <f>AC27/AD27-100%</f>
        <v>-0.11744334396792411</v>
      </c>
      <c r="AG27" s="268"/>
      <c r="AH27" s="656"/>
      <c r="AI27" s="657"/>
      <c r="AJ27" s="232"/>
    </row>
    <row r="28" spans="1:36" ht="30.9" customHeight="1" thickTop="1" thickBot="1">
      <c r="A28" s="176">
        <v>45988</v>
      </c>
      <c r="B28" s="177" t="s">
        <v>491</v>
      </c>
      <c r="C28" s="350">
        <v>452532</v>
      </c>
      <c r="D28" s="350">
        <v>378826</v>
      </c>
      <c r="E28" s="183">
        <f t="shared" si="0"/>
        <v>73706</v>
      </c>
      <c r="F28" s="183">
        <v>-44</v>
      </c>
      <c r="G28" s="183">
        <v>0</v>
      </c>
      <c r="H28" s="184">
        <f t="shared" si="2"/>
        <v>936442</v>
      </c>
      <c r="I28" s="710"/>
      <c r="J28" s="339">
        <f t="shared" si="1"/>
        <v>302346</v>
      </c>
      <c r="K28" s="339"/>
      <c r="L28" s="339"/>
      <c r="M28" s="339"/>
      <c r="N28" s="339">
        <v>76480</v>
      </c>
      <c r="O28" s="339"/>
      <c r="P28" s="675"/>
      <c r="Q28" s="282"/>
      <c r="R28" s="665" t="s">
        <v>784</v>
      </c>
      <c r="S28" s="665"/>
      <c r="T28" s="665"/>
      <c r="U28" s="665"/>
      <c r="V28" s="665"/>
      <c r="W28" s="286"/>
      <c r="X28" s="286"/>
      <c r="Y28" s="733"/>
      <c r="Z28" s="302" t="s">
        <v>737</v>
      </c>
      <c r="AA28" s="303">
        <v>336102</v>
      </c>
      <c r="AB28" s="305">
        <f>(AC28/AA28)-100%</f>
        <v>0.79766856489994109</v>
      </c>
      <c r="AC28" s="304">
        <f>R9</f>
        <v>604200</v>
      </c>
      <c r="AD28" s="303">
        <f>'2024_11'!J9</f>
        <v>856456</v>
      </c>
      <c r="AE28" s="305">
        <f>AC28/AD28-100%</f>
        <v>-0.29453468712928632</v>
      </c>
      <c r="AG28" s="268"/>
      <c r="AH28" s="656"/>
      <c r="AI28" s="657"/>
      <c r="AJ28" s="232"/>
    </row>
    <row r="29" spans="1:36" ht="30.9" customHeight="1" thickTop="1" thickBot="1">
      <c r="A29" s="176">
        <v>45989</v>
      </c>
      <c r="B29" s="178" t="s">
        <v>485</v>
      </c>
      <c r="C29" s="350">
        <v>753062</v>
      </c>
      <c r="D29" s="350">
        <v>509560</v>
      </c>
      <c r="E29" s="183">
        <f t="shared" si="0"/>
        <v>243502</v>
      </c>
      <c r="F29" s="183">
        <v>-985</v>
      </c>
      <c r="G29" s="183">
        <v>0</v>
      </c>
      <c r="H29" s="184">
        <f t="shared" si="2"/>
        <v>1178959</v>
      </c>
      <c r="I29" s="710"/>
      <c r="J29" s="339">
        <f t="shared" si="1"/>
        <v>500189</v>
      </c>
      <c r="K29" s="339">
        <v>4000</v>
      </c>
      <c r="L29" s="339">
        <v>5071</v>
      </c>
      <c r="M29" s="339"/>
      <c r="N29" s="339">
        <v>300</v>
      </c>
      <c r="O29" s="339"/>
      <c r="P29" s="675"/>
      <c r="Q29" s="282"/>
      <c r="R29" s="665" t="s">
        <v>785</v>
      </c>
      <c r="S29" s="665"/>
      <c r="T29" s="665"/>
      <c r="U29" s="665"/>
      <c r="V29" s="665"/>
      <c r="W29" s="286"/>
      <c r="X29" s="286"/>
      <c r="Y29" s="733"/>
      <c r="Z29" s="302" t="s">
        <v>757</v>
      </c>
      <c r="AA29" s="341">
        <v>3772</v>
      </c>
      <c r="AB29" s="305">
        <f t="shared" ref="AB29:AB31" si="8">(AC29/AA29)-100%</f>
        <v>-8.2184517497349008E-3</v>
      </c>
      <c r="AC29" s="342">
        <v>3741</v>
      </c>
      <c r="AD29" s="341">
        <v>3459</v>
      </c>
      <c r="AE29" s="305">
        <f t="shared" ref="AE29:AE31" si="9">AC29/AD29-100%</f>
        <v>8.1526452732003429E-2</v>
      </c>
      <c r="AG29" s="658" t="s">
        <v>667</v>
      </c>
      <c r="AH29" s="658"/>
      <c r="AI29" s="657"/>
      <c r="AJ29" s="232"/>
    </row>
    <row r="30" spans="1:36" ht="30.9" customHeight="1" thickTop="1" thickBot="1">
      <c r="A30" s="176">
        <v>45990</v>
      </c>
      <c r="B30" s="178" t="s">
        <v>486</v>
      </c>
      <c r="C30" s="350">
        <v>894244</v>
      </c>
      <c r="D30" s="350">
        <v>226521</v>
      </c>
      <c r="E30" s="183">
        <f>C30-D30</f>
        <v>667723</v>
      </c>
      <c r="F30" s="183">
        <v>11</v>
      </c>
      <c r="G30" s="183">
        <v>0</v>
      </c>
      <c r="H30" s="184">
        <f t="shared" si="2"/>
        <v>1846693</v>
      </c>
      <c r="I30" s="710"/>
      <c r="J30" s="339">
        <f t="shared" si="1"/>
        <v>212197</v>
      </c>
      <c r="K30" s="339"/>
      <c r="L30" s="339">
        <v>14324</v>
      </c>
      <c r="M30" s="339"/>
      <c r="N30" s="339"/>
      <c r="O30" s="339"/>
      <c r="P30" s="675"/>
      <c r="Q30" s="282"/>
      <c r="R30" s="739" t="s">
        <v>787</v>
      </c>
      <c r="S30" s="740"/>
      <c r="T30" s="740"/>
      <c r="U30" s="740"/>
      <c r="V30" s="740"/>
      <c r="W30" s="349"/>
      <c r="X30" s="286"/>
      <c r="Y30" s="733"/>
      <c r="Z30" s="302" t="s">
        <v>758</v>
      </c>
      <c r="AA30" s="303">
        <v>4113.5177624602329</v>
      </c>
      <c r="AB30" s="305">
        <f t="shared" si="8"/>
        <v>-8.0498152063397388E-3</v>
      </c>
      <c r="AC30" s="304">
        <f>AC26/AC29</f>
        <v>4080.4047046244318</v>
      </c>
      <c r="AD30" s="303">
        <f>AD26/AD29</f>
        <v>5037.7736339982657</v>
      </c>
      <c r="AE30" s="305">
        <f t="shared" si="9"/>
        <v>-0.19003809994813348</v>
      </c>
      <c r="AG30" s="268"/>
      <c r="AH30" s="656"/>
      <c r="AI30" s="657"/>
      <c r="AJ30" s="232"/>
    </row>
    <row r="31" spans="1:36" ht="30.9" customHeight="1" thickTop="1" thickBot="1">
      <c r="A31" s="176">
        <v>45991</v>
      </c>
      <c r="B31" s="178" t="s">
        <v>487</v>
      </c>
      <c r="C31" s="350">
        <v>501877</v>
      </c>
      <c r="D31" s="350">
        <v>343905</v>
      </c>
      <c r="E31" s="183">
        <f t="shared" ref="E31" si="10">C31-D31</f>
        <v>157972</v>
      </c>
      <c r="F31" s="183">
        <v>0</v>
      </c>
      <c r="G31" s="183">
        <v>0</v>
      </c>
      <c r="H31" s="184">
        <f>H30+E31+F31</f>
        <v>2004665</v>
      </c>
      <c r="I31" s="710"/>
      <c r="J31" s="339">
        <f t="shared" si="1"/>
        <v>124980</v>
      </c>
      <c r="K31" s="339"/>
      <c r="L31" s="339"/>
      <c r="M31" s="339"/>
      <c r="N31" s="339">
        <v>320</v>
      </c>
      <c r="O31" s="339">
        <f>26055+192550</f>
        <v>218605</v>
      </c>
      <c r="P31" s="675"/>
      <c r="Q31" s="282"/>
      <c r="R31" s="665"/>
      <c r="S31" s="665"/>
      <c r="T31" s="665"/>
      <c r="U31" s="665"/>
      <c r="V31" s="665"/>
      <c r="W31" s="286"/>
      <c r="X31" s="286"/>
      <c r="Y31" s="733"/>
      <c r="Z31" s="302" t="s">
        <v>756</v>
      </c>
      <c r="AA31" s="303">
        <v>500522.22580645164</v>
      </c>
      <c r="AB31" s="305">
        <f t="shared" si="8"/>
        <v>1.6591153063852504E-2</v>
      </c>
      <c r="AC31" s="304">
        <f>AC26/30</f>
        <v>508826.46666666667</v>
      </c>
      <c r="AD31" s="303">
        <f>AD26/30</f>
        <v>580855.30000000005</v>
      </c>
      <c r="AE31" s="305">
        <f t="shared" si="9"/>
        <v>-0.12400477938883125</v>
      </c>
      <c r="AG31" s="269"/>
      <c r="AH31" s="659"/>
      <c r="AI31" s="660"/>
      <c r="AJ31" s="232"/>
    </row>
    <row r="32" spans="1:36" ht="30.9" customHeight="1" thickTop="1" thickBot="1">
      <c r="A32" s="176"/>
      <c r="B32" s="178"/>
      <c r="C32" s="350"/>
      <c r="D32" s="350"/>
      <c r="E32" s="183"/>
      <c r="F32" s="183"/>
      <c r="G32" s="183">
        <v>0</v>
      </c>
      <c r="H32" s="184">
        <f t="shared" si="2"/>
        <v>2004665</v>
      </c>
      <c r="I32" s="710"/>
      <c r="J32" s="339">
        <f t="shared" si="1"/>
        <v>0</v>
      </c>
      <c r="K32" s="339"/>
      <c r="L32" s="339"/>
      <c r="M32" s="339"/>
      <c r="N32" s="339"/>
      <c r="O32" s="339"/>
      <c r="P32" s="675"/>
      <c r="Q32" s="348" t="s">
        <v>778</v>
      </c>
      <c r="R32" s="665" t="s">
        <v>790</v>
      </c>
      <c r="S32" s="665"/>
      <c r="T32" s="665"/>
      <c r="U32" s="665"/>
      <c r="V32" s="665"/>
      <c r="W32" s="286"/>
      <c r="X32" s="286"/>
      <c r="Y32" s="733"/>
      <c r="AG32" s="269"/>
      <c r="AH32" s="659"/>
      <c r="AI32" s="660"/>
      <c r="AJ32" s="232"/>
    </row>
    <row r="33" spans="1:38" ht="30.9" customHeight="1" thickTop="1">
      <c r="A33" s="264"/>
      <c r="B33" s="265"/>
      <c r="C33" s="183"/>
      <c r="D33" s="293">
        <v>200000</v>
      </c>
      <c r="E33" s="293">
        <f t="shared" si="0"/>
        <v>-200000</v>
      </c>
      <c r="F33" s="183"/>
      <c r="G33" s="183">
        <v>0</v>
      </c>
      <c r="H33" s="184">
        <f t="shared" si="2"/>
        <v>1804665</v>
      </c>
      <c r="I33" s="710"/>
      <c r="J33" s="339">
        <f t="shared" si="1"/>
        <v>200000</v>
      </c>
      <c r="K33" s="339"/>
      <c r="L33" s="339"/>
      <c r="M33" s="339"/>
      <c r="N33" s="339"/>
      <c r="O33" s="339"/>
      <c r="P33" s="675"/>
      <c r="Q33" s="348" t="s">
        <v>775</v>
      </c>
      <c r="R33" s="665" t="s">
        <v>776</v>
      </c>
      <c r="S33" s="665"/>
      <c r="T33" s="665"/>
      <c r="U33" s="665"/>
      <c r="V33" s="665"/>
      <c r="W33" s="286"/>
      <c r="X33" s="286"/>
      <c r="Y33" s="733"/>
      <c r="AH33" s="81"/>
      <c r="AI33" s="81"/>
    </row>
    <row r="34" spans="1:38" ht="45" customHeight="1">
      <c r="A34" s="672" t="s">
        <v>247</v>
      </c>
      <c r="B34" s="673"/>
      <c r="C34" s="292">
        <f>SUM(C2:C33)</f>
        <v>15264794</v>
      </c>
      <c r="D34" s="292">
        <f>SUM(D2:D33)</f>
        <v>13454812</v>
      </c>
      <c r="E34" s="292">
        <f>SUM(E2:E33)</f>
        <v>1809982</v>
      </c>
      <c r="F34" s="292">
        <f>SUM(F2:F33)</f>
        <v>-5317</v>
      </c>
      <c r="G34" s="292">
        <f>SUM(G2:G33)</f>
        <v>0</v>
      </c>
      <c r="H34" s="292">
        <f>C34-D34+G34</f>
        <v>1809982</v>
      </c>
      <c r="I34" s="710"/>
      <c r="J34" s="340">
        <f>SUM(J2:J33)</f>
        <v>12496649</v>
      </c>
      <c r="K34" s="340">
        <f t="shared" ref="K34:O34" si="11">SUM(K2:K33)</f>
        <v>91378</v>
      </c>
      <c r="L34" s="340">
        <f t="shared" si="11"/>
        <v>55036</v>
      </c>
      <c r="M34" s="340">
        <f t="shared" si="11"/>
        <v>7724</v>
      </c>
      <c r="N34" s="340">
        <f t="shared" si="11"/>
        <v>254104</v>
      </c>
      <c r="O34" s="340">
        <f t="shared" si="11"/>
        <v>549921</v>
      </c>
      <c r="P34" s="675"/>
      <c r="Y34" s="733"/>
      <c r="AG34" s="674"/>
      <c r="AH34" s="674"/>
      <c r="AI34" s="674"/>
      <c r="AJ34" s="674"/>
      <c r="AK34" s="674"/>
      <c r="AL34" s="674"/>
    </row>
    <row r="35" spans="1:38">
      <c r="A35" s="69"/>
    </row>
    <row r="36" spans="1:38">
      <c r="A36" s="69"/>
    </row>
    <row r="37" spans="1:38">
      <c r="A37" s="69"/>
    </row>
    <row r="38" spans="1:38">
      <c r="A38" s="69"/>
    </row>
    <row r="39" spans="1:38">
      <c r="A39" s="69"/>
    </row>
    <row r="40" spans="1:38" ht="21" customHeight="1">
      <c r="A40" s="69"/>
    </row>
    <row r="41" spans="1:38" ht="23.1" customHeight="1">
      <c r="A41" s="69"/>
    </row>
    <row r="42" spans="1:38">
      <c r="A42" s="69"/>
    </row>
    <row r="43" spans="1:38" ht="29.1" customHeight="1">
      <c r="A43" s="69"/>
    </row>
    <row r="44" spans="1:38" ht="15" customHeight="1">
      <c r="A44" s="69"/>
    </row>
    <row r="45" spans="1:38">
      <c r="A45" s="69"/>
    </row>
    <row r="46" spans="1:38">
      <c r="A46" s="69"/>
    </row>
    <row r="47" spans="1:38">
      <c r="A47" s="69"/>
    </row>
    <row r="48" spans="1:38">
      <c r="A48" s="69"/>
    </row>
    <row r="49" spans="1:1">
      <c r="A49" s="69"/>
    </row>
    <row r="50" spans="1:1">
      <c r="A50" s="69"/>
    </row>
    <row r="51" spans="1:1" ht="18.899999999999999" customHeight="1">
      <c r="A51" s="69"/>
    </row>
  </sheetData>
  <mergeCells count="75">
    <mergeCell ref="R32:V32"/>
    <mergeCell ref="AH32:AI32"/>
    <mergeCell ref="R33:V33"/>
    <mergeCell ref="A34:B34"/>
    <mergeCell ref="AG34:AL34"/>
    <mergeCell ref="R29:V29"/>
    <mergeCell ref="AG29:AI29"/>
    <mergeCell ref="R30:V30"/>
    <mergeCell ref="AH30:AI30"/>
    <mergeCell ref="R31:V31"/>
    <mergeCell ref="AH31:AI31"/>
    <mergeCell ref="R26:V26"/>
    <mergeCell ref="AH26:AI26"/>
    <mergeCell ref="R27:V27"/>
    <mergeCell ref="AH27:AI27"/>
    <mergeCell ref="R28:V28"/>
    <mergeCell ref="AH28:AI28"/>
    <mergeCell ref="Z24:AE24"/>
    <mergeCell ref="AG24:AI24"/>
    <mergeCell ref="Q25:V25"/>
    <mergeCell ref="AA25:AB25"/>
    <mergeCell ref="AD25:AE25"/>
    <mergeCell ref="AH25:AI25"/>
    <mergeCell ref="Q17:V17"/>
    <mergeCell ref="AH17:AI17"/>
    <mergeCell ref="V22:X22"/>
    <mergeCell ref="Z22:AC23"/>
    <mergeCell ref="AD22:AE23"/>
    <mergeCell ref="AG22:AJ22"/>
    <mergeCell ref="V23:X23"/>
    <mergeCell ref="V19:X19"/>
    <mergeCell ref="AG19:AI19"/>
    <mergeCell ref="AG20:AI20"/>
    <mergeCell ref="Q21:X21"/>
    <mergeCell ref="AG21:AI21"/>
    <mergeCell ref="AG23:AJ23"/>
    <mergeCell ref="AG18:AI18"/>
    <mergeCell ref="AG11:AJ11"/>
    <mergeCell ref="AG12:AI12"/>
    <mergeCell ref="AG13:AH14"/>
    <mergeCell ref="Z14:AB14"/>
    <mergeCell ref="AD14:AE14"/>
    <mergeCell ref="Z15:AB15"/>
    <mergeCell ref="AC15:AE15"/>
    <mergeCell ref="AG15:AG16"/>
    <mergeCell ref="AH15:AI15"/>
    <mergeCell ref="AH16:AI16"/>
    <mergeCell ref="Z3:AB3"/>
    <mergeCell ref="AC3:AE3"/>
    <mergeCell ref="Z1:AE1"/>
    <mergeCell ref="AG5:AJ5"/>
    <mergeCell ref="Q6:X6"/>
    <mergeCell ref="AG6:AH6"/>
    <mergeCell ref="AI6:AJ6"/>
    <mergeCell ref="AG1:AJ1"/>
    <mergeCell ref="Q2:X2"/>
    <mergeCell ref="Z2:AB2"/>
    <mergeCell ref="AD2:AE2"/>
    <mergeCell ref="AG2:AJ2"/>
    <mergeCell ref="A1:B1"/>
    <mergeCell ref="I1:I34"/>
    <mergeCell ref="P1:P34"/>
    <mergeCell ref="Q1:X1"/>
    <mergeCell ref="Y1:Y34"/>
    <mergeCell ref="Q4:R5"/>
    <mergeCell ref="R9:X9"/>
    <mergeCell ref="Q10:X10"/>
    <mergeCell ref="Q11:X11"/>
    <mergeCell ref="U8:X8"/>
    <mergeCell ref="Q3:R3"/>
    <mergeCell ref="V3:X3"/>
    <mergeCell ref="U7:X7"/>
    <mergeCell ref="V18:X18"/>
    <mergeCell ref="Q16:S16"/>
    <mergeCell ref="T16:X16"/>
  </mergeCells>
  <conditionalFormatting sqref="K2:O32">
    <cfRule type="cellIs" dxfId="72" priority="1" operator="greaterThan">
      <formula>0</formula>
    </cfRule>
    <cfRule type="cellIs" dxfId="71" priority="2" operator="equal">
      <formula>0</formula>
    </cfRule>
    <cfRule type="cellIs" dxfId="70" priority="3" operator="equal">
      <formula>"¥11.055"</formula>
    </cfRule>
    <cfRule type="cellIs" dxfId="69" priority="4" operator="equal">
      <formula>0</formula>
    </cfRule>
  </conditionalFormatting>
  <conditionalFormatting sqref="N33">
    <cfRule type="cellIs" dxfId="68" priority="6" operator="greaterThan">
      <formula>0</formula>
    </cfRule>
    <cfRule type="cellIs" dxfId="67" priority="7" operator="equal">
      <formula>0</formula>
    </cfRule>
    <cfRule type="cellIs" dxfId="66" priority="8" operator="equal">
      <formula>"¥11.055"</formula>
    </cfRule>
    <cfRule type="cellIs" dxfId="65" priority="9" operator="equal">
      <formula>0</formula>
    </cfRule>
  </conditionalFormatting>
  <conditionalFormatting sqref="AJ12:AJ18">
    <cfRule type="cellIs" dxfId="64" priority="5" operator="greaterThan">
      <formula>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7341F-DC1A-4473-9B0D-7F22E4567463}">
  <dimension ref="A1:AL51"/>
  <sheetViews>
    <sheetView topLeftCell="O1" zoomScaleNormal="100" workbookViewId="0">
      <pane ySplit="1" topLeftCell="A5" activePane="bottomLeft" state="frozen"/>
      <selection pane="bottomLeft" activeCell="AC15" sqref="AC15:AE15"/>
    </sheetView>
  </sheetViews>
  <sheetFormatPr defaultColWidth="10.6328125" defaultRowHeight="18"/>
  <cols>
    <col min="1" max="1" width="5.90625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6.81640625" style="69" customWidth="1"/>
    <col min="7" max="7" width="4.54296875" style="69" customWidth="1"/>
    <col min="8" max="8" width="12.453125" style="69" customWidth="1"/>
    <col min="9" max="9" width="4.1796875" style="69" customWidth="1"/>
    <col min="10" max="15" width="11.90625" style="69" customWidth="1"/>
    <col min="16" max="16" width="3" style="69" customWidth="1"/>
    <col min="17" max="23" width="8" style="69" customWidth="1"/>
    <col min="24" max="24" width="11" style="69" customWidth="1"/>
    <col min="25" max="25" width="3.08984375" style="69" customWidth="1"/>
    <col min="26" max="26" width="13.1796875" style="69" customWidth="1"/>
    <col min="27" max="27" width="13.1796875" style="296" customWidth="1"/>
    <col min="28" max="28" width="5.81640625" style="297" customWidth="1"/>
    <col min="29" max="29" width="13.1796875" style="69" customWidth="1"/>
    <col min="30" max="30" width="13.81640625" style="296" customWidth="1"/>
    <col min="31" max="31" width="4.90625" style="297" customWidth="1"/>
    <col min="32" max="32" width="10.81640625" style="296" customWidth="1"/>
    <col min="33" max="34" width="7" style="69" customWidth="1"/>
    <col min="35" max="35" width="11.453125" style="69" customWidth="1"/>
    <col min="36" max="36" width="21" style="69" customWidth="1"/>
    <col min="37" max="16384" width="10.6328125" style="69"/>
  </cols>
  <sheetData>
    <row r="1" spans="1:36" ht="38.25" customHeight="1" thickTop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133" t="s">
        <v>463</v>
      </c>
      <c r="H1" s="220" t="s">
        <v>464</v>
      </c>
      <c r="I1" s="710"/>
      <c r="J1" s="338" t="s">
        <v>705</v>
      </c>
      <c r="K1" s="338" t="s">
        <v>741</v>
      </c>
      <c r="L1" s="338" t="s">
        <v>707</v>
      </c>
      <c r="M1" s="338" t="s">
        <v>708</v>
      </c>
      <c r="N1" s="338" t="s">
        <v>710</v>
      </c>
      <c r="O1" s="338" t="s">
        <v>742</v>
      </c>
      <c r="P1" s="675"/>
      <c r="Q1" s="723" t="s">
        <v>795</v>
      </c>
      <c r="R1" s="723"/>
      <c r="S1" s="723"/>
      <c r="T1" s="723"/>
      <c r="U1" s="723"/>
      <c r="V1" s="723"/>
      <c r="W1" s="723"/>
      <c r="X1" s="723"/>
      <c r="Y1" s="733"/>
      <c r="Z1" s="676" t="s">
        <v>718</v>
      </c>
      <c r="AA1" s="677"/>
      <c r="AB1" s="677"/>
      <c r="AC1" s="677"/>
      <c r="AD1" s="677"/>
      <c r="AE1" s="678"/>
      <c r="AF1" s="281"/>
      <c r="AG1" s="631" t="s">
        <v>642</v>
      </c>
      <c r="AH1" s="632"/>
      <c r="AI1" s="632"/>
      <c r="AJ1" s="632"/>
    </row>
    <row r="2" spans="1:36" ht="30.9" customHeight="1" thickTop="1" thickBot="1">
      <c r="A2" s="176">
        <v>45992</v>
      </c>
      <c r="B2" s="177" t="s">
        <v>488</v>
      </c>
      <c r="C2" s="183">
        <v>295186</v>
      </c>
      <c r="D2" s="183">
        <v>330643</v>
      </c>
      <c r="E2" s="183">
        <f>C2-D2</f>
        <v>-35457</v>
      </c>
      <c r="F2" s="183">
        <v>-224</v>
      </c>
      <c r="G2" s="183">
        <v>0</v>
      </c>
      <c r="H2" s="221">
        <f>E2+F2</f>
        <v>-35681</v>
      </c>
      <c r="I2" s="710"/>
      <c r="J2" s="339">
        <f>D2-SUM(K2:O2)</f>
        <v>325643</v>
      </c>
      <c r="K2" s="339">
        <v>5000</v>
      </c>
      <c r="L2" s="339"/>
      <c r="M2" s="339"/>
      <c r="N2" s="339"/>
      <c r="O2" s="339"/>
      <c r="P2" s="675"/>
      <c r="Q2" s="709" t="s">
        <v>249</v>
      </c>
      <c r="R2" s="709"/>
      <c r="S2" s="709"/>
      <c r="T2" s="709"/>
      <c r="U2" s="709"/>
      <c r="V2" s="709"/>
      <c r="W2" s="709"/>
      <c r="X2" s="709"/>
      <c r="Y2" s="733"/>
      <c r="Z2" s="734" t="s">
        <v>711</v>
      </c>
      <c r="AA2" s="725"/>
      <c r="AB2" s="726"/>
      <c r="AC2" s="346">
        <f>AD13+AA13</f>
        <v>16777038</v>
      </c>
      <c r="AD2" s="681">
        <f>AB13+AE13</f>
        <v>0.96615232335582868</v>
      </c>
      <c r="AE2" s="682"/>
      <c r="AF2" s="81"/>
      <c r="AG2" s="627" t="s">
        <v>638</v>
      </c>
      <c r="AH2" s="628"/>
      <c r="AI2" s="628"/>
      <c r="AJ2" s="628"/>
    </row>
    <row r="3" spans="1:36" ht="30.9" customHeight="1" thickTop="1" thickBot="1">
      <c r="A3" s="176">
        <v>45993</v>
      </c>
      <c r="B3" s="177" t="s">
        <v>489</v>
      </c>
      <c r="C3" s="183">
        <v>390747</v>
      </c>
      <c r="D3" s="183">
        <v>592231</v>
      </c>
      <c r="E3" s="183">
        <f t="shared" ref="E3:E33" si="0">C3-D3</f>
        <v>-201484</v>
      </c>
      <c r="F3" s="183">
        <v>0</v>
      </c>
      <c r="G3" s="183">
        <v>0</v>
      </c>
      <c r="H3" s="221">
        <f>H2+E3+F3</f>
        <v>-237165</v>
      </c>
      <c r="I3" s="710"/>
      <c r="J3" s="339">
        <f t="shared" ref="J3:J33" si="1">D3-SUM(K3:O3)</f>
        <v>592231</v>
      </c>
      <c r="K3" s="339"/>
      <c r="L3" s="339"/>
      <c r="M3" s="339"/>
      <c r="N3" s="339"/>
      <c r="O3" s="339"/>
      <c r="P3" s="675"/>
      <c r="Q3" s="725" t="s">
        <v>769</v>
      </c>
      <c r="R3" s="726"/>
      <c r="S3" s="222" t="s">
        <v>251</v>
      </c>
      <c r="T3" s="222" t="s">
        <v>252</v>
      </c>
      <c r="U3" s="222" t="s">
        <v>449</v>
      </c>
      <c r="V3" s="659" t="s">
        <v>773</v>
      </c>
      <c r="W3" s="724"/>
      <c r="X3" s="724"/>
      <c r="Y3" s="733"/>
      <c r="Z3" s="713" t="s">
        <v>713</v>
      </c>
      <c r="AA3" s="714"/>
      <c r="AB3" s="714"/>
      <c r="AC3" s="715" t="s">
        <v>712</v>
      </c>
      <c r="AD3" s="715"/>
      <c r="AE3" s="716"/>
      <c r="AF3" s="81"/>
      <c r="AG3" s="246"/>
      <c r="AH3" s="247"/>
      <c r="AI3" s="247"/>
      <c r="AJ3" s="247"/>
    </row>
    <row r="4" spans="1:36" ht="30.9" customHeight="1" thickTop="1" thickBot="1">
      <c r="A4" s="176">
        <v>45994</v>
      </c>
      <c r="B4" s="177" t="s">
        <v>490</v>
      </c>
      <c r="C4" s="183">
        <v>273950</v>
      </c>
      <c r="D4" s="183">
        <v>807860</v>
      </c>
      <c r="E4" s="183">
        <f t="shared" si="0"/>
        <v>-533910</v>
      </c>
      <c r="F4" s="183">
        <v>0</v>
      </c>
      <c r="G4" s="183">
        <v>0</v>
      </c>
      <c r="H4" s="221">
        <f t="shared" ref="H4:H33" si="2">H3+E4+F4</f>
        <v>-771075</v>
      </c>
      <c r="I4" s="710"/>
      <c r="J4" s="339">
        <f t="shared" si="1"/>
        <v>794208</v>
      </c>
      <c r="K4" s="339">
        <v>5000</v>
      </c>
      <c r="L4" s="339"/>
      <c r="M4" s="339"/>
      <c r="N4" s="339">
        <v>320</v>
      </c>
      <c r="O4" s="339">
        <v>8332</v>
      </c>
      <c r="P4" s="675"/>
      <c r="Q4" s="727">
        <f>C34</f>
        <v>17364796</v>
      </c>
      <c r="R4" s="728"/>
      <c r="S4" s="224">
        <v>0</v>
      </c>
      <c r="T4" s="224">
        <v>0</v>
      </c>
      <c r="U4" s="224">
        <f>-F34</f>
        <v>5314</v>
      </c>
      <c r="V4" s="224">
        <v>44266</v>
      </c>
      <c r="W4" s="306"/>
      <c r="X4" s="306"/>
      <c r="Y4" s="733"/>
      <c r="Z4" s="319" t="s">
        <v>714</v>
      </c>
      <c r="AA4" s="243">
        <v>192550</v>
      </c>
      <c r="AB4" s="312">
        <f>AA4/$Q$4</f>
        <v>1.108852646469328E-2</v>
      </c>
      <c r="AC4" s="328" t="s">
        <v>719</v>
      </c>
      <c r="AD4" s="243">
        <f>R8</f>
        <v>969600</v>
      </c>
      <c r="AE4" s="313">
        <f>AD4/$Q$4</f>
        <v>5.5837108596035336E-2</v>
      </c>
      <c r="AG4" s="249"/>
      <c r="AH4" s="250"/>
      <c r="AI4" s="250"/>
      <c r="AJ4" s="250"/>
    </row>
    <row r="5" spans="1:36" ht="30.9" customHeight="1" thickTop="1" thickBot="1">
      <c r="A5" s="176">
        <v>45995</v>
      </c>
      <c r="B5" s="177" t="s">
        <v>491</v>
      </c>
      <c r="C5" s="183">
        <v>514737</v>
      </c>
      <c r="D5" s="183">
        <v>597837</v>
      </c>
      <c r="E5" s="183">
        <f t="shared" si="0"/>
        <v>-83100</v>
      </c>
      <c r="F5" s="183">
        <v>-221</v>
      </c>
      <c r="G5" s="183">
        <v>0</v>
      </c>
      <c r="H5" s="221">
        <f t="shared" si="2"/>
        <v>-854396</v>
      </c>
      <c r="I5" s="710"/>
      <c r="J5" s="339">
        <f t="shared" si="1"/>
        <v>584979</v>
      </c>
      <c r="K5" s="339">
        <v>7358</v>
      </c>
      <c r="L5" s="339"/>
      <c r="M5" s="339"/>
      <c r="N5" s="339"/>
      <c r="O5" s="339">
        <v>5500</v>
      </c>
      <c r="P5" s="675"/>
      <c r="Q5" s="729"/>
      <c r="R5" s="730"/>
      <c r="S5" s="225">
        <f>S4/Q4</f>
        <v>0</v>
      </c>
      <c r="T5" s="225">
        <f>T4/Q4</f>
        <v>0</v>
      </c>
      <c r="U5" s="226">
        <f>U4/Q4</f>
        <v>3.0602144707026792E-4</v>
      </c>
      <c r="V5" s="226">
        <f>V4/Q4</f>
        <v>2.5491805374505982E-3</v>
      </c>
      <c r="W5" s="307"/>
      <c r="X5" s="307"/>
      <c r="Y5" s="733"/>
      <c r="Z5" s="319" t="s">
        <v>715</v>
      </c>
      <c r="AA5" s="243">
        <v>26055</v>
      </c>
      <c r="AB5" s="312">
        <f t="shared" ref="AB5:AB12" si="3">AA5/$Q$4</f>
        <v>1.5004495301873975E-3</v>
      </c>
      <c r="AC5" s="328" t="s">
        <v>720</v>
      </c>
      <c r="AD5" s="243">
        <f>SUM(Q14:X14)</f>
        <v>0</v>
      </c>
      <c r="AE5" s="313">
        <f t="shared" ref="AE5:AE12" si="4">AD5/$Q$4</f>
        <v>0</v>
      </c>
      <c r="AG5" s="654" t="s">
        <v>639</v>
      </c>
      <c r="AH5" s="655"/>
      <c r="AI5" s="655"/>
      <c r="AJ5" s="655"/>
    </row>
    <row r="6" spans="1:36" ht="30.9" customHeight="1" thickTop="1" thickBot="1">
      <c r="A6" s="176">
        <v>45996</v>
      </c>
      <c r="B6" s="178" t="s">
        <v>485</v>
      </c>
      <c r="C6" s="183">
        <v>604302</v>
      </c>
      <c r="D6" s="183">
        <v>35115</v>
      </c>
      <c r="E6" s="183">
        <f t="shared" si="0"/>
        <v>569187</v>
      </c>
      <c r="F6" s="183">
        <v>-123</v>
      </c>
      <c r="G6" s="183">
        <v>0</v>
      </c>
      <c r="H6" s="221">
        <f t="shared" si="2"/>
        <v>-285332</v>
      </c>
      <c r="I6" s="710"/>
      <c r="J6" s="339">
        <f>D6-SUM(K6:O6)</f>
        <v>26935</v>
      </c>
      <c r="K6" s="339">
        <v>7000</v>
      </c>
      <c r="L6" s="339"/>
      <c r="M6" s="339"/>
      <c r="N6" s="339">
        <v>1180</v>
      </c>
      <c r="O6" s="339"/>
      <c r="P6" s="675"/>
      <c r="Q6" s="702" t="s">
        <v>250</v>
      </c>
      <c r="R6" s="702"/>
      <c r="S6" s="702"/>
      <c r="T6" s="702"/>
      <c r="U6" s="702"/>
      <c r="V6" s="702"/>
      <c r="W6" s="702"/>
      <c r="X6" s="702"/>
      <c r="Y6" s="733"/>
      <c r="Z6" s="319" t="s">
        <v>716</v>
      </c>
      <c r="AA6" s="243">
        <v>6080</v>
      </c>
      <c r="AB6" s="312">
        <f t="shared" si="3"/>
        <v>3.5013368426556812E-4</v>
      </c>
      <c r="AC6" s="328" t="s">
        <v>721</v>
      </c>
      <c r="AD6" s="243">
        <v>138353</v>
      </c>
      <c r="AE6" s="313">
        <f t="shared" si="4"/>
        <v>7.9674417136832466E-3</v>
      </c>
      <c r="AG6" s="630" t="s">
        <v>231</v>
      </c>
      <c r="AH6" s="630"/>
      <c r="AI6" s="490"/>
      <c r="AJ6" s="490"/>
    </row>
    <row r="7" spans="1:36" ht="30.9" customHeight="1" thickTop="1" thickBot="1">
      <c r="A7" s="176">
        <v>45997</v>
      </c>
      <c r="B7" s="178" t="s">
        <v>486</v>
      </c>
      <c r="C7" s="183">
        <v>568055</v>
      </c>
      <c r="D7" s="183">
        <v>447473</v>
      </c>
      <c r="E7" s="183">
        <f t="shared" si="0"/>
        <v>120582</v>
      </c>
      <c r="F7" s="183">
        <v>-541</v>
      </c>
      <c r="G7" s="183">
        <v>0</v>
      </c>
      <c r="H7" s="221">
        <f t="shared" si="2"/>
        <v>-165291</v>
      </c>
      <c r="I7" s="710"/>
      <c r="J7" s="339">
        <f>D7-SUM(K7:O7)</f>
        <v>447473</v>
      </c>
      <c r="K7" s="339"/>
      <c r="L7" s="339"/>
      <c r="M7" s="339"/>
      <c r="N7" s="339"/>
      <c r="O7" s="339"/>
      <c r="P7" s="675"/>
      <c r="Q7" s="329" t="s">
        <v>705</v>
      </c>
      <c r="R7" s="290" t="s">
        <v>253</v>
      </c>
      <c r="S7" s="288" t="s">
        <v>624</v>
      </c>
      <c r="T7" s="222"/>
      <c r="U7" s="703" t="s">
        <v>247</v>
      </c>
      <c r="V7" s="704"/>
      <c r="W7" s="704"/>
      <c r="X7" s="704"/>
      <c r="Y7" s="733"/>
      <c r="Z7" s="319" t="s">
        <v>717</v>
      </c>
      <c r="AA7" s="243">
        <f>T19</f>
        <v>46990</v>
      </c>
      <c r="AB7" s="312">
        <f t="shared" si="3"/>
        <v>2.7060496420458955E-3</v>
      </c>
      <c r="AC7" s="328" t="s">
        <v>722</v>
      </c>
      <c r="AD7" s="243">
        <v>3396</v>
      </c>
      <c r="AE7" s="313">
        <f t="shared" si="4"/>
        <v>1.9556809075096533E-4</v>
      </c>
      <c r="AG7" s="242" t="s">
        <v>640</v>
      </c>
      <c r="AH7" s="243">
        <v>300000</v>
      </c>
    </row>
    <row r="8" spans="1:36" ht="30.9" customHeight="1" thickTop="1" thickBot="1">
      <c r="A8" s="176">
        <v>45998</v>
      </c>
      <c r="B8" s="178" t="s">
        <v>487</v>
      </c>
      <c r="C8" s="183">
        <v>480502</v>
      </c>
      <c r="D8" s="183">
        <v>327594</v>
      </c>
      <c r="E8" s="183">
        <f t="shared" si="0"/>
        <v>152908</v>
      </c>
      <c r="F8" s="183">
        <v>0</v>
      </c>
      <c r="G8" s="183">
        <v>0</v>
      </c>
      <c r="H8" s="221">
        <f t="shared" si="2"/>
        <v>-12383</v>
      </c>
      <c r="I8" s="710"/>
      <c r="J8" s="339">
        <f t="shared" si="1"/>
        <v>327594</v>
      </c>
      <c r="K8" s="339"/>
      <c r="L8" s="339"/>
      <c r="M8" s="339"/>
      <c r="N8" s="339"/>
      <c r="O8" s="339"/>
      <c r="P8" s="675"/>
      <c r="Q8" s="330">
        <f>D34</f>
        <v>15495983</v>
      </c>
      <c r="R8" s="291">
        <f>T16</f>
        <v>969600</v>
      </c>
      <c r="S8" s="289">
        <f>V19</f>
        <v>265491</v>
      </c>
      <c r="T8" s="229"/>
      <c r="U8" s="705">
        <f>SUM(Q8:T8)</f>
        <v>16731074</v>
      </c>
      <c r="V8" s="706"/>
      <c r="W8" s="706"/>
      <c r="X8" s="706"/>
      <c r="Y8" s="733"/>
      <c r="Z8" s="319" t="s">
        <v>723</v>
      </c>
      <c r="AA8" s="243">
        <v>5500</v>
      </c>
      <c r="AB8" s="312">
        <f t="shared" si="3"/>
        <v>3.1673277359549746E-4</v>
      </c>
      <c r="AC8" s="328" t="s">
        <v>708</v>
      </c>
      <c r="AD8" s="243">
        <f>M34</f>
        <v>10412</v>
      </c>
      <c r="AE8" s="313">
        <f t="shared" si="4"/>
        <v>5.9960393430478543E-4</v>
      </c>
      <c r="AG8" s="242" t="s">
        <v>641</v>
      </c>
      <c r="AH8" s="243">
        <v>55000</v>
      </c>
    </row>
    <row r="9" spans="1:36" ht="30.9" customHeight="1" thickTop="1" thickBot="1">
      <c r="A9" s="176">
        <v>45999</v>
      </c>
      <c r="B9" s="177" t="s">
        <v>488</v>
      </c>
      <c r="C9" s="183">
        <v>287255</v>
      </c>
      <c r="D9" s="183">
        <v>693598</v>
      </c>
      <c r="E9" s="183">
        <f t="shared" si="0"/>
        <v>-406343</v>
      </c>
      <c r="F9" s="183">
        <v>-28</v>
      </c>
      <c r="G9" s="183">
        <v>0</v>
      </c>
      <c r="H9" s="221">
        <f t="shared" si="2"/>
        <v>-418754</v>
      </c>
      <c r="I9" s="710"/>
      <c r="J9" s="339">
        <f t="shared" si="1"/>
        <v>693598</v>
      </c>
      <c r="K9" s="339"/>
      <c r="L9" s="339"/>
      <c r="M9" s="339"/>
      <c r="N9" s="339"/>
      <c r="O9" s="339"/>
      <c r="P9" s="675"/>
      <c r="Q9" s="331" t="s">
        <v>266</v>
      </c>
      <c r="R9" s="731">
        <f>Q4-U8-V4-U4</f>
        <v>584142</v>
      </c>
      <c r="S9" s="732"/>
      <c r="T9" s="732"/>
      <c r="U9" s="732"/>
      <c r="V9" s="732"/>
      <c r="W9" s="732"/>
      <c r="X9" s="732"/>
      <c r="Y9" s="733"/>
      <c r="Z9" s="319" t="s">
        <v>724</v>
      </c>
      <c r="AA9" s="243">
        <v>0</v>
      </c>
      <c r="AB9" s="312">
        <f t="shared" si="3"/>
        <v>0</v>
      </c>
      <c r="AC9" s="328" t="s">
        <v>707</v>
      </c>
      <c r="AD9" s="243">
        <f>L34</f>
        <v>51548</v>
      </c>
      <c r="AE9" s="313">
        <f t="shared" si="4"/>
        <v>2.9685347296910369E-3</v>
      </c>
      <c r="AG9" s="241" t="s">
        <v>495</v>
      </c>
      <c r="AH9" s="243">
        <v>35000</v>
      </c>
    </row>
    <row r="10" spans="1:36" ht="30.9" customHeight="1" thickTop="1" thickBot="1">
      <c r="A10" s="176">
        <v>46000</v>
      </c>
      <c r="B10" s="177" t="s">
        <v>489</v>
      </c>
      <c r="C10" s="183">
        <v>296974</v>
      </c>
      <c r="D10" s="183">
        <v>230437</v>
      </c>
      <c r="E10" s="183">
        <f t="shared" si="0"/>
        <v>66537</v>
      </c>
      <c r="F10" s="183">
        <v>0</v>
      </c>
      <c r="G10" s="183">
        <v>0</v>
      </c>
      <c r="H10" s="221">
        <f t="shared" si="2"/>
        <v>-352217</v>
      </c>
      <c r="I10" s="710"/>
      <c r="J10" s="339">
        <f t="shared" si="1"/>
        <v>230437</v>
      </c>
      <c r="K10" s="339"/>
      <c r="L10" s="339"/>
      <c r="M10" s="339"/>
      <c r="N10" s="339"/>
      <c r="O10" s="339"/>
      <c r="P10" s="675"/>
      <c r="Q10" s="708" t="s">
        <v>257</v>
      </c>
      <c r="R10" s="708"/>
      <c r="S10" s="708"/>
      <c r="T10" s="708"/>
      <c r="U10" s="708"/>
      <c r="V10" s="708"/>
      <c r="W10" s="708"/>
      <c r="X10" s="708"/>
      <c r="Y10" s="733"/>
      <c r="Z10" s="319" t="s">
        <v>743</v>
      </c>
      <c r="AA10" s="243">
        <v>0</v>
      </c>
      <c r="AB10" s="312">
        <f t="shared" si="3"/>
        <v>0</v>
      </c>
      <c r="AC10" s="328" t="s">
        <v>706</v>
      </c>
      <c r="AD10" s="243">
        <f>K34</f>
        <v>82375</v>
      </c>
      <c r="AE10" s="313">
        <f t="shared" si="4"/>
        <v>4.743793131805292E-3</v>
      </c>
      <c r="AG10" s="244" t="s">
        <v>73</v>
      </c>
      <c r="AH10" s="245">
        <f>SUM(AH7:AH9)</f>
        <v>390000</v>
      </c>
      <c r="AI10" s="252"/>
      <c r="AJ10" s="252"/>
    </row>
    <row r="11" spans="1:36" ht="30.9" customHeight="1" thickTop="1" thickBot="1">
      <c r="A11" s="176">
        <v>46001</v>
      </c>
      <c r="B11" s="177" t="s">
        <v>490</v>
      </c>
      <c r="C11" s="183">
        <v>486394</v>
      </c>
      <c r="D11" s="183">
        <v>743048</v>
      </c>
      <c r="E11" s="183">
        <f t="shared" si="0"/>
        <v>-256654</v>
      </c>
      <c r="F11" s="183">
        <v>0</v>
      </c>
      <c r="G11" s="183">
        <v>0</v>
      </c>
      <c r="H11" s="221">
        <f>H10+E11+F11</f>
        <v>-608871</v>
      </c>
      <c r="I11" s="710"/>
      <c r="J11" s="339">
        <f t="shared" si="1"/>
        <v>724426</v>
      </c>
      <c r="K11" s="339">
        <v>5000</v>
      </c>
      <c r="L11" s="339">
        <v>13302</v>
      </c>
      <c r="M11" s="339"/>
      <c r="N11" s="339">
        <v>320</v>
      </c>
      <c r="O11" s="339"/>
      <c r="P11" s="675"/>
      <c r="Q11" s="707" t="s">
        <v>477</v>
      </c>
      <c r="R11" s="707"/>
      <c r="S11" s="707"/>
      <c r="T11" s="707"/>
      <c r="U11" s="707"/>
      <c r="V11" s="707"/>
      <c r="W11" s="707"/>
      <c r="X11" s="707"/>
      <c r="Y11" s="733"/>
      <c r="Z11" s="319" t="s">
        <v>744</v>
      </c>
      <c r="AA11" s="352">
        <v>0</v>
      </c>
      <c r="AB11" s="312">
        <f t="shared" si="3"/>
        <v>0</v>
      </c>
      <c r="AC11" s="328" t="s">
        <v>705</v>
      </c>
      <c r="AD11" s="243">
        <f>J34</f>
        <v>15194446</v>
      </c>
      <c r="AE11" s="313">
        <f t="shared" si="4"/>
        <v>0.87501436815036582</v>
      </c>
      <c r="AG11" s="647" t="s">
        <v>643</v>
      </c>
      <c r="AH11" s="647"/>
      <c r="AI11" s="647"/>
      <c r="AJ11" s="647"/>
    </row>
    <row r="12" spans="1:36" ht="30.9" customHeight="1" thickTop="1" thickBot="1">
      <c r="A12" s="176">
        <v>46002</v>
      </c>
      <c r="B12" s="177" t="s">
        <v>491</v>
      </c>
      <c r="C12" s="183">
        <v>640552</v>
      </c>
      <c r="D12" s="183">
        <v>430440</v>
      </c>
      <c r="E12" s="183">
        <f t="shared" si="0"/>
        <v>210112</v>
      </c>
      <c r="F12" s="183">
        <v>-554</v>
      </c>
      <c r="G12" s="183">
        <v>0</v>
      </c>
      <c r="H12" s="221">
        <f t="shared" si="2"/>
        <v>-399313</v>
      </c>
      <c r="I12" s="710"/>
      <c r="J12" s="339">
        <f t="shared" si="1"/>
        <v>424120</v>
      </c>
      <c r="K12" s="339">
        <v>5000</v>
      </c>
      <c r="L12" s="339"/>
      <c r="M12" s="339"/>
      <c r="N12" s="339">
        <v>1320</v>
      </c>
      <c r="O12" s="339"/>
      <c r="P12" s="675"/>
      <c r="Q12" s="269" t="s">
        <v>478</v>
      </c>
      <c r="R12" s="229" t="s">
        <v>479</v>
      </c>
      <c r="S12" s="229" t="s">
        <v>480</v>
      </c>
      <c r="T12" s="229" t="s">
        <v>455</v>
      </c>
      <c r="U12" s="229" t="s">
        <v>468</v>
      </c>
      <c r="V12" s="258" t="s">
        <v>230</v>
      </c>
      <c r="W12" s="308" t="s">
        <v>670</v>
      </c>
      <c r="X12" s="308" t="s">
        <v>788</v>
      </c>
      <c r="Y12" s="733"/>
      <c r="Z12" s="345" t="s">
        <v>771</v>
      </c>
      <c r="AA12" s="243">
        <v>0</v>
      </c>
      <c r="AB12" s="312">
        <f t="shared" si="3"/>
        <v>0</v>
      </c>
      <c r="AC12" s="328" t="s">
        <v>725</v>
      </c>
      <c r="AD12" s="243">
        <f>N34</f>
        <v>49733</v>
      </c>
      <c r="AE12" s="313">
        <f t="shared" si="4"/>
        <v>2.864012914404523E-3</v>
      </c>
      <c r="AG12" s="650" t="s">
        <v>644</v>
      </c>
      <c r="AH12" s="650"/>
      <c r="AI12" s="650"/>
      <c r="AJ12" s="229">
        <v>0</v>
      </c>
    </row>
    <row r="13" spans="1:36" ht="30.9" customHeight="1" thickTop="1" thickBot="1">
      <c r="A13" s="176">
        <v>46003</v>
      </c>
      <c r="B13" s="178" t="s">
        <v>485</v>
      </c>
      <c r="C13" s="183">
        <v>532612</v>
      </c>
      <c r="D13" s="183">
        <v>169830</v>
      </c>
      <c r="E13" s="183">
        <f t="shared" si="0"/>
        <v>362782</v>
      </c>
      <c r="F13" s="183">
        <v>0</v>
      </c>
      <c r="G13" s="183">
        <v>0</v>
      </c>
      <c r="H13" s="221">
        <f t="shared" si="2"/>
        <v>-36531</v>
      </c>
      <c r="I13" s="710"/>
      <c r="J13" s="339">
        <f t="shared" si="1"/>
        <v>169630</v>
      </c>
      <c r="K13" s="339"/>
      <c r="L13" s="339"/>
      <c r="M13" s="339"/>
      <c r="N13" s="339">
        <v>200</v>
      </c>
      <c r="O13" s="339"/>
      <c r="P13" s="675"/>
      <c r="Q13" s="332">
        <f>AH10-75000</f>
        <v>315000</v>
      </c>
      <c r="R13" s="229">
        <f>11.5*4*1100</f>
        <v>50600</v>
      </c>
      <c r="S13" s="229">
        <f>41.5*1100</f>
        <v>45650</v>
      </c>
      <c r="T13" s="229">
        <f>107.5*1100</f>
        <v>118250</v>
      </c>
      <c r="U13" s="229">
        <f>114*1100</f>
        <v>125400</v>
      </c>
      <c r="V13" s="229">
        <v>100000</v>
      </c>
      <c r="W13" s="266">
        <f>90.5*1100</f>
        <v>99550</v>
      </c>
      <c r="X13" s="266">
        <f>36.5*1100</f>
        <v>40150</v>
      </c>
      <c r="Y13" s="733"/>
      <c r="Z13" s="311" t="s">
        <v>709</v>
      </c>
      <c r="AA13" s="317">
        <f>SUM(AA4:AA12)</f>
        <v>277175</v>
      </c>
      <c r="AB13" s="312">
        <f>SUM(AB4:AB12)</f>
        <v>1.5961892094787638E-2</v>
      </c>
      <c r="AC13" s="327" t="s">
        <v>709</v>
      </c>
      <c r="AD13" s="317">
        <f>SUM(AD4:AD12)</f>
        <v>16499863</v>
      </c>
      <c r="AE13" s="313">
        <f>SUM(AE4:AE12)</f>
        <v>0.95019043126104108</v>
      </c>
      <c r="AG13" s="650" t="s">
        <v>645</v>
      </c>
      <c r="AH13" s="650"/>
      <c r="AI13" s="261" t="s">
        <v>646</v>
      </c>
      <c r="AJ13" s="229">
        <v>1800000</v>
      </c>
    </row>
    <row r="14" spans="1:36" ht="30.9" customHeight="1" thickTop="1" thickBot="1">
      <c r="A14" s="176">
        <v>46004</v>
      </c>
      <c r="B14" s="178" t="s">
        <v>486</v>
      </c>
      <c r="C14" s="183">
        <v>967039</v>
      </c>
      <c r="D14" s="183">
        <v>463594</v>
      </c>
      <c r="E14" s="183">
        <f t="shared" si="0"/>
        <v>503445</v>
      </c>
      <c r="F14" s="183">
        <v>-325</v>
      </c>
      <c r="G14" s="183">
        <v>0</v>
      </c>
      <c r="H14" s="221">
        <f t="shared" si="2"/>
        <v>466589</v>
      </c>
      <c r="I14" s="710"/>
      <c r="J14" s="339">
        <f t="shared" si="1"/>
        <v>449660</v>
      </c>
      <c r="K14" s="339"/>
      <c r="L14" s="339">
        <v>13334</v>
      </c>
      <c r="M14" s="339"/>
      <c r="N14" s="339">
        <v>600</v>
      </c>
      <c r="O14" s="339"/>
      <c r="P14" s="675"/>
      <c r="Q14" s="333">
        <v>0</v>
      </c>
      <c r="R14" s="287">
        <v>0</v>
      </c>
      <c r="S14" s="287">
        <v>0</v>
      </c>
      <c r="T14" s="287">
        <v>0</v>
      </c>
      <c r="U14" s="287">
        <v>0</v>
      </c>
      <c r="V14" s="287">
        <v>0</v>
      </c>
      <c r="W14" s="287">
        <v>0</v>
      </c>
      <c r="X14" s="287">
        <v>0</v>
      </c>
      <c r="Y14" s="733"/>
      <c r="Z14" s="735" t="s">
        <v>726</v>
      </c>
      <c r="AA14" s="736"/>
      <c r="AB14" s="737"/>
      <c r="AC14" s="347">
        <f>AA21+AD21</f>
        <v>182310</v>
      </c>
      <c r="AD14" s="681">
        <f>AB21+AE21</f>
        <v>1.049882762803548E-2</v>
      </c>
      <c r="AE14" s="682"/>
      <c r="AF14" s="81"/>
      <c r="AG14" s="650"/>
      <c r="AH14" s="650"/>
      <c r="AI14" s="261" t="s">
        <v>647</v>
      </c>
      <c r="AJ14" s="229">
        <v>0</v>
      </c>
    </row>
    <row r="15" spans="1:36" ht="30.9" customHeight="1" thickTop="1" thickBot="1">
      <c r="A15" s="176">
        <v>46005</v>
      </c>
      <c r="B15" s="178" t="s">
        <v>487</v>
      </c>
      <c r="C15" s="183">
        <v>390457</v>
      </c>
      <c r="D15" s="183">
        <v>585661</v>
      </c>
      <c r="E15" s="183">
        <f t="shared" si="0"/>
        <v>-195204</v>
      </c>
      <c r="F15" s="183">
        <v>-21</v>
      </c>
      <c r="G15" s="183">
        <v>0</v>
      </c>
      <c r="H15" s="221">
        <f t="shared" si="2"/>
        <v>271364</v>
      </c>
      <c r="I15" s="710"/>
      <c r="J15" s="339">
        <f t="shared" si="1"/>
        <v>565379</v>
      </c>
      <c r="K15" s="339">
        <v>4013</v>
      </c>
      <c r="L15" s="339"/>
      <c r="M15" s="339"/>
      <c r="N15" s="339">
        <f>11143+530+1200</f>
        <v>12873</v>
      </c>
      <c r="O15" s="339">
        <v>3396</v>
      </c>
      <c r="P15" s="675"/>
      <c r="Q15" s="334">
        <f>SUM(Q13:Q14)</f>
        <v>315000</v>
      </c>
      <c r="R15" s="234">
        <f t="shared" ref="R15:X15" si="5">SUM(R13:R14)</f>
        <v>50600</v>
      </c>
      <c r="S15" s="234">
        <f t="shared" si="5"/>
        <v>45650</v>
      </c>
      <c r="T15" s="234">
        <f t="shared" si="5"/>
        <v>118250</v>
      </c>
      <c r="U15" s="234">
        <f t="shared" si="5"/>
        <v>125400</v>
      </c>
      <c r="V15" s="234">
        <f t="shared" si="5"/>
        <v>100000</v>
      </c>
      <c r="W15" s="234">
        <f t="shared" si="5"/>
        <v>99550</v>
      </c>
      <c r="X15" s="260">
        <f t="shared" si="5"/>
        <v>40150</v>
      </c>
      <c r="Y15" s="733"/>
      <c r="Z15" s="719" t="s">
        <v>729</v>
      </c>
      <c r="AA15" s="720"/>
      <c r="AB15" s="720"/>
      <c r="AC15" s="717" t="s">
        <v>730</v>
      </c>
      <c r="AD15" s="717"/>
      <c r="AE15" s="718"/>
      <c r="AF15" s="81"/>
      <c r="AG15" s="650" t="s">
        <v>648</v>
      </c>
      <c r="AH15" s="650" t="s">
        <v>649</v>
      </c>
      <c r="AI15" s="650"/>
      <c r="AJ15" s="229">
        <v>0</v>
      </c>
    </row>
    <row r="16" spans="1:36" ht="30.9" customHeight="1" thickTop="1" thickBot="1">
      <c r="A16" s="176">
        <v>46006</v>
      </c>
      <c r="B16" s="177" t="s">
        <v>488</v>
      </c>
      <c r="C16" s="183">
        <v>286044</v>
      </c>
      <c r="D16" s="183">
        <v>503162</v>
      </c>
      <c r="E16" s="183">
        <f t="shared" si="0"/>
        <v>-217118</v>
      </c>
      <c r="F16" s="183">
        <v>0</v>
      </c>
      <c r="G16" s="183">
        <v>0</v>
      </c>
      <c r="H16" s="221">
        <f t="shared" si="2"/>
        <v>54246</v>
      </c>
      <c r="I16" s="710"/>
      <c r="J16" s="339">
        <f t="shared" si="1"/>
        <v>503162</v>
      </c>
      <c r="K16" s="339"/>
      <c r="L16" s="339"/>
      <c r="M16" s="339"/>
      <c r="N16" s="339"/>
      <c r="O16" s="339"/>
      <c r="P16" s="675"/>
      <c r="Q16" s="698" t="s">
        <v>247</v>
      </c>
      <c r="R16" s="641"/>
      <c r="S16" s="641"/>
      <c r="T16" s="648">
        <f>SUM(R15:X15)+AH10</f>
        <v>969600</v>
      </c>
      <c r="U16" s="699"/>
      <c r="V16" s="699"/>
      <c r="W16" s="699"/>
      <c r="X16" s="699"/>
      <c r="Y16" s="733"/>
      <c r="Z16" s="324" t="s">
        <v>728</v>
      </c>
      <c r="AA16" s="243">
        <f>T23</f>
        <v>40000</v>
      </c>
      <c r="AB16" s="312">
        <f>AA16/$Q$4</f>
        <v>2.3035110806945269E-3</v>
      </c>
      <c r="AC16" s="321" t="s">
        <v>731</v>
      </c>
      <c r="AD16" s="243">
        <f>V4</f>
        <v>44266</v>
      </c>
      <c r="AE16" s="313">
        <f>AD16/$Q$4</f>
        <v>2.5491805374505982E-3</v>
      </c>
      <c r="AG16" s="650"/>
      <c r="AH16" s="650" t="s">
        <v>650</v>
      </c>
      <c r="AI16" s="650"/>
      <c r="AJ16" s="229">
        <v>180000</v>
      </c>
    </row>
    <row r="17" spans="1:36" ht="30.9" customHeight="1" thickTop="1" thickBot="1">
      <c r="A17" s="176">
        <v>46007</v>
      </c>
      <c r="B17" s="177" t="s">
        <v>489</v>
      </c>
      <c r="C17" s="183">
        <v>409940</v>
      </c>
      <c r="D17" s="183">
        <v>39721</v>
      </c>
      <c r="E17" s="183">
        <f t="shared" si="0"/>
        <v>370219</v>
      </c>
      <c r="F17" s="183">
        <v>0</v>
      </c>
      <c r="G17" s="183">
        <v>0</v>
      </c>
      <c r="H17" s="221">
        <f t="shared" si="2"/>
        <v>424465</v>
      </c>
      <c r="I17" s="710"/>
      <c r="J17" s="339">
        <f t="shared" si="1"/>
        <v>34401</v>
      </c>
      <c r="K17" s="339">
        <v>5000</v>
      </c>
      <c r="L17" s="339"/>
      <c r="M17" s="339"/>
      <c r="N17" s="339">
        <v>320</v>
      </c>
      <c r="O17" s="339"/>
      <c r="P17" s="675"/>
      <c r="Q17" s="688" t="s">
        <v>482</v>
      </c>
      <c r="R17" s="643"/>
      <c r="S17" s="643"/>
      <c r="T17" s="643"/>
      <c r="U17" s="643"/>
      <c r="V17" s="649"/>
      <c r="W17" s="283"/>
      <c r="X17" s="283"/>
      <c r="Y17" s="733"/>
      <c r="Z17" s="324" t="s">
        <v>727</v>
      </c>
      <c r="AA17" s="243">
        <f>U23</f>
        <v>22991</v>
      </c>
      <c r="AB17" s="312">
        <f t="shared" ref="AB17:AB20" si="6">AA17/$Q$4</f>
        <v>1.3240005814061967E-3</v>
      </c>
      <c r="AC17" s="321" t="s">
        <v>732</v>
      </c>
      <c r="AD17" s="243">
        <v>939</v>
      </c>
      <c r="AE17" s="313">
        <f t="shared" ref="AE17" si="7">AD17/$Q$4</f>
        <v>5.4074922619304019E-5</v>
      </c>
      <c r="AG17" s="261" t="s">
        <v>651</v>
      </c>
      <c r="AH17" s="650" t="s">
        <v>652</v>
      </c>
      <c r="AI17" s="650"/>
      <c r="AJ17" s="229">
        <v>650000</v>
      </c>
    </row>
    <row r="18" spans="1:36" ht="30.9" customHeight="1" thickTop="1" thickBot="1">
      <c r="A18" s="176">
        <v>46008</v>
      </c>
      <c r="B18" s="177" t="s">
        <v>490</v>
      </c>
      <c r="C18" s="183">
        <v>189615</v>
      </c>
      <c r="D18" s="183">
        <v>230073</v>
      </c>
      <c r="E18" s="183">
        <f t="shared" si="0"/>
        <v>-40458</v>
      </c>
      <c r="F18" s="183">
        <v>0</v>
      </c>
      <c r="G18" s="183">
        <v>0</v>
      </c>
      <c r="H18" s="221">
        <f t="shared" si="2"/>
        <v>384007</v>
      </c>
      <c r="I18" s="710"/>
      <c r="J18" s="339">
        <f t="shared" si="1"/>
        <v>230073</v>
      </c>
      <c r="K18" s="339"/>
      <c r="L18" s="339"/>
      <c r="M18" s="339"/>
      <c r="N18" s="339"/>
      <c r="O18" s="339"/>
      <c r="P18" s="675"/>
      <c r="Q18" s="284"/>
      <c r="R18" s="235"/>
      <c r="S18" s="343" t="s">
        <v>760</v>
      </c>
      <c r="T18" s="294" t="s">
        <v>703</v>
      </c>
      <c r="U18" s="236" t="s">
        <v>498</v>
      </c>
      <c r="V18" s="683" t="s">
        <v>247</v>
      </c>
      <c r="W18" s="684"/>
      <c r="X18" s="684"/>
      <c r="Y18" s="733"/>
      <c r="Z18" s="324" t="s">
        <v>733</v>
      </c>
      <c r="AA18" s="243">
        <f>S23</f>
        <v>18800</v>
      </c>
      <c r="AB18" s="312">
        <f t="shared" si="6"/>
        <v>1.0826502079264277E-3</v>
      </c>
      <c r="AC18" s="322"/>
      <c r="AD18" s="243"/>
      <c r="AE18" s="313"/>
      <c r="AG18" s="650" t="s">
        <v>777</v>
      </c>
      <c r="AH18" s="650"/>
      <c r="AI18" s="650"/>
      <c r="AJ18" s="229">
        <f>209847235/173</f>
        <v>1212989.7976878614</v>
      </c>
    </row>
    <row r="19" spans="1:36" ht="30.9" customHeight="1" thickTop="1" thickBot="1">
      <c r="A19" s="176">
        <v>46009</v>
      </c>
      <c r="B19" s="177" t="s">
        <v>491</v>
      </c>
      <c r="C19" s="183">
        <v>459899</v>
      </c>
      <c r="D19" s="183">
        <v>235300</v>
      </c>
      <c r="E19" s="183">
        <f t="shared" si="0"/>
        <v>224599</v>
      </c>
      <c r="F19" s="183">
        <v>0</v>
      </c>
      <c r="G19" s="183">
        <v>0</v>
      </c>
      <c r="H19" s="221">
        <f t="shared" si="2"/>
        <v>608606</v>
      </c>
      <c r="I19" s="710"/>
      <c r="J19" s="339">
        <f t="shared" si="1"/>
        <v>235300</v>
      </c>
      <c r="K19" s="339"/>
      <c r="L19" s="339"/>
      <c r="M19" s="339"/>
      <c r="N19" s="339"/>
      <c r="O19" s="339"/>
      <c r="P19" s="675"/>
      <c r="Q19" s="335"/>
      <c r="R19" s="237"/>
      <c r="S19" s="344">
        <f>6500*10</f>
        <v>65000</v>
      </c>
      <c r="T19" s="295">
        <f>39940+7050</f>
        <v>46990</v>
      </c>
      <c r="U19" s="238">
        <f>V23</f>
        <v>153501</v>
      </c>
      <c r="V19" s="685">
        <f>SUM(Q19:U19)</f>
        <v>265491</v>
      </c>
      <c r="W19" s="686"/>
      <c r="X19" s="686"/>
      <c r="Y19" s="733"/>
      <c r="Z19" s="324" t="s">
        <v>734</v>
      </c>
      <c r="AA19" s="243">
        <f>R23</f>
        <v>50000</v>
      </c>
      <c r="AB19" s="312">
        <f t="shared" si="6"/>
        <v>2.8793888508681586E-3</v>
      </c>
      <c r="AC19" s="322"/>
      <c r="AD19" s="243"/>
      <c r="AE19" s="313"/>
      <c r="AG19" s="652" t="s">
        <v>654</v>
      </c>
      <c r="AH19" s="652"/>
      <c r="AI19" s="652"/>
      <c r="AJ19" s="229">
        <v>6251541</v>
      </c>
    </row>
    <row r="20" spans="1:36" ht="30.9" customHeight="1" thickTop="1" thickBot="1">
      <c r="A20" s="176">
        <v>46010</v>
      </c>
      <c r="B20" s="178" t="s">
        <v>485</v>
      </c>
      <c r="C20" s="183">
        <v>510951</v>
      </c>
      <c r="D20" s="183">
        <v>986396</v>
      </c>
      <c r="E20" s="183">
        <f t="shared" si="0"/>
        <v>-475445</v>
      </c>
      <c r="F20" s="183">
        <v>-541</v>
      </c>
      <c r="G20" s="183">
        <v>0</v>
      </c>
      <c r="H20" s="221">
        <f t="shared" si="2"/>
        <v>132620</v>
      </c>
      <c r="I20" s="710"/>
      <c r="J20" s="339">
        <f t="shared" si="1"/>
        <v>981396</v>
      </c>
      <c r="K20" s="339"/>
      <c r="L20" s="339"/>
      <c r="M20" s="339"/>
      <c r="N20" s="339">
        <v>5000</v>
      </c>
      <c r="O20" s="339"/>
      <c r="P20" s="675"/>
      <c r="Q20" s="269"/>
      <c r="R20" s="232"/>
      <c r="S20" s="232"/>
      <c r="T20" s="232"/>
      <c r="U20" s="232"/>
      <c r="V20" s="232"/>
      <c r="W20" s="310"/>
      <c r="X20" s="310"/>
      <c r="Y20" s="733"/>
      <c r="Z20" s="324" t="s">
        <v>746</v>
      </c>
      <c r="AA20" s="243">
        <f>U4</f>
        <v>5314</v>
      </c>
      <c r="AB20" s="312">
        <f t="shared" si="6"/>
        <v>3.0602144707026792E-4</v>
      </c>
      <c r="AC20" s="314"/>
      <c r="AD20" s="243"/>
      <c r="AE20" s="313"/>
      <c r="AG20" s="652" t="s">
        <v>655</v>
      </c>
      <c r="AH20" s="652"/>
      <c r="AI20" s="652"/>
      <c r="AJ20" s="229">
        <v>6000000</v>
      </c>
    </row>
    <row r="21" spans="1:36" ht="30.9" customHeight="1" thickTop="1" thickBot="1">
      <c r="A21" s="176">
        <v>46011</v>
      </c>
      <c r="B21" s="178" t="s">
        <v>486</v>
      </c>
      <c r="C21" s="183">
        <v>810996</v>
      </c>
      <c r="D21" s="183">
        <v>223850</v>
      </c>
      <c r="E21" s="183">
        <f t="shared" si="0"/>
        <v>587146</v>
      </c>
      <c r="F21" s="183">
        <v>-41</v>
      </c>
      <c r="G21" s="183">
        <v>0</v>
      </c>
      <c r="H21" s="221">
        <f t="shared" si="2"/>
        <v>719725</v>
      </c>
      <c r="I21" s="710"/>
      <c r="J21" s="339">
        <f t="shared" si="1"/>
        <v>223530</v>
      </c>
      <c r="K21" s="339"/>
      <c r="L21" s="339"/>
      <c r="M21" s="339"/>
      <c r="N21" s="339">
        <v>320</v>
      </c>
      <c r="O21" s="339"/>
      <c r="P21" s="675"/>
      <c r="Q21" s="687" t="s">
        <v>772</v>
      </c>
      <c r="R21" s="687"/>
      <c r="S21" s="687"/>
      <c r="T21" s="687"/>
      <c r="U21" s="687"/>
      <c r="V21" s="687"/>
      <c r="W21" s="687"/>
      <c r="X21" s="687"/>
      <c r="Y21" s="733"/>
      <c r="Z21" s="326" t="s">
        <v>709</v>
      </c>
      <c r="AA21" s="318">
        <f>SUM(AA16:AA20)</f>
        <v>137105</v>
      </c>
      <c r="AB21" s="315">
        <f>SUM(AB16:AB20)</f>
        <v>7.8955721679655772E-3</v>
      </c>
      <c r="AC21" s="323" t="s">
        <v>709</v>
      </c>
      <c r="AD21" s="318">
        <f>SUM(AD16:AD20)</f>
        <v>45205</v>
      </c>
      <c r="AE21" s="316">
        <f>SUM(AE16:AE20)</f>
        <v>2.6032554600699024E-3</v>
      </c>
      <c r="AG21" s="653" t="s">
        <v>247</v>
      </c>
      <c r="AH21" s="653"/>
      <c r="AI21" s="653"/>
      <c r="AJ21" s="270">
        <f>SUM(AJ12:AJ20)</f>
        <v>16094530.797687862</v>
      </c>
    </row>
    <row r="22" spans="1:36" ht="30.9" customHeight="1" thickTop="1" thickBot="1">
      <c r="A22" s="176">
        <v>46012</v>
      </c>
      <c r="B22" s="178" t="s">
        <v>487</v>
      </c>
      <c r="C22" s="183">
        <v>436364</v>
      </c>
      <c r="D22" s="183">
        <v>454237</v>
      </c>
      <c r="E22" s="183">
        <f t="shared" si="0"/>
        <v>-17873</v>
      </c>
      <c r="F22" s="183">
        <v>-227</v>
      </c>
      <c r="G22" s="183">
        <v>0</v>
      </c>
      <c r="H22" s="221">
        <f t="shared" si="2"/>
        <v>701625</v>
      </c>
      <c r="I22" s="710"/>
      <c r="J22" s="339">
        <f t="shared" si="1"/>
        <v>441911</v>
      </c>
      <c r="K22" s="339">
        <v>8006</v>
      </c>
      <c r="L22" s="339"/>
      <c r="M22" s="339"/>
      <c r="N22" s="339">
        <v>4320</v>
      </c>
      <c r="O22" s="339"/>
      <c r="P22" s="675"/>
      <c r="Q22" s="336" t="s">
        <v>625</v>
      </c>
      <c r="R22" s="299" t="s">
        <v>770</v>
      </c>
      <c r="S22" s="299" t="s">
        <v>733</v>
      </c>
      <c r="T22" s="299" t="s">
        <v>728</v>
      </c>
      <c r="U22" s="299" t="s">
        <v>727</v>
      </c>
      <c r="V22" s="690" t="s">
        <v>247</v>
      </c>
      <c r="W22" s="741"/>
      <c r="X22" s="691"/>
      <c r="Y22" s="733"/>
      <c r="Z22" s="694" t="s">
        <v>745</v>
      </c>
      <c r="AA22" s="695"/>
      <c r="AB22" s="695"/>
      <c r="AC22" s="695"/>
      <c r="AD22" s="721">
        <f>AD14+AD2</f>
        <v>0.97665115098386412</v>
      </c>
      <c r="AE22" s="721"/>
      <c r="AG22" s="661"/>
      <c r="AH22" s="662"/>
      <c r="AI22" s="662"/>
      <c r="AJ22" s="662"/>
    </row>
    <row r="23" spans="1:36" ht="30.9" customHeight="1" thickTop="1" thickBot="1">
      <c r="A23" s="176">
        <v>46013</v>
      </c>
      <c r="B23" s="177" t="s">
        <v>488</v>
      </c>
      <c r="C23" s="183">
        <v>297581</v>
      </c>
      <c r="D23" s="183">
        <v>508405</v>
      </c>
      <c r="E23" s="183">
        <f t="shared" si="0"/>
        <v>-210824</v>
      </c>
      <c r="F23" s="183">
        <v>-11</v>
      </c>
      <c r="G23" s="183">
        <v>0</v>
      </c>
      <c r="H23" s="221">
        <f t="shared" si="2"/>
        <v>490790</v>
      </c>
      <c r="I23" s="710"/>
      <c r="J23" s="339">
        <f t="shared" si="1"/>
        <v>504158</v>
      </c>
      <c r="K23" s="339"/>
      <c r="L23" s="339"/>
      <c r="M23" s="339">
        <v>4247</v>
      </c>
      <c r="N23" s="339"/>
      <c r="O23" s="339"/>
      <c r="P23" s="675"/>
      <c r="Q23" s="335">
        <v>21710</v>
      </c>
      <c r="R23" s="353">
        <v>50000</v>
      </c>
      <c r="S23" s="298">
        <v>18800</v>
      </c>
      <c r="T23" s="353">
        <v>40000</v>
      </c>
      <c r="U23" s="298">
        <v>22991</v>
      </c>
      <c r="V23" s="692">
        <f>SUM(Q23:U23)</f>
        <v>153501</v>
      </c>
      <c r="W23" s="742"/>
      <c r="X23" s="693"/>
      <c r="Y23" s="733"/>
      <c r="Z23" s="696"/>
      <c r="AA23" s="697"/>
      <c r="AB23" s="697"/>
      <c r="AC23" s="697"/>
      <c r="AD23" s="722"/>
      <c r="AE23" s="722"/>
      <c r="AG23" s="647" t="s">
        <v>665</v>
      </c>
      <c r="AH23" s="647"/>
      <c r="AI23" s="647"/>
      <c r="AJ23" s="647"/>
    </row>
    <row r="24" spans="1:36" ht="30.9" customHeight="1" thickTop="1" thickBot="1">
      <c r="A24" s="176">
        <v>46014</v>
      </c>
      <c r="B24" s="177" t="s">
        <v>489</v>
      </c>
      <c r="C24" s="183">
        <v>373223</v>
      </c>
      <c r="D24" s="183">
        <v>313790</v>
      </c>
      <c r="E24" s="183">
        <f t="shared" si="0"/>
        <v>59433</v>
      </c>
      <c r="F24" s="183">
        <v>-544</v>
      </c>
      <c r="G24" s="183">
        <v>0</v>
      </c>
      <c r="H24" s="184">
        <f t="shared" si="2"/>
        <v>549679</v>
      </c>
      <c r="I24" s="710"/>
      <c r="J24" s="339">
        <f t="shared" si="1"/>
        <v>306270</v>
      </c>
      <c r="K24" s="339">
        <v>7000</v>
      </c>
      <c r="L24" s="339"/>
      <c r="M24" s="339"/>
      <c r="N24" s="339">
        <f>320+200</f>
        <v>520</v>
      </c>
      <c r="O24" s="339"/>
      <c r="P24" s="675"/>
      <c r="Y24" s="733"/>
      <c r="Z24" s="711" t="s">
        <v>735</v>
      </c>
      <c r="AA24" s="711"/>
      <c r="AB24" s="711"/>
      <c r="AC24" s="711"/>
      <c r="AD24" s="711"/>
      <c r="AE24" s="711"/>
      <c r="AG24" s="656" t="s">
        <v>666</v>
      </c>
      <c r="AH24" s="658"/>
      <c r="AI24" s="657"/>
      <c r="AJ24" s="232"/>
    </row>
    <row r="25" spans="1:36" ht="30.9" customHeight="1" thickTop="1" thickBot="1">
      <c r="A25" s="176">
        <v>46015</v>
      </c>
      <c r="B25" s="177" t="s">
        <v>490</v>
      </c>
      <c r="C25" s="183">
        <v>342649</v>
      </c>
      <c r="D25" s="350">
        <v>959054</v>
      </c>
      <c r="E25" s="183">
        <f t="shared" si="0"/>
        <v>-616405</v>
      </c>
      <c r="F25" s="183">
        <v>0</v>
      </c>
      <c r="G25" s="183">
        <v>0</v>
      </c>
      <c r="H25" s="184">
        <f t="shared" si="2"/>
        <v>-66726</v>
      </c>
      <c r="I25" s="710"/>
      <c r="J25" s="339">
        <f t="shared" si="1"/>
        <v>959054</v>
      </c>
      <c r="K25" s="339"/>
      <c r="L25" s="339"/>
      <c r="M25" s="339"/>
      <c r="N25" s="339"/>
      <c r="O25" s="339"/>
      <c r="P25" s="675"/>
      <c r="Q25" s="689" t="s">
        <v>672</v>
      </c>
      <c r="R25" s="664"/>
      <c r="S25" s="664"/>
      <c r="T25" s="664"/>
      <c r="U25" s="664"/>
      <c r="V25" s="664"/>
      <c r="W25" s="285"/>
      <c r="X25" s="285"/>
      <c r="Y25" s="733"/>
      <c r="Z25" s="300"/>
      <c r="AA25" s="712" t="s">
        <v>739</v>
      </c>
      <c r="AB25" s="712"/>
      <c r="AC25" s="301" t="s">
        <v>738</v>
      </c>
      <c r="AD25" s="712" t="s">
        <v>740</v>
      </c>
      <c r="AE25" s="712"/>
      <c r="AG25" s="268"/>
      <c r="AH25" s="656"/>
      <c r="AI25" s="657"/>
      <c r="AJ25" s="232"/>
    </row>
    <row r="26" spans="1:36" ht="30.9" customHeight="1" thickTop="1" thickBot="1">
      <c r="A26" s="176">
        <v>46016</v>
      </c>
      <c r="B26" s="177" t="s">
        <v>491</v>
      </c>
      <c r="C26" s="350">
        <v>797534</v>
      </c>
      <c r="D26" s="350">
        <v>323850</v>
      </c>
      <c r="E26" s="183">
        <f t="shared" si="0"/>
        <v>473684</v>
      </c>
      <c r="F26" s="183">
        <v>0</v>
      </c>
      <c r="G26" s="183">
        <v>0</v>
      </c>
      <c r="H26" s="184">
        <f t="shared" si="2"/>
        <v>406958</v>
      </c>
      <c r="I26" s="710"/>
      <c r="J26" s="339">
        <f t="shared" si="1"/>
        <v>214879</v>
      </c>
      <c r="K26" s="339">
        <v>5000</v>
      </c>
      <c r="L26" s="339">
        <v>13060</v>
      </c>
      <c r="M26" s="339"/>
      <c r="N26" s="339">
        <f>320+200+150</f>
        <v>670</v>
      </c>
      <c r="O26" s="339">
        <f>6080+84161</f>
        <v>90241</v>
      </c>
      <c r="P26" s="675"/>
      <c r="Q26" s="337"/>
      <c r="R26" s="665" t="s">
        <v>791</v>
      </c>
      <c r="S26" s="665"/>
      <c r="T26" s="665"/>
      <c r="U26" s="665"/>
      <c r="V26" s="665"/>
      <c r="W26" s="286"/>
      <c r="X26" s="286"/>
      <c r="Y26" s="733"/>
      <c r="Z26" s="302" t="s">
        <v>736</v>
      </c>
      <c r="AA26" s="303">
        <v>15264794</v>
      </c>
      <c r="AB26" s="305">
        <f>(AC26/AA26)-100%</f>
        <v>0.13757159120522688</v>
      </c>
      <c r="AC26" s="304">
        <f>C34</f>
        <v>17364796</v>
      </c>
      <c r="AD26" s="303">
        <v>21151544</v>
      </c>
      <c r="AE26" s="305">
        <f>AC26/AD26-100%</f>
        <v>-0.17902938906020294</v>
      </c>
      <c r="AG26" s="268"/>
      <c r="AH26" s="656"/>
      <c r="AI26" s="657"/>
      <c r="AJ26" s="232"/>
    </row>
    <row r="27" spans="1:36" ht="30.9" customHeight="1" thickTop="1" thickBot="1">
      <c r="A27" s="176">
        <v>46017</v>
      </c>
      <c r="B27" s="178" t="s">
        <v>485</v>
      </c>
      <c r="C27" s="350">
        <v>1129820</v>
      </c>
      <c r="D27" s="350">
        <v>870834</v>
      </c>
      <c r="E27" s="183">
        <f t="shared" si="0"/>
        <v>258986</v>
      </c>
      <c r="F27" s="183">
        <v>-544</v>
      </c>
      <c r="G27" s="183">
        <v>0</v>
      </c>
      <c r="H27" s="184">
        <f t="shared" si="2"/>
        <v>665400</v>
      </c>
      <c r="I27" s="710"/>
      <c r="J27" s="339">
        <f t="shared" si="1"/>
        <v>863834</v>
      </c>
      <c r="K27" s="339">
        <v>7000</v>
      </c>
      <c r="L27" s="339"/>
      <c r="M27" s="339"/>
      <c r="N27" s="339"/>
      <c r="O27" s="339"/>
      <c r="P27" s="675"/>
      <c r="Q27" s="282"/>
      <c r="R27" s="665"/>
      <c r="S27" s="665"/>
      <c r="T27" s="665"/>
      <c r="U27" s="665"/>
      <c r="V27" s="665"/>
      <c r="W27" s="286"/>
      <c r="X27" s="286"/>
      <c r="Y27" s="733"/>
      <c r="Z27" s="302" t="s">
        <v>510</v>
      </c>
      <c r="AA27" s="303">
        <v>14601681</v>
      </c>
      <c r="AB27" s="305">
        <f>(AC27/AA27)-100%</f>
        <v>0.14583204495427626</v>
      </c>
      <c r="AC27" s="304">
        <f>U8</f>
        <v>16731074</v>
      </c>
      <c r="AD27" s="303">
        <v>20145104</v>
      </c>
      <c r="AE27" s="305">
        <f>AC27/AD27-100%</f>
        <v>-0.16947194712918834</v>
      </c>
      <c r="AG27" s="268"/>
      <c r="AH27" s="656"/>
      <c r="AI27" s="657"/>
      <c r="AJ27" s="232"/>
    </row>
    <row r="28" spans="1:36" ht="30.9" customHeight="1" thickTop="1" thickBot="1">
      <c r="A28" s="176">
        <v>46018</v>
      </c>
      <c r="B28" s="178" t="s">
        <v>486</v>
      </c>
      <c r="C28" s="350">
        <v>1231334</v>
      </c>
      <c r="D28" s="350">
        <v>897663</v>
      </c>
      <c r="E28" s="183">
        <f t="shared" si="0"/>
        <v>333671</v>
      </c>
      <c r="F28" s="183">
        <v>-874</v>
      </c>
      <c r="G28" s="183">
        <v>0</v>
      </c>
      <c r="H28" s="184">
        <f t="shared" si="2"/>
        <v>998197</v>
      </c>
      <c r="I28" s="710"/>
      <c r="J28" s="339">
        <f t="shared" si="1"/>
        <v>891498</v>
      </c>
      <c r="K28" s="339"/>
      <c r="L28" s="339"/>
      <c r="M28" s="339">
        <v>6165</v>
      </c>
      <c r="N28" s="339"/>
      <c r="O28" s="339"/>
      <c r="P28" s="675"/>
      <c r="Q28" s="282"/>
      <c r="R28" s="665" t="s">
        <v>784</v>
      </c>
      <c r="S28" s="665"/>
      <c r="T28" s="665"/>
      <c r="U28" s="665"/>
      <c r="V28" s="665"/>
      <c r="W28" s="286"/>
      <c r="X28" s="286"/>
      <c r="Y28" s="733"/>
      <c r="Z28" s="302" t="s">
        <v>737</v>
      </c>
      <c r="AA28" s="303">
        <v>604200</v>
      </c>
      <c r="AB28" s="305">
        <f>(AC28/AA28)-100%</f>
        <v>4.8861304203905886E-2</v>
      </c>
      <c r="AC28" s="304">
        <f>AC26-AC27</f>
        <v>633722</v>
      </c>
      <c r="AD28" s="303">
        <v>973900</v>
      </c>
      <c r="AE28" s="305">
        <f t="shared" ref="AE28:AE31" si="8">AC28/AD28-100%</f>
        <v>-0.34929458876681385</v>
      </c>
      <c r="AG28" s="268"/>
      <c r="AH28" s="656"/>
      <c r="AI28" s="657"/>
      <c r="AJ28" s="232"/>
    </row>
    <row r="29" spans="1:36" ht="30.9" customHeight="1" thickTop="1" thickBot="1">
      <c r="A29" s="176">
        <v>46019</v>
      </c>
      <c r="B29" s="178" t="s">
        <v>487</v>
      </c>
      <c r="C29" s="350">
        <v>626773</v>
      </c>
      <c r="D29" s="350">
        <v>448370</v>
      </c>
      <c r="E29" s="183">
        <f t="shared" si="0"/>
        <v>178403</v>
      </c>
      <c r="F29" s="183">
        <v>0</v>
      </c>
      <c r="G29" s="183">
        <v>0</v>
      </c>
      <c r="H29" s="184">
        <f t="shared" si="2"/>
        <v>1176600</v>
      </c>
      <c r="I29" s="710"/>
      <c r="J29" s="339">
        <f t="shared" si="1"/>
        <v>436518</v>
      </c>
      <c r="K29" s="339"/>
      <c r="L29" s="339">
        <v>11852</v>
      </c>
      <c r="M29" s="339"/>
      <c r="N29" s="339"/>
      <c r="O29" s="339"/>
      <c r="P29" s="675"/>
      <c r="Q29" s="282"/>
      <c r="R29" s="665" t="s">
        <v>785</v>
      </c>
      <c r="S29" s="665"/>
      <c r="T29" s="665"/>
      <c r="U29" s="665"/>
      <c r="V29" s="665"/>
      <c r="W29" s="286"/>
      <c r="X29" s="286"/>
      <c r="Y29" s="733"/>
      <c r="Z29" s="302" t="s">
        <v>757</v>
      </c>
      <c r="AA29" s="341">
        <v>3741</v>
      </c>
      <c r="AB29" s="305">
        <f t="shared" ref="AB29:AB31" si="9">(AC29/AA29)-100%</f>
        <v>8.3400160384923927E-2</v>
      </c>
      <c r="AC29" s="342">
        <v>4053</v>
      </c>
      <c r="AD29" s="341">
        <v>4191</v>
      </c>
      <c r="AE29" s="305">
        <f t="shared" si="8"/>
        <v>-3.2927702219040844E-2</v>
      </c>
      <c r="AG29" s="658" t="s">
        <v>667</v>
      </c>
      <c r="AH29" s="658"/>
      <c r="AI29" s="657"/>
      <c r="AJ29" s="232"/>
    </row>
    <row r="30" spans="1:36" ht="30.9" customHeight="1" thickTop="1" thickBot="1">
      <c r="A30" s="176">
        <v>46020</v>
      </c>
      <c r="B30" s="177" t="s">
        <v>488</v>
      </c>
      <c r="C30" s="350">
        <v>915289</v>
      </c>
      <c r="D30" s="350">
        <v>1173673</v>
      </c>
      <c r="E30" s="183">
        <f>C30-D30</f>
        <v>-258384</v>
      </c>
      <c r="F30" s="183">
        <v>-54</v>
      </c>
      <c r="G30" s="183">
        <v>0</v>
      </c>
      <c r="H30" s="184">
        <f t="shared" si="2"/>
        <v>918162</v>
      </c>
      <c r="I30" s="710"/>
      <c r="J30" s="339">
        <f t="shared" si="1"/>
        <v>1157703</v>
      </c>
      <c r="K30" s="339"/>
      <c r="L30" s="339"/>
      <c r="M30" s="339"/>
      <c r="N30" s="339">
        <f>12800+800+200+2170</f>
        <v>15970</v>
      </c>
      <c r="O30" s="339"/>
      <c r="P30" s="675"/>
      <c r="Q30" s="282"/>
      <c r="R30" s="739" t="s">
        <v>787</v>
      </c>
      <c r="S30" s="740"/>
      <c r="T30" s="740"/>
      <c r="U30" s="740"/>
      <c r="V30" s="740"/>
      <c r="W30" s="349"/>
      <c r="X30" s="286"/>
      <c r="Y30" s="733"/>
      <c r="Z30" s="302" t="s">
        <v>758</v>
      </c>
      <c r="AA30" s="303">
        <v>4080.4047046244318</v>
      </c>
      <c r="AB30" s="305">
        <f t="shared" si="9"/>
        <v>5.000131327381041E-2</v>
      </c>
      <c r="AC30" s="304">
        <f>AC26/AC29</f>
        <v>4284.4302985442882</v>
      </c>
      <c r="AD30" s="303">
        <v>5046.8966833691247</v>
      </c>
      <c r="AE30" s="305">
        <f t="shared" si="8"/>
        <v>-0.15107628165588716</v>
      </c>
      <c r="AG30" s="268"/>
      <c r="AH30" s="656"/>
      <c r="AI30" s="657"/>
      <c r="AJ30" s="232"/>
    </row>
    <row r="31" spans="1:36" ht="30.9" customHeight="1" thickTop="1" thickBot="1">
      <c r="A31" s="176">
        <v>46021</v>
      </c>
      <c r="B31" s="177" t="s">
        <v>489</v>
      </c>
      <c r="C31" s="350">
        <v>990445</v>
      </c>
      <c r="D31" s="350">
        <v>402913</v>
      </c>
      <c r="E31" s="183">
        <f t="shared" ref="E31:E32" si="10">C31-D31</f>
        <v>587532</v>
      </c>
      <c r="F31" s="183">
        <v>-441</v>
      </c>
      <c r="G31" s="183">
        <v>0</v>
      </c>
      <c r="H31" s="184">
        <f>H30+E31+F31</f>
        <v>1505253</v>
      </c>
      <c r="I31" s="710"/>
      <c r="J31" s="339">
        <f t="shared" si="1"/>
        <v>385115</v>
      </c>
      <c r="K31" s="339">
        <v>11998</v>
      </c>
      <c r="L31" s="339"/>
      <c r="M31" s="339"/>
      <c r="N31" s="339">
        <v>5800</v>
      </c>
      <c r="O31" s="339"/>
      <c r="P31" s="675"/>
      <c r="Q31" s="282"/>
      <c r="R31" s="665"/>
      <c r="S31" s="665"/>
      <c r="T31" s="665"/>
      <c r="U31" s="665"/>
      <c r="V31" s="665"/>
      <c r="W31" s="286"/>
      <c r="X31" s="286"/>
      <c r="Y31" s="733"/>
      <c r="Z31" s="302" t="s">
        <v>756</v>
      </c>
      <c r="AA31" s="303">
        <v>508826.46666666667</v>
      </c>
      <c r="AB31" s="305">
        <f t="shared" si="9"/>
        <v>0.10087573342441325</v>
      </c>
      <c r="AC31" s="304">
        <f>AC26/31</f>
        <v>560154.70967741939</v>
      </c>
      <c r="AD31" s="303">
        <v>682307.87096774194</v>
      </c>
      <c r="AE31" s="305">
        <f t="shared" si="8"/>
        <v>-0.17902938906020283</v>
      </c>
      <c r="AG31" s="269"/>
      <c r="AH31" s="659"/>
      <c r="AI31" s="660"/>
      <c r="AJ31" s="232"/>
    </row>
    <row r="32" spans="1:36" ht="30.9" customHeight="1" thickTop="1" thickBot="1">
      <c r="A32" s="176">
        <v>46022</v>
      </c>
      <c r="B32" s="177" t="s">
        <v>490</v>
      </c>
      <c r="C32" s="350">
        <v>827577</v>
      </c>
      <c r="D32" s="350">
        <f>1369331-1000000</f>
        <v>369331</v>
      </c>
      <c r="E32" s="183">
        <f t="shared" si="10"/>
        <v>458246</v>
      </c>
      <c r="F32" s="183">
        <v>0</v>
      </c>
      <c r="G32" s="183">
        <v>0</v>
      </c>
      <c r="H32" s="184">
        <f t="shared" si="2"/>
        <v>1963499</v>
      </c>
      <c r="I32" s="710"/>
      <c r="J32" s="339">
        <f t="shared" si="1"/>
        <v>369331</v>
      </c>
      <c r="K32" s="339"/>
      <c r="L32" s="339"/>
      <c r="M32" s="339"/>
      <c r="N32" s="339"/>
      <c r="O32" s="339"/>
      <c r="P32" s="675"/>
      <c r="Q32" s="348" t="s">
        <v>778</v>
      </c>
      <c r="R32" s="665"/>
      <c r="S32" s="665"/>
      <c r="T32" s="665"/>
      <c r="U32" s="665"/>
      <c r="V32" s="665"/>
      <c r="W32" s="286"/>
      <c r="X32" s="286"/>
      <c r="Y32" s="733"/>
      <c r="AG32" s="269"/>
      <c r="AH32" s="659"/>
      <c r="AI32" s="660"/>
      <c r="AJ32" s="232"/>
    </row>
    <row r="33" spans="1:38" ht="30.9" customHeight="1" thickTop="1">
      <c r="A33" s="264"/>
      <c r="B33" s="265"/>
      <c r="C33" s="183"/>
      <c r="D33" s="293">
        <v>100000</v>
      </c>
      <c r="E33" s="293">
        <f t="shared" si="0"/>
        <v>-100000</v>
      </c>
      <c r="F33" s="183"/>
      <c r="G33" s="183">
        <v>0</v>
      </c>
      <c r="H33" s="184">
        <f t="shared" si="2"/>
        <v>1863499</v>
      </c>
      <c r="I33" s="710"/>
      <c r="J33" s="339">
        <f t="shared" si="1"/>
        <v>100000</v>
      </c>
      <c r="K33" s="339"/>
      <c r="L33" s="339"/>
      <c r="M33" s="339"/>
      <c r="N33" s="339"/>
      <c r="O33" s="339"/>
      <c r="P33" s="675"/>
      <c r="Q33" s="348" t="s">
        <v>775</v>
      </c>
      <c r="R33" s="665" t="s">
        <v>776</v>
      </c>
      <c r="S33" s="665"/>
      <c r="T33" s="665"/>
      <c r="U33" s="665"/>
      <c r="V33" s="665"/>
      <c r="W33" s="286"/>
      <c r="X33" s="286"/>
      <c r="Y33" s="733"/>
      <c r="AH33" s="81"/>
      <c r="AI33" s="81"/>
    </row>
    <row r="34" spans="1:38" ht="45" customHeight="1">
      <c r="A34" s="672" t="s">
        <v>247</v>
      </c>
      <c r="B34" s="673"/>
      <c r="C34" s="292">
        <f>SUM(C2:C33)</f>
        <v>17364796</v>
      </c>
      <c r="D34" s="292">
        <f>SUM(D2:D33)</f>
        <v>15495983</v>
      </c>
      <c r="E34" s="292">
        <f>SUM(E2:E33)</f>
        <v>1868813</v>
      </c>
      <c r="F34" s="292">
        <f>SUM(F2:F33)</f>
        <v>-5314</v>
      </c>
      <c r="G34" s="292">
        <f>SUM(G2:G33)</f>
        <v>0</v>
      </c>
      <c r="H34" s="292">
        <f>C34-D34+G34</f>
        <v>1868813</v>
      </c>
      <c r="I34" s="710"/>
      <c r="J34" s="340">
        <f>SUM(J2:J33)</f>
        <v>15194446</v>
      </c>
      <c r="K34" s="340">
        <f t="shared" ref="K34:O34" si="11">SUM(K2:K33)</f>
        <v>82375</v>
      </c>
      <c r="L34" s="340">
        <f t="shared" si="11"/>
        <v>51548</v>
      </c>
      <c r="M34" s="340">
        <f t="shared" si="11"/>
        <v>10412</v>
      </c>
      <c r="N34" s="340">
        <f t="shared" si="11"/>
        <v>49733</v>
      </c>
      <c r="O34" s="340">
        <f t="shared" si="11"/>
        <v>107469</v>
      </c>
      <c r="P34" s="675"/>
      <c r="Y34" s="733"/>
      <c r="AG34" s="674"/>
      <c r="AH34" s="674"/>
      <c r="AI34" s="674"/>
      <c r="AJ34" s="674"/>
      <c r="AK34" s="674"/>
      <c r="AL34" s="674"/>
    </row>
    <row r="35" spans="1:38">
      <c r="A35" s="69"/>
    </row>
    <row r="36" spans="1:38">
      <c r="A36" s="69"/>
    </row>
    <row r="37" spans="1:38">
      <c r="A37" s="69"/>
    </row>
    <row r="38" spans="1:38">
      <c r="A38" s="69"/>
    </row>
    <row r="39" spans="1:38">
      <c r="A39" s="69"/>
    </row>
    <row r="40" spans="1:38" ht="21" customHeight="1">
      <c r="A40" s="69"/>
    </row>
    <row r="41" spans="1:38" ht="23.1" customHeight="1">
      <c r="A41" s="69"/>
    </row>
    <row r="42" spans="1:38">
      <c r="A42" s="69"/>
    </row>
    <row r="43" spans="1:38" ht="29.1" customHeight="1">
      <c r="A43" s="69"/>
    </row>
    <row r="44" spans="1:38" ht="15" customHeight="1">
      <c r="A44" s="69"/>
    </row>
    <row r="45" spans="1:38">
      <c r="A45" s="69"/>
    </row>
    <row r="46" spans="1:38">
      <c r="A46" s="69"/>
    </row>
    <row r="47" spans="1:38">
      <c r="A47" s="69"/>
    </row>
    <row r="48" spans="1:38">
      <c r="A48" s="69"/>
    </row>
    <row r="49" spans="1:1">
      <c r="A49" s="69"/>
    </row>
    <row r="50" spans="1:1">
      <c r="A50" s="69"/>
    </row>
    <row r="51" spans="1:1" ht="18.899999999999999" customHeight="1">
      <c r="A51" s="69"/>
    </row>
  </sheetData>
  <mergeCells count="75">
    <mergeCell ref="A1:B1"/>
    <mergeCell ref="I1:I34"/>
    <mergeCell ref="P1:P34"/>
    <mergeCell ref="Q1:X1"/>
    <mergeCell ref="Y1:Y34"/>
    <mergeCell ref="Q4:R5"/>
    <mergeCell ref="R9:X9"/>
    <mergeCell ref="Q10:X10"/>
    <mergeCell ref="Q11:X11"/>
    <mergeCell ref="U8:X8"/>
    <mergeCell ref="Q3:R3"/>
    <mergeCell ref="V3:X3"/>
    <mergeCell ref="U7:X7"/>
    <mergeCell ref="V18:X18"/>
    <mergeCell ref="Q16:S16"/>
    <mergeCell ref="T16:X16"/>
    <mergeCell ref="Z3:AB3"/>
    <mergeCell ref="AC3:AE3"/>
    <mergeCell ref="Z1:AE1"/>
    <mergeCell ref="AG5:AJ5"/>
    <mergeCell ref="Q6:X6"/>
    <mergeCell ref="AG6:AH6"/>
    <mergeCell ref="AI6:AJ6"/>
    <mergeCell ref="AG1:AJ1"/>
    <mergeCell ref="Q2:X2"/>
    <mergeCell ref="Z2:AB2"/>
    <mergeCell ref="AD2:AE2"/>
    <mergeCell ref="AG2:AJ2"/>
    <mergeCell ref="Z15:AB15"/>
    <mergeCell ref="AC15:AE15"/>
    <mergeCell ref="AG15:AG16"/>
    <mergeCell ref="AH15:AI15"/>
    <mergeCell ref="AH16:AI16"/>
    <mergeCell ref="AG11:AJ11"/>
    <mergeCell ref="AG12:AI12"/>
    <mergeCell ref="AG13:AH14"/>
    <mergeCell ref="Z14:AB14"/>
    <mergeCell ref="AD14:AE14"/>
    <mergeCell ref="Q17:V17"/>
    <mergeCell ref="AH17:AI17"/>
    <mergeCell ref="V22:X22"/>
    <mergeCell ref="Z22:AC23"/>
    <mergeCell ref="AD22:AE23"/>
    <mergeCell ref="AG22:AJ22"/>
    <mergeCell ref="V23:X23"/>
    <mergeCell ref="V19:X19"/>
    <mergeCell ref="AG19:AI19"/>
    <mergeCell ref="AG20:AI20"/>
    <mergeCell ref="Q21:X21"/>
    <mergeCell ref="AG21:AI21"/>
    <mergeCell ref="AG23:AJ23"/>
    <mergeCell ref="AG18:AI18"/>
    <mergeCell ref="Z24:AE24"/>
    <mergeCell ref="AG24:AI24"/>
    <mergeCell ref="Q25:V25"/>
    <mergeCell ref="AA25:AB25"/>
    <mergeCell ref="AD25:AE25"/>
    <mergeCell ref="AH25:AI25"/>
    <mergeCell ref="R26:V26"/>
    <mergeCell ref="AH26:AI26"/>
    <mergeCell ref="R27:V27"/>
    <mergeCell ref="AH27:AI27"/>
    <mergeCell ref="R28:V28"/>
    <mergeCell ref="AH28:AI28"/>
    <mergeCell ref="R29:V29"/>
    <mergeCell ref="AG29:AI29"/>
    <mergeCell ref="R30:V30"/>
    <mergeCell ref="AH30:AI30"/>
    <mergeCell ref="R31:V31"/>
    <mergeCell ref="AH31:AI31"/>
    <mergeCell ref="R32:V32"/>
    <mergeCell ref="AH32:AI32"/>
    <mergeCell ref="R33:V33"/>
    <mergeCell ref="A34:B34"/>
    <mergeCell ref="AG34:AL34"/>
  </mergeCells>
  <conditionalFormatting sqref="K2:O32">
    <cfRule type="cellIs" dxfId="63" priority="1" operator="greaterThan">
      <formula>0</formula>
    </cfRule>
    <cfRule type="cellIs" dxfId="62" priority="2" operator="equal">
      <formula>0</formula>
    </cfRule>
    <cfRule type="cellIs" dxfId="61" priority="3" operator="equal">
      <formula>"¥11.055"</formula>
    </cfRule>
    <cfRule type="cellIs" dxfId="60" priority="4" operator="equal">
      <formula>0</formula>
    </cfRule>
  </conditionalFormatting>
  <conditionalFormatting sqref="N33">
    <cfRule type="cellIs" dxfId="59" priority="6" operator="greaterThan">
      <formula>0</formula>
    </cfRule>
    <cfRule type="cellIs" dxfId="58" priority="7" operator="equal">
      <formula>0</formula>
    </cfRule>
    <cfRule type="cellIs" dxfId="57" priority="8" operator="equal">
      <formula>"¥11.055"</formula>
    </cfRule>
    <cfRule type="cellIs" dxfId="56" priority="9" operator="equal">
      <formula>0</formula>
    </cfRule>
  </conditionalFormatting>
  <conditionalFormatting sqref="AJ12:AJ18">
    <cfRule type="cellIs" dxfId="55" priority="5" operator="greaterThan">
      <formula>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8318-B9F8-4D12-B8B9-005D94339469}">
  <dimension ref="A1:AK51"/>
  <sheetViews>
    <sheetView zoomScaleNormal="100" workbookViewId="0">
      <pane ySplit="1" topLeftCell="A2" activePane="bottomLeft" state="frozen"/>
      <selection pane="bottomLeft" activeCell="G13" sqref="G13"/>
    </sheetView>
  </sheetViews>
  <sheetFormatPr defaultColWidth="10.6328125" defaultRowHeight="18"/>
  <cols>
    <col min="1" max="1" width="5.90625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5.81640625" style="69" customWidth="1"/>
    <col min="7" max="7" width="14.81640625" style="69" customWidth="1"/>
    <col min="8" max="8" width="4.1796875" style="69" customWidth="1"/>
    <col min="9" max="14" width="11.90625" style="69" customWidth="1"/>
    <col min="15" max="15" width="3" style="69" customWidth="1"/>
    <col min="16" max="23" width="8.26953125" style="69" customWidth="1"/>
    <col min="24" max="24" width="4.54296875" style="69" customWidth="1"/>
    <col min="25" max="25" width="13.1796875" style="69" customWidth="1"/>
    <col min="26" max="26" width="13.1796875" style="296" customWidth="1"/>
    <col min="27" max="27" width="5.81640625" style="297" customWidth="1"/>
    <col min="28" max="28" width="13.1796875" style="69" customWidth="1"/>
    <col min="29" max="29" width="13.81640625" style="296" customWidth="1"/>
    <col min="30" max="30" width="4.90625" style="297" customWidth="1"/>
    <col min="31" max="31" width="10.81640625" style="296" customWidth="1"/>
    <col min="32" max="33" width="7" style="69" customWidth="1"/>
    <col min="34" max="34" width="11.453125" style="69" customWidth="1"/>
    <col min="35" max="35" width="21" style="69" customWidth="1"/>
    <col min="36" max="16384" width="10.6328125" style="69"/>
  </cols>
  <sheetData>
    <row r="1" spans="1:35" ht="38.25" customHeight="1" thickTop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220" t="s">
        <v>464</v>
      </c>
      <c r="H1" s="710"/>
      <c r="I1" s="338" t="s">
        <v>705</v>
      </c>
      <c r="J1" s="338" t="s">
        <v>741</v>
      </c>
      <c r="K1" s="338" t="s">
        <v>707</v>
      </c>
      <c r="L1" s="338" t="s">
        <v>708</v>
      </c>
      <c r="M1" s="338" t="s">
        <v>710</v>
      </c>
      <c r="N1" s="338" t="s">
        <v>742</v>
      </c>
      <c r="O1" s="675"/>
      <c r="P1" s="723" t="s">
        <v>796</v>
      </c>
      <c r="Q1" s="723"/>
      <c r="R1" s="723"/>
      <c r="S1" s="723"/>
      <c r="T1" s="723"/>
      <c r="U1" s="723"/>
      <c r="V1" s="723"/>
      <c r="W1" s="723"/>
      <c r="X1" s="733"/>
      <c r="Y1" s="676" t="s">
        <v>718</v>
      </c>
      <c r="Z1" s="677"/>
      <c r="AA1" s="677"/>
      <c r="AB1" s="677"/>
      <c r="AC1" s="677"/>
      <c r="AD1" s="678"/>
      <c r="AE1" s="281"/>
      <c r="AF1" s="631" t="s">
        <v>642</v>
      </c>
      <c r="AG1" s="632"/>
      <c r="AH1" s="632"/>
      <c r="AI1" s="632"/>
    </row>
    <row r="2" spans="1:35" ht="30.9" customHeight="1" thickTop="1" thickBot="1">
      <c r="A2" s="176">
        <v>46023</v>
      </c>
      <c r="B2" s="177" t="s">
        <v>491</v>
      </c>
      <c r="C2" s="183">
        <v>568760</v>
      </c>
      <c r="D2" s="183">
        <f>1000000+140397</f>
        <v>1140397</v>
      </c>
      <c r="E2" s="183">
        <f>C2-D2</f>
        <v>-571637</v>
      </c>
      <c r="F2" s="183">
        <v>0</v>
      </c>
      <c r="G2" s="221">
        <f>E2+F2</f>
        <v>-571637</v>
      </c>
      <c r="H2" s="710"/>
      <c r="I2" s="339">
        <f t="shared" ref="I2:I33" si="0">D2-SUM(J2:N2)</f>
        <v>1140397</v>
      </c>
      <c r="J2" s="339"/>
      <c r="K2" s="339"/>
      <c r="L2" s="339"/>
      <c r="M2" s="339"/>
      <c r="N2" s="339"/>
      <c r="O2" s="675"/>
      <c r="P2" s="709" t="s">
        <v>249</v>
      </c>
      <c r="Q2" s="709"/>
      <c r="R2" s="709"/>
      <c r="S2" s="709"/>
      <c r="T2" s="709"/>
      <c r="U2" s="709"/>
      <c r="V2" s="709"/>
      <c r="W2" s="709"/>
      <c r="X2" s="733"/>
      <c r="Y2" s="734" t="s">
        <v>711</v>
      </c>
      <c r="Z2" s="725"/>
      <c r="AA2" s="726"/>
      <c r="AB2" s="346">
        <f>AC13+Z13</f>
        <v>15427370</v>
      </c>
      <c r="AC2" s="681">
        <f>AA13+AD13</f>
        <v>0.94069874185246805</v>
      </c>
      <c r="AD2" s="682"/>
      <c r="AE2" s="81"/>
      <c r="AF2" s="627" t="s">
        <v>638</v>
      </c>
      <c r="AG2" s="628"/>
      <c r="AH2" s="628"/>
      <c r="AI2" s="628"/>
    </row>
    <row r="3" spans="1:35" ht="30.9" customHeight="1" thickTop="1" thickBot="1">
      <c r="A3" s="176">
        <v>46024</v>
      </c>
      <c r="B3" s="178" t="s">
        <v>485</v>
      </c>
      <c r="C3" s="183">
        <v>576137</v>
      </c>
      <c r="D3" s="183">
        <v>341660</v>
      </c>
      <c r="E3" s="183">
        <f t="shared" ref="E3:E33" si="1">C3-D3</f>
        <v>234477</v>
      </c>
      <c r="F3" s="183">
        <v>0</v>
      </c>
      <c r="G3" s="221">
        <f t="shared" ref="G3:G33" si="2">G2+E3+F3</f>
        <v>-337160</v>
      </c>
      <c r="H3" s="710"/>
      <c r="I3" s="339">
        <f t="shared" si="0"/>
        <v>341660</v>
      </c>
      <c r="J3" s="339"/>
      <c r="K3" s="339"/>
      <c r="L3" s="339"/>
      <c r="M3" s="339"/>
      <c r="N3" s="339"/>
      <c r="O3" s="675"/>
      <c r="P3" s="725" t="s">
        <v>769</v>
      </c>
      <c r="Q3" s="726"/>
      <c r="R3" s="222" t="s">
        <v>251</v>
      </c>
      <c r="S3" s="222" t="s">
        <v>252</v>
      </c>
      <c r="T3" s="222" t="s">
        <v>449</v>
      </c>
      <c r="U3" s="659" t="s">
        <v>773</v>
      </c>
      <c r="V3" s="724"/>
      <c r="W3" s="724"/>
      <c r="X3" s="733"/>
      <c r="Y3" s="713" t="s">
        <v>713</v>
      </c>
      <c r="Z3" s="714"/>
      <c r="AA3" s="714"/>
      <c r="AB3" s="715" t="s">
        <v>712</v>
      </c>
      <c r="AC3" s="715"/>
      <c r="AD3" s="716"/>
      <c r="AE3" s="81"/>
      <c r="AF3" s="246"/>
      <c r="AG3" s="247"/>
      <c r="AH3" s="247"/>
      <c r="AI3" s="247"/>
    </row>
    <row r="4" spans="1:35" ht="30.9" customHeight="1" thickTop="1" thickBot="1">
      <c r="A4" s="176">
        <v>46025</v>
      </c>
      <c r="B4" s="178" t="s">
        <v>486</v>
      </c>
      <c r="C4" s="183">
        <v>566152</v>
      </c>
      <c r="D4" s="183">
        <v>40676</v>
      </c>
      <c r="E4" s="183">
        <f t="shared" si="1"/>
        <v>525476</v>
      </c>
      <c r="F4" s="183">
        <v>0</v>
      </c>
      <c r="G4" s="221">
        <f t="shared" si="2"/>
        <v>188316</v>
      </c>
      <c r="H4" s="710"/>
      <c r="I4" s="339">
        <f t="shared" si="0"/>
        <v>40676</v>
      </c>
      <c r="J4" s="339"/>
      <c r="K4" s="339"/>
      <c r="L4" s="339"/>
      <c r="M4" s="339"/>
      <c r="N4" s="339"/>
      <c r="O4" s="675"/>
      <c r="P4" s="727">
        <f>C34</f>
        <v>16399905</v>
      </c>
      <c r="Q4" s="728"/>
      <c r="R4" s="224">
        <v>0</v>
      </c>
      <c r="S4" s="224">
        <v>0</v>
      </c>
      <c r="T4" s="224">
        <f>-F34</f>
        <v>3870</v>
      </c>
      <c r="U4" s="224">
        <v>37950</v>
      </c>
      <c r="V4" s="306"/>
      <c r="W4" s="306"/>
      <c r="X4" s="733"/>
      <c r="Y4" s="319" t="s">
        <v>714</v>
      </c>
      <c r="Z4" s="243">
        <v>192550</v>
      </c>
      <c r="AA4" s="312">
        <f>Z4/$P$4</f>
        <v>1.1740921669973089E-2</v>
      </c>
      <c r="AB4" s="328" t="s">
        <v>719</v>
      </c>
      <c r="AC4" s="243">
        <f>Q8</f>
        <v>934375</v>
      </c>
      <c r="AD4" s="313">
        <f>AC4/$P$4</f>
        <v>5.6974415400577016E-2</v>
      </c>
      <c r="AF4" s="249"/>
      <c r="AG4" s="250"/>
      <c r="AH4" s="250"/>
      <c r="AI4" s="250"/>
    </row>
    <row r="5" spans="1:35" ht="30.9" customHeight="1" thickTop="1" thickBot="1">
      <c r="A5" s="176">
        <v>46026</v>
      </c>
      <c r="B5" s="178" t="s">
        <v>487</v>
      </c>
      <c r="C5" s="183">
        <v>316710</v>
      </c>
      <c r="D5" s="183">
        <v>0</v>
      </c>
      <c r="E5" s="183">
        <f t="shared" si="1"/>
        <v>316710</v>
      </c>
      <c r="F5" s="183">
        <v>0</v>
      </c>
      <c r="G5" s="221">
        <f t="shared" si="2"/>
        <v>505026</v>
      </c>
      <c r="H5" s="710"/>
      <c r="I5" s="339">
        <f t="shared" si="0"/>
        <v>0</v>
      </c>
      <c r="J5" s="339"/>
      <c r="K5" s="339"/>
      <c r="L5" s="339"/>
      <c r="M5" s="339"/>
      <c r="N5" s="339"/>
      <c r="O5" s="675"/>
      <c r="P5" s="729"/>
      <c r="Q5" s="730"/>
      <c r="R5" s="225">
        <f>R4/P4</f>
        <v>0</v>
      </c>
      <c r="S5" s="225">
        <f>S4/P4</f>
        <v>0</v>
      </c>
      <c r="T5" s="226">
        <f>T4/P4</f>
        <v>2.3597697669590158E-4</v>
      </c>
      <c r="U5" s="226">
        <f>U4/P4</f>
        <v>2.3140377947311278E-3</v>
      </c>
      <c r="V5" s="307"/>
      <c r="W5" s="307"/>
      <c r="X5" s="733"/>
      <c r="Y5" s="319" t="s">
        <v>715</v>
      </c>
      <c r="Z5" s="243">
        <v>26055</v>
      </c>
      <c r="AA5" s="312">
        <f t="shared" ref="AA5:AA12" si="3">Z5/$P$4</f>
        <v>1.5887287151968258E-3</v>
      </c>
      <c r="AB5" s="328" t="s">
        <v>720</v>
      </c>
      <c r="AC5" s="243">
        <f>SUM(P14:W14)</f>
        <v>0</v>
      </c>
      <c r="AD5" s="313">
        <f t="shared" ref="AD5:AD12" si="4">AC5/$P$4</f>
        <v>0</v>
      </c>
      <c r="AF5" s="654" t="s">
        <v>639</v>
      </c>
      <c r="AG5" s="655"/>
      <c r="AH5" s="655"/>
      <c r="AI5" s="655"/>
    </row>
    <row r="6" spans="1:35" ht="30.9" customHeight="1" thickTop="1" thickBot="1">
      <c r="A6" s="176">
        <v>46027</v>
      </c>
      <c r="B6" s="177" t="s">
        <v>488</v>
      </c>
      <c r="C6" s="183">
        <v>299200</v>
      </c>
      <c r="D6" s="183">
        <v>687739</v>
      </c>
      <c r="E6" s="183">
        <f t="shared" si="1"/>
        <v>-388539</v>
      </c>
      <c r="F6" s="183">
        <v>-145</v>
      </c>
      <c r="G6" s="221">
        <f t="shared" si="2"/>
        <v>116342</v>
      </c>
      <c r="H6" s="710"/>
      <c r="I6" s="339">
        <f t="shared" si="0"/>
        <v>680294</v>
      </c>
      <c r="J6" s="339">
        <v>7445</v>
      </c>
      <c r="K6" s="339"/>
      <c r="L6" s="339"/>
      <c r="M6" s="339"/>
      <c r="N6" s="339"/>
      <c r="O6" s="675"/>
      <c r="P6" s="702" t="s">
        <v>250</v>
      </c>
      <c r="Q6" s="702"/>
      <c r="R6" s="702"/>
      <c r="S6" s="702"/>
      <c r="T6" s="702"/>
      <c r="U6" s="702"/>
      <c r="V6" s="702"/>
      <c r="W6" s="702"/>
      <c r="X6" s="733"/>
      <c r="Y6" s="319" t="s">
        <v>716</v>
      </c>
      <c r="Z6" s="243">
        <v>6080</v>
      </c>
      <c r="AA6" s="312">
        <f t="shared" si="3"/>
        <v>3.7073385486074463E-4</v>
      </c>
      <c r="AB6" s="328" t="s">
        <v>721</v>
      </c>
      <c r="AC6" s="243">
        <v>65089</v>
      </c>
      <c r="AD6" s="313">
        <f t="shared" si="4"/>
        <v>3.9688644537879949E-3</v>
      </c>
      <c r="AF6" s="630" t="s">
        <v>231</v>
      </c>
      <c r="AG6" s="630"/>
      <c r="AH6" s="490"/>
      <c r="AI6" s="490"/>
    </row>
    <row r="7" spans="1:35" ht="30.9" customHeight="1" thickTop="1" thickBot="1">
      <c r="A7" s="176">
        <v>46028</v>
      </c>
      <c r="B7" s="177" t="s">
        <v>489</v>
      </c>
      <c r="C7" s="183">
        <v>442373</v>
      </c>
      <c r="D7" s="183">
        <v>118584</v>
      </c>
      <c r="E7" s="183">
        <f t="shared" si="1"/>
        <v>323789</v>
      </c>
      <c r="F7" s="183">
        <v>-521</v>
      </c>
      <c r="G7" s="221">
        <f t="shared" si="2"/>
        <v>439610</v>
      </c>
      <c r="H7" s="710"/>
      <c r="I7" s="339">
        <f t="shared" si="0"/>
        <v>111918</v>
      </c>
      <c r="J7" s="339">
        <v>6666</v>
      </c>
      <c r="K7" s="339"/>
      <c r="L7" s="339"/>
      <c r="M7" s="339"/>
      <c r="N7" s="339"/>
      <c r="O7" s="675"/>
      <c r="P7" s="329" t="s">
        <v>705</v>
      </c>
      <c r="Q7" s="290" t="s">
        <v>253</v>
      </c>
      <c r="R7" s="288" t="s">
        <v>624</v>
      </c>
      <c r="S7" s="222"/>
      <c r="T7" s="703" t="s">
        <v>247</v>
      </c>
      <c r="U7" s="704"/>
      <c r="V7" s="704"/>
      <c r="W7" s="704"/>
      <c r="X7" s="733"/>
      <c r="Y7" s="319" t="s">
        <v>717</v>
      </c>
      <c r="Z7" s="243">
        <f>S19</f>
        <v>46990</v>
      </c>
      <c r="AA7" s="312">
        <f t="shared" si="3"/>
        <v>2.8652604999846037E-3</v>
      </c>
      <c r="AB7" s="328" t="s">
        <v>722</v>
      </c>
      <c r="AC7" s="243">
        <v>3407</v>
      </c>
      <c r="AD7" s="313">
        <f t="shared" si="4"/>
        <v>2.0774510584055213E-4</v>
      </c>
      <c r="AF7" s="242" t="s">
        <v>640</v>
      </c>
      <c r="AG7" s="243">
        <v>300000</v>
      </c>
    </row>
    <row r="8" spans="1:35" ht="30.9" customHeight="1" thickTop="1" thickBot="1">
      <c r="A8" s="176">
        <v>46029</v>
      </c>
      <c r="B8" s="177" t="s">
        <v>490</v>
      </c>
      <c r="C8" s="183">
        <v>268190</v>
      </c>
      <c r="D8" s="183">
        <v>1218968</v>
      </c>
      <c r="E8" s="183">
        <f t="shared" si="1"/>
        <v>-950778</v>
      </c>
      <c r="F8" s="183">
        <v>-441</v>
      </c>
      <c r="G8" s="221">
        <f t="shared" si="2"/>
        <v>-511609</v>
      </c>
      <c r="H8" s="710"/>
      <c r="I8" s="339">
        <f t="shared" si="0"/>
        <v>1218968</v>
      </c>
      <c r="J8" s="339"/>
      <c r="K8" s="339"/>
      <c r="L8" s="339"/>
      <c r="M8" s="339"/>
      <c r="N8" s="339"/>
      <c r="O8" s="675"/>
      <c r="P8" s="330">
        <f>D34</f>
        <v>14439925</v>
      </c>
      <c r="Q8" s="291">
        <f>S16</f>
        <v>934375</v>
      </c>
      <c r="R8" s="289">
        <f>U19</f>
        <v>279269</v>
      </c>
      <c r="S8" s="229"/>
      <c r="T8" s="705">
        <f>SUM(P8:S8)</f>
        <v>15653569</v>
      </c>
      <c r="U8" s="706"/>
      <c r="V8" s="706"/>
      <c r="W8" s="706"/>
      <c r="X8" s="733"/>
      <c r="Y8" s="319" t="s">
        <v>723</v>
      </c>
      <c r="Z8" s="243">
        <v>5500</v>
      </c>
      <c r="AA8" s="312">
        <f t="shared" si="3"/>
        <v>3.3536779633784461E-4</v>
      </c>
      <c r="AB8" s="328" t="s">
        <v>708</v>
      </c>
      <c r="AC8" s="243">
        <f>L34</f>
        <v>0</v>
      </c>
      <c r="AD8" s="313">
        <f t="shared" si="4"/>
        <v>0</v>
      </c>
      <c r="AF8" s="242" t="s">
        <v>641</v>
      </c>
      <c r="AG8" s="243">
        <v>55000</v>
      </c>
    </row>
    <row r="9" spans="1:35" ht="30.9" customHeight="1" thickTop="1" thickBot="1">
      <c r="A9" s="176">
        <v>46030</v>
      </c>
      <c r="B9" s="177" t="s">
        <v>491</v>
      </c>
      <c r="C9" s="183">
        <v>441673</v>
      </c>
      <c r="D9" s="183">
        <v>308096</v>
      </c>
      <c r="E9" s="183">
        <f t="shared" si="1"/>
        <v>133577</v>
      </c>
      <c r="F9" s="183">
        <v>0</v>
      </c>
      <c r="G9" s="221">
        <f t="shared" si="2"/>
        <v>-378032</v>
      </c>
      <c r="H9" s="710"/>
      <c r="I9" s="339">
        <f t="shared" si="0"/>
        <v>280046</v>
      </c>
      <c r="J9" s="339">
        <v>9460</v>
      </c>
      <c r="K9" s="339">
        <v>990</v>
      </c>
      <c r="L9" s="339"/>
      <c r="M9" s="339">
        <v>17600</v>
      </c>
      <c r="N9" s="339"/>
      <c r="O9" s="675"/>
      <c r="P9" s="331" t="s">
        <v>266</v>
      </c>
      <c r="Q9" s="731">
        <f>P4-T8-U4-T4</f>
        <v>704516</v>
      </c>
      <c r="R9" s="732"/>
      <c r="S9" s="732"/>
      <c r="T9" s="732"/>
      <c r="U9" s="732"/>
      <c r="V9" s="732"/>
      <c r="W9" s="732"/>
      <c r="X9" s="733"/>
      <c r="Y9" s="319" t="s">
        <v>724</v>
      </c>
      <c r="Z9" s="243">
        <v>0</v>
      </c>
      <c r="AA9" s="312">
        <f t="shared" si="3"/>
        <v>0</v>
      </c>
      <c r="AB9" s="328" t="s">
        <v>707</v>
      </c>
      <c r="AC9" s="243">
        <f>K34</f>
        <v>43370</v>
      </c>
      <c r="AD9" s="313">
        <f t="shared" si="4"/>
        <v>2.6445275140313312E-3</v>
      </c>
      <c r="AF9" s="241" t="s">
        <v>495</v>
      </c>
      <c r="AG9" s="243">
        <v>35000</v>
      </c>
    </row>
    <row r="10" spans="1:35" ht="30.9" customHeight="1" thickTop="1" thickBot="1">
      <c r="A10" s="176">
        <v>46031</v>
      </c>
      <c r="B10" s="178" t="s">
        <v>485</v>
      </c>
      <c r="C10" s="183">
        <v>822628</v>
      </c>
      <c r="D10" s="183">
        <v>526796</v>
      </c>
      <c r="E10" s="183">
        <f t="shared" si="1"/>
        <v>295832</v>
      </c>
      <c r="F10" s="183">
        <v>-87</v>
      </c>
      <c r="G10" s="221">
        <f t="shared" si="2"/>
        <v>-82287</v>
      </c>
      <c r="H10" s="710"/>
      <c r="I10" s="339">
        <f t="shared" si="0"/>
        <v>526796</v>
      </c>
      <c r="J10" s="339"/>
      <c r="K10" s="339"/>
      <c r="L10" s="339"/>
      <c r="M10" s="339"/>
      <c r="N10" s="339"/>
      <c r="O10" s="675"/>
      <c r="P10" s="708" t="s">
        <v>257</v>
      </c>
      <c r="Q10" s="708"/>
      <c r="R10" s="708"/>
      <c r="S10" s="708"/>
      <c r="T10" s="708"/>
      <c r="U10" s="708"/>
      <c r="V10" s="708"/>
      <c r="W10" s="708"/>
      <c r="X10" s="733"/>
      <c r="Y10" s="319" t="s">
        <v>743</v>
      </c>
      <c r="Z10" s="243">
        <v>0</v>
      </c>
      <c r="AA10" s="312">
        <f t="shared" si="3"/>
        <v>0</v>
      </c>
      <c r="AB10" s="328" t="s">
        <v>706</v>
      </c>
      <c r="AC10" s="243">
        <f>J34</f>
        <v>80191</v>
      </c>
      <c r="AD10" s="313">
        <f t="shared" si="4"/>
        <v>4.889723446568745E-3</v>
      </c>
      <c r="AF10" s="244" t="s">
        <v>73</v>
      </c>
      <c r="AG10" s="245">
        <f>SUM(AG7:AG9)</f>
        <v>390000</v>
      </c>
      <c r="AH10" s="252"/>
      <c r="AI10" s="252"/>
    </row>
    <row r="11" spans="1:35" ht="30.9" customHeight="1" thickTop="1" thickBot="1">
      <c r="A11" s="176">
        <v>46032</v>
      </c>
      <c r="B11" s="178" t="s">
        <v>486</v>
      </c>
      <c r="C11" s="183">
        <v>1181057</v>
      </c>
      <c r="D11" s="183">
        <v>482132</v>
      </c>
      <c r="E11" s="183">
        <f t="shared" si="1"/>
        <v>698925</v>
      </c>
      <c r="F11" s="183">
        <v>-647</v>
      </c>
      <c r="G11" s="221">
        <f t="shared" si="2"/>
        <v>615991</v>
      </c>
      <c r="H11" s="710"/>
      <c r="I11" s="339">
        <f t="shared" si="0"/>
        <v>460130</v>
      </c>
      <c r="J11" s="339">
        <v>7462</v>
      </c>
      <c r="K11" s="339"/>
      <c r="L11" s="339"/>
      <c r="M11" s="339">
        <f>13940+600</f>
        <v>14540</v>
      </c>
      <c r="N11" s="339"/>
      <c r="O11" s="675"/>
      <c r="P11" s="707" t="s">
        <v>477</v>
      </c>
      <c r="Q11" s="707"/>
      <c r="R11" s="707"/>
      <c r="S11" s="707"/>
      <c r="T11" s="707"/>
      <c r="U11" s="707"/>
      <c r="V11" s="707"/>
      <c r="W11" s="707"/>
      <c r="X11" s="733"/>
      <c r="Y11" s="319" t="s">
        <v>744</v>
      </c>
      <c r="Z11" s="352">
        <v>0</v>
      </c>
      <c r="AA11" s="312">
        <f t="shared" si="3"/>
        <v>0</v>
      </c>
      <c r="AB11" s="328" t="s">
        <v>705</v>
      </c>
      <c r="AC11" s="243">
        <f>I34</f>
        <v>13952120</v>
      </c>
      <c r="AD11" s="313">
        <f t="shared" si="4"/>
        <v>0.85074395248021251</v>
      </c>
      <c r="AF11" s="647" t="s">
        <v>643</v>
      </c>
      <c r="AG11" s="647"/>
      <c r="AH11" s="647"/>
      <c r="AI11" s="647"/>
    </row>
    <row r="12" spans="1:35" ht="30.9" customHeight="1" thickTop="1" thickBot="1">
      <c r="A12" s="176">
        <v>46033</v>
      </c>
      <c r="B12" s="178" t="s">
        <v>487</v>
      </c>
      <c r="C12" s="183">
        <v>549413</v>
      </c>
      <c r="D12" s="183">
        <v>454033</v>
      </c>
      <c r="E12" s="183">
        <f t="shared" si="1"/>
        <v>95380</v>
      </c>
      <c r="F12" s="183">
        <v>-22</v>
      </c>
      <c r="G12" s="221">
        <f t="shared" si="2"/>
        <v>711349</v>
      </c>
      <c r="H12" s="710"/>
      <c r="I12" s="339">
        <f t="shared" si="0"/>
        <v>448213</v>
      </c>
      <c r="J12" s="339"/>
      <c r="K12" s="339"/>
      <c r="L12" s="339"/>
      <c r="M12" s="339">
        <v>320</v>
      </c>
      <c r="N12" s="339">
        <v>5500</v>
      </c>
      <c r="O12" s="675"/>
      <c r="P12" s="269" t="s">
        <v>478</v>
      </c>
      <c r="Q12" s="229" t="s">
        <v>479</v>
      </c>
      <c r="R12" s="229" t="s">
        <v>480</v>
      </c>
      <c r="S12" s="229" t="s">
        <v>455</v>
      </c>
      <c r="T12" s="229" t="s">
        <v>468</v>
      </c>
      <c r="U12" s="258" t="s">
        <v>230</v>
      </c>
      <c r="V12" s="308" t="s">
        <v>670</v>
      </c>
      <c r="W12" s="308" t="s">
        <v>788</v>
      </c>
      <c r="X12" s="733"/>
      <c r="Y12" s="345" t="s">
        <v>771</v>
      </c>
      <c r="Z12" s="243">
        <v>0</v>
      </c>
      <c r="AA12" s="312">
        <f t="shared" si="3"/>
        <v>0</v>
      </c>
      <c r="AB12" s="328" t="s">
        <v>725</v>
      </c>
      <c r="AC12" s="243">
        <f>M34</f>
        <v>71643</v>
      </c>
      <c r="AD12" s="313">
        <f t="shared" si="4"/>
        <v>4.368500915096764E-3</v>
      </c>
      <c r="AF12" s="650" t="s">
        <v>644</v>
      </c>
      <c r="AG12" s="650"/>
      <c r="AH12" s="650"/>
      <c r="AI12" s="229">
        <v>0</v>
      </c>
    </row>
    <row r="13" spans="1:35" ht="30.9" customHeight="1" thickTop="1" thickBot="1">
      <c r="A13" s="176">
        <v>46034</v>
      </c>
      <c r="B13" s="177" t="s">
        <v>488</v>
      </c>
      <c r="C13" s="183">
        <v>397637</v>
      </c>
      <c r="D13" s="183">
        <v>398519</v>
      </c>
      <c r="E13" s="183">
        <f t="shared" si="1"/>
        <v>-882</v>
      </c>
      <c r="F13" s="183">
        <v>0</v>
      </c>
      <c r="G13" s="221">
        <f t="shared" si="2"/>
        <v>710467</v>
      </c>
      <c r="H13" s="710"/>
      <c r="I13" s="339">
        <f t="shared" si="0"/>
        <v>391629</v>
      </c>
      <c r="J13" s="339">
        <v>6890</v>
      </c>
      <c r="K13" s="339"/>
      <c r="L13" s="339"/>
      <c r="M13" s="339"/>
      <c r="N13" s="339"/>
      <c r="O13" s="675"/>
      <c r="P13" s="332">
        <f>AG10-75000</f>
        <v>315000</v>
      </c>
      <c r="Q13" s="229">
        <f>43.5*1100</f>
        <v>47850</v>
      </c>
      <c r="R13" s="229">
        <f>14*1100</f>
        <v>15400</v>
      </c>
      <c r="S13" s="229">
        <f>118.5*1100</f>
        <v>130350</v>
      </c>
      <c r="T13" s="229">
        <f>106.25*1100</f>
        <v>116875</v>
      </c>
      <c r="U13" s="229">
        <v>70000</v>
      </c>
      <c r="V13" s="266">
        <f>99*1100</f>
        <v>108900</v>
      </c>
      <c r="W13" s="266">
        <f>50*1100</f>
        <v>55000</v>
      </c>
      <c r="X13" s="733"/>
      <c r="Y13" s="311" t="s">
        <v>709</v>
      </c>
      <c r="Z13" s="317">
        <f>SUM(Z4:Z12)</f>
        <v>277175</v>
      </c>
      <c r="AA13" s="312">
        <f>SUM(AA4:AA12)</f>
        <v>1.6901012536353108E-2</v>
      </c>
      <c r="AB13" s="327" t="s">
        <v>709</v>
      </c>
      <c r="AC13" s="317">
        <f>SUM(AC4:AC12)</f>
        <v>15150195</v>
      </c>
      <c r="AD13" s="313">
        <f>SUM(AD4:AD12)</f>
        <v>0.92379772931611492</v>
      </c>
      <c r="AF13" s="650" t="s">
        <v>645</v>
      </c>
      <c r="AG13" s="650"/>
      <c r="AH13" s="261" t="s">
        <v>646</v>
      </c>
      <c r="AI13" s="229">
        <v>1900000</v>
      </c>
    </row>
    <row r="14" spans="1:35" ht="30.9" customHeight="1" thickTop="1" thickBot="1">
      <c r="A14" s="176">
        <v>46035</v>
      </c>
      <c r="B14" s="177" t="s">
        <v>489</v>
      </c>
      <c r="C14" s="183">
        <v>497601</v>
      </c>
      <c r="D14" s="183">
        <v>278216</v>
      </c>
      <c r="E14" s="183">
        <f t="shared" si="1"/>
        <v>219385</v>
      </c>
      <c r="F14" s="183">
        <v>0</v>
      </c>
      <c r="G14" s="221">
        <f t="shared" si="2"/>
        <v>929852</v>
      </c>
      <c r="H14" s="710"/>
      <c r="I14" s="339">
        <f t="shared" si="0"/>
        <v>266154</v>
      </c>
      <c r="J14" s="339"/>
      <c r="K14" s="339">
        <v>12062</v>
      </c>
      <c r="L14" s="339"/>
      <c r="M14" s="339"/>
      <c r="N14" s="339"/>
      <c r="O14" s="675"/>
      <c r="P14" s="333">
        <v>0</v>
      </c>
      <c r="Q14" s="287">
        <v>0</v>
      </c>
      <c r="R14" s="287">
        <v>0</v>
      </c>
      <c r="S14" s="287">
        <v>0</v>
      </c>
      <c r="T14" s="287">
        <v>0</v>
      </c>
      <c r="U14" s="287">
        <v>0</v>
      </c>
      <c r="V14" s="287">
        <v>0</v>
      </c>
      <c r="W14" s="287">
        <v>0</v>
      </c>
      <c r="X14" s="733"/>
      <c r="Y14" s="735" t="s">
        <v>726</v>
      </c>
      <c r="Z14" s="736"/>
      <c r="AA14" s="737"/>
      <c r="AB14" s="347">
        <f>Z21+AC21</f>
        <v>203549</v>
      </c>
      <c r="AC14" s="681">
        <f>AA21+AD21</f>
        <v>1.2411596286685807E-2</v>
      </c>
      <c r="AD14" s="682"/>
      <c r="AE14" s="81"/>
      <c r="AF14" s="650"/>
      <c r="AG14" s="650"/>
      <c r="AH14" s="261" t="s">
        <v>647</v>
      </c>
      <c r="AI14" s="229">
        <v>0</v>
      </c>
    </row>
    <row r="15" spans="1:35" ht="30.9" customHeight="1" thickTop="1" thickBot="1">
      <c r="A15" s="176">
        <v>46036</v>
      </c>
      <c r="B15" s="177" t="s">
        <v>490</v>
      </c>
      <c r="C15" s="183">
        <v>500884</v>
      </c>
      <c r="D15" s="183">
        <v>881036</v>
      </c>
      <c r="E15" s="183">
        <f t="shared" si="1"/>
        <v>-380152</v>
      </c>
      <c r="F15" s="183">
        <v>-41</v>
      </c>
      <c r="G15" s="221">
        <f t="shared" si="2"/>
        <v>549659</v>
      </c>
      <c r="H15" s="710"/>
      <c r="I15" s="339">
        <f t="shared" si="0"/>
        <v>880716</v>
      </c>
      <c r="J15" s="339"/>
      <c r="K15" s="339"/>
      <c r="L15" s="339"/>
      <c r="M15" s="339">
        <v>320</v>
      </c>
      <c r="N15" s="339"/>
      <c r="O15" s="675"/>
      <c r="P15" s="334">
        <f>SUM(P13:P14)</f>
        <v>315000</v>
      </c>
      <c r="Q15" s="234">
        <f t="shared" ref="Q15:W15" si="5">SUM(Q13:Q14)</f>
        <v>47850</v>
      </c>
      <c r="R15" s="234">
        <f t="shared" si="5"/>
        <v>15400</v>
      </c>
      <c r="S15" s="234">
        <f t="shared" si="5"/>
        <v>130350</v>
      </c>
      <c r="T15" s="234">
        <f t="shared" si="5"/>
        <v>116875</v>
      </c>
      <c r="U15" s="234">
        <f t="shared" si="5"/>
        <v>70000</v>
      </c>
      <c r="V15" s="234">
        <f t="shared" si="5"/>
        <v>108900</v>
      </c>
      <c r="W15" s="260">
        <f t="shared" si="5"/>
        <v>55000</v>
      </c>
      <c r="X15" s="733"/>
      <c r="Y15" s="719" t="s">
        <v>729</v>
      </c>
      <c r="Z15" s="720"/>
      <c r="AA15" s="720"/>
      <c r="AB15" s="717" t="s">
        <v>730</v>
      </c>
      <c r="AC15" s="717"/>
      <c r="AD15" s="718"/>
      <c r="AE15" s="81"/>
      <c r="AF15" s="650" t="s">
        <v>648</v>
      </c>
      <c r="AG15" s="650" t="s">
        <v>649</v>
      </c>
      <c r="AH15" s="650"/>
      <c r="AI15" s="229">
        <v>10000</v>
      </c>
    </row>
    <row r="16" spans="1:35" ht="30.9" customHeight="1" thickTop="1" thickBot="1">
      <c r="A16" s="176">
        <v>46037</v>
      </c>
      <c r="B16" s="177" t="s">
        <v>491</v>
      </c>
      <c r="C16" s="183">
        <v>639823</v>
      </c>
      <c r="D16" s="183">
        <v>230484</v>
      </c>
      <c r="E16" s="183">
        <f t="shared" si="1"/>
        <v>409339</v>
      </c>
      <c r="F16" s="183">
        <v>-41</v>
      </c>
      <c r="G16" s="221">
        <f t="shared" si="2"/>
        <v>958957</v>
      </c>
      <c r="H16" s="710"/>
      <c r="I16" s="339">
        <f t="shared" si="0"/>
        <v>224927</v>
      </c>
      <c r="J16" s="339">
        <v>5557</v>
      </c>
      <c r="K16" s="339"/>
      <c r="L16" s="339"/>
      <c r="M16" s="339"/>
      <c r="N16" s="339"/>
      <c r="O16" s="675"/>
      <c r="P16" s="698" t="s">
        <v>247</v>
      </c>
      <c r="Q16" s="641"/>
      <c r="R16" s="641"/>
      <c r="S16" s="648">
        <f>SUM(Q15:W15)+AG10</f>
        <v>934375</v>
      </c>
      <c r="T16" s="699"/>
      <c r="U16" s="699"/>
      <c r="V16" s="699"/>
      <c r="W16" s="699"/>
      <c r="X16" s="733"/>
      <c r="Y16" s="324" t="s">
        <v>728</v>
      </c>
      <c r="Z16" s="243">
        <f>S23</f>
        <v>50000</v>
      </c>
      <c r="AA16" s="312">
        <f>Z16/$P$4</f>
        <v>3.0487981485258601E-3</v>
      </c>
      <c r="AB16" s="321" t="s">
        <v>731</v>
      </c>
      <c r="AC16" s="243">
        <f>U4</f>
        <v>37950</v>
      </c>
      <c r="AD16" s="313">
        <f>AC16/$P$4</f>
        <v>2.3140377947311278E-3</v>
      </c>
      <c r="AF16" s="650"/>
      <c r="AG16" s="650" t="s">
        <v>650</v>
      </c>
      <c r="AH16" s="650"/>
      <c r="AI16" s="229">
        <v>80000</v>
      </c>
    </row>
    <row r="17" spans="1:35" ht="30.9" customHeight="1" thickTop="1" thickBot="1">
      <c r="A17" s="176">
        <v>46038</v>
      </c>
      <c r="B17" s="178" t="s">
        <v>485</v>
      </c>
      <c r="C17" s="183">
        <v>650241</v>
      </c>
      <c r="D17" s="183">
        <v>967352</v>
      </c>
      <c r="E17" s="183">
        <f t="shared" si="1"/>
        <v>-317111</v>
      </c>
      <c r="F17" s="183">
        <v>-985</v>
      </c>
      <c r="G17" s="221">
        <f t="shared" si="2"/>
        <v>640861</v>
      </c>
      <c r="H17" s="710"/>
      <c r="I17" s="339">
        <f t="shared" si="0"/>
        <v>967352</v>
      </c>
      <c r="J17" s="339"/>
      <c r="K17" s="339"/>
      <c r="L17" s="339"/>
      <c r="M17" s="339"/>
      <c r="N17" s="339"/>
      <c r="O17" s="675"/>
      <c r="P17" s="688" t="s">
        <v>482</v>
      </c>
      <c r="Q17" s="643"/>
      <c r="R17" s="643"/>
      <c r="S17" s="643"/>
      <c r="T17" s="643"/>
      <c r="U17" s="649"/>
      <c r="V17" s="283"/>
      <c r="W17" s="283"/>
      <c r="X17" s="733"/>
      <c r="Y17" s="324" t="s">
        <v>727</v>
      </c>
      <c r="Z17" s="243">
        <f>T23</f>
        <v>42790</v>
      </c>
      <c r="AA17" s="312">
        <f t="shared" ref="AA17:AA20" si="6">Z17/$P$4</f>
        <v>2.6091614555084314E-3</v>
      </c>
      <c r="AB17" s="321" t="s">
        <v>732</v>
      </c>
      <c r="AC17" s="243">
        <v>939</v>
      </c>
      <c r="AD17" s="313">
        <f t="shared" ref="AD17" si="7">AC17/$P$4</f>
        <v>5.725642922931566E-5</v>
      </c>
      <c r="AF17" s="261" t="s">
        <v>651</v>
      </c>
      <c r="AG17" s="650" t="s">
        <v>652</v>
      </c>
      <c r="AH17" s="650"/>
      <c r="AI17" s="229">
        <v>600000</v>
      </c>
    </row>
    <row r="18" spans="1:35" ht="30.9" customHeight="1" thickTop="1" thickBot="1">
      <c r="A18" s="176">
        <v>46039</v>
      </c>
      <c r="B18" s="178" t="s">
        <v>486</v>
      </c>
      <c r="C18" s="183">
        <v>685544</v>
      </c>
      <c r="D18" s="183">
        <v>561724</v>
      </c>
      <c r="E18" s="183">
        <f t="shared" si="1"/>
        <v>123820</v>
      </c>
      <c r="F18" s="183">
        <v>-74</v>
      </c>
      <c r="G18" s="221">
        <f t="shared" si="2"/>
        <v>764607</v>
      </c>
      <c r="H18" s="710"/>
      <c r="I18" s="339">
        <f t="shared" si="0"/>
        <v>561124</v>
      </c>
      <c r="J18" s="339"/>
      <c r="K18" s="339"/>
      <c r="L18" s="339"/>
      <c r="M18" s="339">
        <v>600</v>
      </c>
      <c r="N18" s="339"/>
      <c r="O18" s="675"/>
      <c r="P18" s="284"/>
      <c r="Q18" s="354" t="s">
        <v>798</v>
      </c>
      <c r="R18" s="343" t="s">
        <v>760</v>
      </c>
      <c r="S18" s="294" t="s">
        <v>703</v>
      </c>
      <c r="T18" s="236" t="s">
        <v>498</v>
      </c>
      <c r="U18" s="683" t="s">
        <v>247</v>
      </c>
      <c r="V18" s="684"/>
      <c r="W18" s="684"/>
      <c r="X18" s="733"/>
      <c r="Y18" s="324" t="s">
        <v>733</v>
      </c>
      <c r="Z18" s="243">
        <f>R23</f>
        <v>18000</v>
      </c>
      <c r="AA18" s="312">
        <f t="shared" si="6"/>
        <v>1.0975673334693097E-3</v>
      </c>
      <c r="AB18" s="322"/>
      <c r="AC18" s="243"/>
      <c r="AD18" s="313"/>
      <c r="AF18" s="650" t="s">
        <v>777</v>
      </c>
      <c r="AG18" s="650"/>
      <c r="AH18" s="650"/>
      <c r="AI18" s="229">
        <f>219847235/173</f>
        <v>1270793.2658959539</v>
      </c>
    </row>
    <row r="19" spans="1:35" ht="30.9" customHeight="1" thickTop="1" thickBot="1">
      <c r="A19" s="176">
        <v>46040</v>
      </c>
      <c r="B19" s="178" t="s">
        <v>487</v>
      </c>
      <c r="C19" s="183">
        <v>498888</v>
      </c>
      <c r="D19" s="183">
        <v>293455</v>
      </c>
      <c r="E19" s="183">
        <f t="shared" si="1"/>
        <v>205433</v>
      </c>
      <c r="F19" s="183">
        <v>0</v>
      </c>
      <c r="G19" s="221">
        <f t="shared" si="2"/>
        <v>970040</v>
      </c>
      <c r="H19" s="710"/>
      <c r="I19" s="339">
        <f t="shared" si="0"/>
        <v>286274</v>
      </c>
      <c r="J19" s="339">
        <v>6861</v>
      </c>
      <c r="K19" s="339"/>
      <c r="L19" s="339"/>
      <c r="M19" s="339">
        <v>320</v>
      </c>
      <c r="N19" s="339"/>
      <c r="O19" s="675"/>
      <c r="P19" s="335"/>
      <c r="Q19" s="355">
        <v>25500</v>
      </c>
      <c r="R19" s="344">
        <f>6500*7</f>
        <v>45500</v>
      </c>
      <c r="S19" s="295">
        <f>39940+7050</f>
        <v>46990</v>
      </c>
      <c r="T19" s="238">
        <f>U23</f>
        <v>161279</v>
      </c>
      <c r="U19" s="685">
        <f>SUM(P19:T19)</f>
        <v>279269</v>
      </c>
      <c r="V19" s="686"/>
      <c r="W19" s="686"/>
      <c r="X19" s="733"/>
      <c r="Y19" s="324" t="s">
        <v>734</v>
      </c>
      <c r="Z19" s="243">
        <f>Q23</f>
        <v>50000</v>
      </c>
      <c r="AA19" s="312">
        <f t="shared" si="6"/>
        <v>3.0487981485258601E-3</v>
      </c>
      <c r="AB19" s="322"/>
      <c r="AC19" s="243"/>
      <c r="AD19" s="313"/>
      <c r="AF19" s="652" t="s">
        <v>654</v>
      </c>
      <c r="AG19" s="652"/>
      <c r="AH19" s="652"/>
      <c r="AI19" s="229">
        <v>5900000</v>
      </c>
    </row>
    <row r="20" spans="1:35" ht="30.9" customHeight="1" thickTop="1" thickBot="1">
      <c r="A20" s="176">
        <v>46041</v>
      </c>
      <c r="B20" s="177" t="s">
        <v>488</v>
      </c>
      <c r="C20" s="183">
        <v>284023</v>
      </c>
      <c r="D20" s="183">
        <v>305040</v>
      </c>
      <c r="E20" s="183">
        <f t="shared" si="1"/>
        <v>-21017</v>
      </c>
      <c r="F20" s="183">
        <v>0</v>
      </c>
      <c r="G20" s="221">
        <f t="shared" si="2"/>
        <v>949023</v>
      </c>
      <c r="H20" s="710"/>
      <c r="I20" s="339">
        <f t="shared" si="0"/>
        <v>301040</v>
      </c>
      <c r="J20" s="339">
        <v>4000</v>
      </c>
      <c r="K20" s="339"/>
      <c r="L20" s="339"/>
      <c r="M20" s="339"/>
      <c r="N20" s="339"/>
      <c r="O20" s="675"/>
      <c r="P20" s="269"/>
      <c r="Q20" s="232"/>
      <c r="R20" s="232"/>
      <c r="S20" s="232"/>
      <c r="T20" s="232"/>
      <c r="U20" s="232"/>
      <c r="V20" s="310"/>
      <c r="W20" s="310"/>
      <c r="X20" s="733"/>
      <c r="Y20" s="324" t="s">
        <v>746</v>
      </c>
      <c r="Z20" s="243">
        <f>T4</f>
        <v>3870</v>
      </c>
      <c r="AA20" s="312">
        <f t="shared" si="6"/>
        <v>2.3597697669590158E-4</v>
      </c>
      <c r="AB20" s="314"/>
      <c r="AC20" s="243"/>
      <c r="AD20" s="313"/>
      <c r="AF20" s="652" t="s">
        <v>655</v>
      </c>
      <c r="AG20" s="652"/>
      <c r="AH20" s="652"/>
      <c r="AI20" s="229">
        <v>6000000</v>
      </c>
    </row>
    <row r="21" spans="1:35" ht="30.9" customHeight="1" thickTop="1" thickBot="1">
      <c r="A21" s="176">
        <v>46042</v>
      </c>
      <c r="B21" s="177" t="s">
        <v>489</v>
      </c>
      <c r="C21" s="183">
        <v>267256</v>
      </c>
      <c r="D21" s="183">
        <v>346065</v>
      </c>
      <c r="E21" s="183">
        <f t="shared" si="1"/>
        <v>-78809</v>
      </c>
      <c r="F21" s="183">
        <v>-47</v>
      </c>
      <c r="G21" s="221">
        <f t="shared" si="2"/>
        <v>870167</v>
      </c>
      <c r="H21" s="710"/>
      <c r="I21" s="339">
        <f t="shared" si="0"/>
        <v>346065</v>
      </c>
      <c r="J21" s="339"/>
      <c r="K21" s="339"/>
      <c r="L21" s="339"/>
      <c r="M21" s="339"/>
      <c r="N21" s="339"/>
      <c r="O21" s="675"/>
      <c r="P21" s="687" t="s">
        <v>772</v>
      </c>
      <c r="Q21" s="687"/>
      <c r="R21" s="687"/>
      <c r="S21" s="687"/>
      <c r="T21" s="687"/>
      <c r="U21" s="687"/>
      <c r="V21" s="687"/>
      <c r="W21" s="687"/>
      <c r="X21" s="733"/>
      <c r="Y21" s="326" t="s">
        <v>709</v>
      </c>
      <c r="Z21" s="318">
        <f>SUM(Z16:Z20)</f>
        <v>164660</v>
      </c>
      <c r="AA21" s="315">
        <f>SUM(AA16:AA20)</f>
        <v>1.0040302062725364E-2</v>
      </c>
      <c r="AB21" s="323" t="s">
        <v>709</v>
      </c>
      <c r="AC21" s="318">
        <f>SUM(AC16:AC20)</f>
        <v>38889</v>
      </c>
      <c r="AD21" s="316">
        <f>SUM(AD16:AD20)</f>
        <v>2.3712942239604434E-3</v>
      </c>
      <c r="AF21" s="653" t="s">
        <v>247</v>
      </c>
      <c r="AG21" s="653"/>
      <c r="AH21" s="653"/>
      <c r="AI21" s="270">
        <f>SUM(AI12:AI20)</f>
        <v>15760793.265895953</v>
      </c>
    </row>
    <row r="22" spans="1:35" ht="30.9" customHeight="1" thickTop="1" thickBot="1">
      <c r="A22" s="176">
        <v>46043</v>
      </c>
      <c r="B22" s="177" t="s">
        <v>490</v>
      </c>
      <c r="C22" s="183">
        <v>337752</v>
      </c>
      <c r="D22" s="183">
        <v>1059563</v>
      </c>
      <c r="E22" s="183">
        <f t="shared" si="1"/>
        <v>-721811</v>
      </c>
      <c r="F22" s="183">
        <v>-79</v>
      </c>
      <c r="G22" s="221">
        <f t="shared" si="2"/>
        <v>148277</v>
      </c>
      <c r="H22" s="710"/>
      <c r="I22" s="339">
        <f t="shared" si="0"/>
        <v>1054243</v>
      </c>
      <c r="J22" s="339">
        <v>5000</v>
      </c>
      <c r="K22" s="339"/>
      <c r="L22" s="339"/>
      <c r="M22" s="339">
        <v>320</v>
      </c>
      <c r="N22" s="339"/>
      <c r="O22" s="675"/>
      <c r="P22" s="336" t="s">
        <v>625</v>
      </c>
      <c r="Q22" s="299" t="s">
        <v>770</v>
      </c>
      <c r="R22" s="299" t="s">
        <v>733</v>
      </c>
      <c r="S22" s="299" t="s">
        <v>728</v>
      </c>
      <c r="T22" s="299" t="s">
        <v>727</v>
      </c>
      <c r="U22" s="690" t="s">
        <v>247</v>
      </c>
      <c r="V22" s="741"/>
      <c r="W22" s="691"/>
      <c r="X22" s="733"/>
      <c r="Y22" s="694" t="s">
        <v>745</v>
      </c>
      <c r="Z22" s="695"/>
      <c r="AA22" s="695"/>
      <c r="AB22" s="695"/>
      <c r="AC22" s="721">
        <f>AC14+AC2</f>
        <v>0.9531103381391538</v>
      </c>
      <c r="AD22" s="721"/>
      <c r="AF22" s="661"/>
      <c r="AG22" s="662"/>
      <c r="AH22" s="662"/>
      <c r="AI22" s="662"/>
    </row>
    <row r="23" spans="1:35" ht="30.9" customHeight="1" thickTop="1" thickBot="1">
      <c r="A23" s="176">
        <v>46044</v>
      </c>
      <c r="B23" s="177" t="s">
        <v>491</v>
      </c>
      <c r="C23" s="183">
        <v>370385</v>
      </c>
      <c r="D23" s="183">
        <v>343692</v>
      </c>
      <c r="E23" s="183">
        <f t="shared" si="1"/>
        <v>26693</v>
      </c>
      <c r="F23" s="183">
        <v>-84</v>
      </c>
      <c r="G23" s="221">
        <f t="shared" si="2"/>
        <v>174886</v>
      </c>
      <c r="H23" s="710"/>
      <c r="I23" s="339">
        <f t="shared" si="0"/>
        <v>323132</v>
      </c>
      <c r="J23" s="339"/>
      <c r="K23" s="339">
        <v>20560</v>
      </c>
      <c r="L23" s="339"/>
      <c r="M23" s="339"/>
      <c r="N23" s="339"/>
      <c r="O23" s="675"/>
      <c r="P23" s="335">
        <v>489</v>
      </c>
      <c r="Q23" s="353">
        <v>50000</v>
      </c>
      <c r="R23" s="298">
        <v>18000</v>
      </c>
      <c r="S23" s="353">
        <v>50000</v>
      </c>
      <c r="T23" s="298">
        <v>42790</v>
      </c>
      <c r="U23" s="692">
        <f>SUM(P23:T23)</f>
        <v>161279</v>
      </c>
      <c r="V23" s="742"/>
      <c r="W23" s="693"/>
      <c r="X23" s="733"/>
      <c r="Y23" s="696"/>
      <c r="Z23" s="697"/>
      <c r="AA23" s="697"/>
      <c r="AB23" s="697"/>
      <c r="AC23" s="722"/>
      <c r="AD23" s="722"/>
      <c r="AF23" s="647" t="s">
        <v>665</v>
      </c>
      <c r="AG23" s="647"/>
      <c r="AH23" s="647"/>
      <c r="AI23" s="647"/>
    </row>
    <row r="24" spans="1:35" ht="30.9" customHeight="1" thickTop="1" thickBot="1">
      <c r="A24" s="176">
        <v>46045</v>
      </c>
      <c r="B24" s="178" t="s">
        <v>485</v>
      </c>
      <c r="C24" s="183">
        <v>834327</v>
      </c>
      <c r="D24" s="183">
        <v>339840</v>
      </c>
      <c r="E24" s="183">
        <f t="shared" si="1"/>
        <v>494487</v>
      </c>
      <c r="F24" s="183">
        <v>-222</v>
      </c>
      <c r="G24" s="184">
        <f t="shared" si="2"/>
        <v>669151</v>
      </c>
      <c r="H24" s="710"/>
      <c r="I24" s="339">
        <f t="shared" si="0"/>
        <v>339840</v>
      </c>
      <c r="J24" s="339"/>
      <c r="K24" s="339"/>
      <c r="L24" s="339"/>
      <c r="M24" s="339"/>
      <c r="N24" s="339"/>
      <c r="O24" s="675"/>
      <c r="X24" s="733"/>
      <c r="Y24" s="711" t="s">
        <v>735</v>
      </c>
      <c r="Z24" s="711"/>
      <c r="AA24" s="711"/>
      <c r="AB24" s="711"/>
      <c r="AC24" s="711"/>
      <c r="AD24" s="711"/>
      <c r="AF24" s="656" t="s">
        <v>666</v>
      </c>
      <c r="AG24" s="658"/>
      <c r="AH24" s="657"/>
      <c r="AI24" s="232"/>
    </row>
    <row r="25" spans="1:35" ht="30.9" customHeight="1" thickTop="1" thickBot="1">
      <c r="A25" s="176">
        <v>46046</v>
      </c>
      <c r="B25" s="178" t="s">
        <v>486</v>
      </c>
      <c r="C25" s="183">
        <v>735012</v>
      </c>
      <c r="D25" s="350">
        <v>218917</v>
      </c>
      <c r="E25" s="183">
        <f t="shared" si="1"/>
        <v>516095</v>
      </c>
      <c r="F25" s="183">
        <v>-125</v>
      </c>
      <c r="G25" s="184">
        <f t="shared" si="2"/>
        <v>1185121</v>
      </c>
      <c r="H25" s="710"/>
      <c r="I25" s="339">
        <f t="shared" si="0"/>
        <v>119464</v>
      </c>
      <c r="J25" s="339">
        <v>7300</v>
      </c>
      <c r="K25" s="339"/>
      <c r="L25" s="339"/>
      <c r="M25" s="339">
        <f>2856+20801</f>
        <v>23657</v>
      </c>
      <c r="N25" s="339">
        <f>65089+3407</f>
        <v>68496</v>
      </c>
      <c r="O25" s="675"/>
      <c r="P25" s="689" t="s">
        <v>672</v>
      </c>
      <c r="Q25" s="664"/>
      <c r="R25" s="664"/>
      <c r="S25" s="664"/>
      <c r="T25" s="664"/>
      <c r="U25" s="664"/>
      <c r="V25" s="285"/>
      <c r="W25" s="285"/>
      <c r="X25" s="733"/>
      <c r="Y25" s="300"/>
      <c r="Z25" s="712" t="s">
        <v>739</v>
      </c>
      <c r="AA25" s="712"/>
      <c r="AB25" s="301" t="s">
        <v>738</v>
      </c>
      <c r="AC25" s="712" t="s">
        <v>740</v>
      </c>
      <c r="AD25" s="712"/>
      <c r="AF25" s="268"/>
      <c r="AG25" s="656"/>
      <c r="AH25" s="657"/>
      <c r="AI25" s="232"/>
    </row>
    <row r="26" spans="1:35" ht="30.9" customHeight="1" thickTop="1" thickBot="1">
      <c r="A26" s="176">
        <v>46047</v>
      </c>
      <c r="B26" s="178" t="s">
        <v>487</v>
      </c>
      <c r="C26" s="350">
        <v>540642</v>
      </c>
      <c r="D26" s="350">
        <v>125650</v>
      </c>
      <c r="E26" s="183">
        <f t="shared" si="1"/>
        <v>414992</v>
      </c>
      <c r="F26" s="183">
        <v>0</v>
      </c>
      <c r="G26" s="184">
        <f t="shared" si="2"/>
        <v>1600113</v>
      </c>
      <c r="H26" s="710"/>
      <c r="I26" s="339">
        <f t="shared" si="0"/>
        <v>125650</v>
      </c>
      <c r="J26" s="339"/>
      <c r="K26" s="339"/>
      <c r="L26" s="339"/>
      <c r="M26" s="339"/>
      <c r="N26" s="339"/>
      <c r="O26" s="675"/>
      <c r="P26" s="337"/>
      <c r="Q26" s="665" t="s">
        <v>797</v>
      </c>
      <c r="R26" s="665"/>
      <c r="S26" s="665"/>
      <c r="T26" s="665"/>
      <c r="U26" s="665"/>
      <c r="V26" s="286"/>
      <c r="W26" s="286"/>
      <c r="X26" s="733"/>
      <c r="Y26" s="302" t="s">
        <v>736</v>
      </c>
      <c r="Z26" s="303">
        <v>17364796</v>
      </c>
      <c r="AA26" s="305">
        <f>(AB26/Z26)-100%</f>
        <v>-5.5565927754060551E-2</v>
      </c>
      <c r="AB26" s="304">
        <f>C34</f>
        <v>16399905</v>
      </c>
      <c r="AC26" s="303">
        <v>18376433</v>
      </c>
      <c r="AD26" s="305">
        <f>AB26/AC26-100%</f>
        <v>-0.10755776161782871</v>
      </c>
      <c r="AF26" s="268"/>
      <c r="AG26" s="656"/>
      <c r="AH26" s="657"/>
      <c r="AI26" s="232"/>
    </row>
    <row r="27" spans="1:35" ht="30.9" customHeight="1" thickTop="1" thickBot="1">
      <c r="A27" s="176">
        <v>46048</v>
      </c>
      <c r="B27" s="177" t="s">
        <v>488</v>
      </c>
      <c r="C27" s="350">
        <v>324228</v>
      </c>
      <c r="D27" s="350">
        <v>1031517</v>
      </c>
      <c r="E27" s="183">
        <f t="shared" si="1"/>
        <v>-707289</v>
      </c>
      <c r="F27" s="183">
        <v>-22</v>
      </c>
      <c r="G27" s="184">
        <f t="shared" si="2"/>
        <v>892802</v>
      </c>
      <c r="H27" s="710"/>
      <c r="I27" s="339">
        <f t="shared" si="0"/>
        <v>1030577</v>
      </c>
      <c r="J27" s="339"/>
      <c r="K27" s="339"/>
      <c r="L27" s="339"/>
      <c r="M27" s="339">
        <f>300+640</f>
        <v>940</v>
      </c>
      <c r="N27" s="339"/>
      <c r="O27" s="675"/>
      <c r="P27" s="282"/>
      <c r="Q27" s="665"/>
      <c r="R27" s="665"/>
      <c r="S27" s="665"/>
      <c r="T27" s="665"/>
      <c r="U27" s="665"/>
      <c r="V27" s="286"/>
      <c r="W27" s="286"/>
      <c r="X27" s="733"/>
      <c r="Y27" s="302" t="s">
        <v>510</v>
      </c>
      <c r="Z27" s="303">
        <v>16731074</v>
      </c>
      <c r="AA27" s="305">
        <f>(AB27/Z27)-100%</f>
        <v>-6.4401424558877651E-2</v>
      </c>
      <c r="AB27" s="304">
        <f>T8</f>
        <v>15653569</v>
      </c>
      <c r="AC27" s="303">
        <v>17068191</v>
      </c>
      <c r="AD27" s="305">
        <f>AB27/AC27-100%</f>
        <v>-8.2880605214694425E-2</v>
      </c>
      <c r="AF27" s="268"/>
      <c r="AG27" s="656"/>
      <c r="AH27" s="657"/>
      <c r="AI27" s="232"/>
    </row>
    <row r="28" spans="1:35" ht="30.9" customHeight="1" thickTop="1" thickBot="1">
      <c r="A28" s="176">
        <v>46049</v>
      </c>
      <c r="B28" s="177" t="s">
        <v>489</v>
      </c>
      <c r="C28" s="350">
        <v>342684</v>
      </c>
      <c r="D28" s="350">
        <v>280398</v>
      </c>
      <c r="E28" s="183">
        <f t="shared" si="1"/>
        <v>62286</v>
      </c>
      <c r="F28" s="183">
        <v>-22</v>
      </c>
      <c r="G28" s="184">
        <f t="shared" si="2"/>
        <v>955066</v>
      </c>
      <c r="H28" s="710"/>
      <c r="I28" s="339">
        <f t="shared" si="0"/>
        <v>280398</v>
      </c>
      <c r="J28" s="339"/>
      <c r="K28" s="339"/>
      <c r="L28" s="339"/>
      <c r="M28" s="339"/>
      <c r="N28" s="339"/>
      <c r="O28" s="675"/>
      <c r="P28" s="282"/>
      <c r="Q28" s="665" t="s">
        <v>784</v>
      </c>
      <c r="R28" s="665"/>
      <c r="S28" s="665"/>
      <c r="T28" s="665"/>
      <c r="U28" s="665"/>
      <c r="V28" s="286"/>
      <c r="W28" s="286"/>
      <c r="X28" s="733"/>
      <c r="Y28" s="302" t="s">
        <v>737</v>
      </c>
      <c r="Z28" s="303">
        <v>633722</v>
      </c>
      <c r="AA28" s="305">
        <f>(AB28/Z28)-100%</f>
        <v>0.17770252571316769</v>
      </c>
      <c r="AB28" s="304">
        <f>AB26-AB27</f>
        <v>746336</v>
      </c>
      <c r="AC28" s="303">
        <f>AC26-AC27</f>
        <v>1308242</v>
      </c>
      <c r="AD28" s="305">
        <f t="shared" ref="AD28:AD31" si="8">AB28/AC28-100%</f>
        <v>-0.42951227678059567</v>
      </c>
      <c r="AF28" s="268"/>
      <c r="AG28" s="656"/>
      <c r="AH28" s="657"/>
      <c r="AI28" s="232"/>
    </row>
    <row r="29" spans="1:35" ht="30.9" customHeight="1" thickTop="1" thickBot="1">
      <c r="A29" s="176">
        <v>46050</v>
      </c>
      <c r="B29" s="177" t="s">
        <v>490</v>
      </c>
      <c r="C29" s="350">
        <v>289482</v>
      </c>
      <c r="D29" s="350">
        <v>363045</v>
      </c>
      <c r="E29" s="183">
        <f t="shared" si="1"/>
        <v>-73563</v>
      </c>
      <c r="F29" s="183">
        <v>-241</v>
      </c>
      <c r="G29" s="184">
        <f t="shared" si="2"/>
        <v>881262</v>
      </c>
      <c r="H29" s="710"/>
      <c r="I29" s="339">
        <f t="shared" si="0"/>
        <v>337069</v>
      </c>
      <c r="J29" s="339">
        <v>13550</v>
      </c>
      <c r="K29" s="339"/>
      <c r="L29" s="339"/>
      <c r="M29" s="339">
        <f>5556+6870</f>
        <v>12426</v>
      </c>
      <c r="N29" s="339"/>
      <c r="O29" s="675"/>
      <c r="P29" s="282"/>
      <c r="Q29" s="665" t="s">
        <v>785</v>
      </c>
      <c r="R29" s="665"/>
      <c r="S29" s="665"/>
      <c r="T29" s="665"/>
      <c r="U29" s="665"/>
      <c r="V29" s="286"/>
      <c r="W29" s="286"/>
      <c r="X29" s="733"/>
      <c r="Y29" s="302" t="s">
        <v>757</v>
      </c>
      <c r="Z29" s="341">
        <v>4053</v>
      </c>
      <c r="AA29" s="305">
        <f t="shared" ref="AA29:AA31" si="9">(AB29/Z29)-100%</f>
        <v>-5.4527510486059749E-2</v>
      </c>
      <c r="AB29" s="342">
        <v>3832</v>
      </c>
      <c r="AC29" s="341">
        <v>3430</v>
      </c>
      <c r="AD29" s="305">
        <f t="shared" si="8"/>
        <v>0.11720116618075793</v>
      </c>
      <c r="AF29" s="658" t="s">
        <v>667</v>
      </c>
      <c r="AG29" s="658"/>
      <c r="AH29" s="657"/>
      <c r="AI29" s="232"/>
    </row>
    <row r="30" spans="1:35" ht="30.9" customHeight="1" thickTop="1" thickBot="1">
      <c r="A30" s="176">
        <v>46051</v>
      </c>
      <c r="B30" s="177" t="s">
        <v>491</v>
      </c>
      <c r="C30" s="350">
        <v>494687</v>
      </c>
      <c r="D30" s="350">
        <v>463812</v>
      </c>
      <c r="E30" s="183">
        <f>C30-D30</f>
        <v>30875</v>
      </c>
      <c r="F30" s="183">
        <v>0</v>
      </c>
      <c r="G30" s="184">
        <f t="shared" si="2"/>
        <v>912137</v>
      </c>
      <c r="H30" s="710"/>
      <c r="I30" s="339">
        <f t="shared" si="0"/>
        <v>454054</v>
      </c>
      <c r="J30" s="339"/>
      <c r="K30" s="339">
        <v>9758</v>
      </c>
      <c r="L30" s="339"/>
      <c r="M30" s="339"/>
      <c r="N30" s="339"/>
      <c r="O30" s="675"/>
      <c r="P30" s="282"/>
      <c r="Q30" s="739" t="s">
        <v>787</v>
      </c>
      <c r="R30" s="740"/>
      <c r="S30" s="740"/>
      <c r="T30" s="740"/>
      <c r="U30" s="740"/>
      <c r="V30" s="349"/>
      <c r="W30" s="286"/>
      <c r="X30" s="733"/>
      <c r="Y30" s="302" t="s">
        <v>758</v>
      </c>
      <c r="Z30" s="303">
        <v>4284.4302985442882</v>
      </c>
      <c r="AA30" s="305">
        <f t="shared" si="9"/>
        <v>-1.0983051114841214E-3</v>
      </c>
      <c r="AB30" s="304">
        <f>AB26/AB29</f>
        <v>4279.7246868475995</v>
      </c>
      <c r="AC30" s="303">
        <f>AC26/AC29</f>
        <v>5357.5606413994174</v>
      </c>
      <c r="AD30" s="305">
        <f t="shared" si="8"/>
        <v>-0.20118035551908986</v>
      </c>
      <c r="AF30" s="268"/>
      <c r="AG30" s="656"/>
      <c r="AH30" s="657"/>
      <c r="AI30" s="232"/>
    </row>
    <row r="31" spans="1:35" ht="30.9" customHeight="1" thickTop="1" thickBot="1">
      <c r="A31" s="176">
        <v>46052</v>
      </c>
      <c r="B31" s="178" t="s">
        <v>485</v>
      </c>
      <c r="C31" s="350">
        <v>745912</v>
      </c>
      <c r="D31" s="350">
        <v>193461</v>
      </c>
      <c r="E31" s="183">
        <f t="shared" ref="E31" si="10">C31-D31</f>
        <v>552451</v>
      </c>
      <c r="F31" s="183">
        <v>-24</v>
      </c>
      <c r="G31" s="184">
        <f t="shared" si="2"/>
        <v>1464564</v>
      </c>
      <c r="H31" s="710"/>
      <c r="I31" s="339">
        <f t="shared" si="0"/>
        <v>193461</v>
      </c>
      <c r="J31" s="339"/>
      <c r="K31" s="339"/>
      <c r="L31" s="339"/>
      <c r="M31" s="339"/>
      <c r="N31" s="339"/>
      <c r="O31" s="675"/>
      <c r="P31" s="282"/>
      <c r="Q31" s="665"/>
      <c r="R31" s="665"/>
      <c r="S31" s="665"/>
      <c r="T31" s="665"/>
      <c r="U31" s="665"/>
      <c r="V31" s="286"/>
      <c r="W31" s="286"/>
      <c r="X31" s="733"/>
      <c r="Y31" s="302" t="s">
        <v>756</v>
      </c>
      <c r="Z31" s="303">
        <v>560154.70967741939</v>
      </c>
      <c r="AA31" s="305">
        <f t="shared" si="9"/>
        <v>-5.5565927754060551E-2</v>
      </c>
      <c r="AB31" s="304">
        <f>AB26/31</f>
        <v>529029.19354838715</v>
      </c>
      <c r="AC31" s="303">
        <f>AC26/31</f>
        <v>592788.16129032255</v>
      </c>
      <c r="AD31" s="305">
        <f t="shared" si="8"/>
        <v>-0.10755776161782848</v>
      </c>
      <c r="AF31" s="269"/>
      <c r="AG31" s="659"/>
      <c r="AH31" s="660"/>
      <c r="AI31" s="232"/>
    </row>
    <row r="32" spans="1:35" ht="30.9" customHeight="1" thickTop="1" thickBot="1">
      <c r="A32" s="176">
        <v>46053</v>
      </c>
      <c r="B32" s="178" t="s">
        <v>486</v>
      </c>
      <c r="C32" s="350">
        <v>930604</v>
      </c>
      <c r="D32" s="350">
        <v>339058</v>
      </c>
      <c r="E32" s="183">
        <f>C32-D32</f>
        <v>591546</v>
      </c>
      <c r="F32" s="183">
        <v>0</v>
      </c>
      <c r="G32" s="184">
        <f t="shared" si="2"/>
        <v>2056110</v>
      </c>
      <c r="H32" s="710"/>
      <c r="I32" s="339">
        <f t="shared" si="0"/>
        <v>119853</v>
      </c>
      <c r="J32" s="339"/>
      <c r="K32" s="339"/>
      <c r="L32" s="339"/>
      <c r="M32" s="339">
        <v>600</v>
      </c>
      <c r="N32" s="339">
        <f>192550+26055</f>
        <v>218605</v>
      </c>
      <c r="O32" s="675"/>
      <c r="P32" s="348" t="s">
        <v>778</v>
      </c>
      <c r="Q32" s="665"/>
      <c r="R32" s="665"/>
      <c r="S32" s="665"/>
      <c r="T32" s="665"/>
      <c r="U32" s="665"/>
      <c r="V32" s="286"/>
      <c r="W32" s="286"/>
      <c r="X32" s="733"/>
      <c r="AF32" s="269"/>
      <c r="AG32" s="659"/>
      <c r="AH32" s="660"/>
      <c r="AI32" s="232"/>
    </row>
    <row r="33" spans="1:37" ht="30.9" customHeight="1" thickTop="1">
      <c r="A33" s="264"/>
      <c r="B33" s="265"/>
      <c r="C33" s="183"/>
      <c r="D33" s="293">
        <v>100000</v>
      </c>
      <c r="E33" s="293">
        <f t="shared" si="1"/>
        <v>-100000</v>
      </c>
      <c r="F33" s="183"/>
      <c r="G33" s="184">
        <f t="shared" si="2"/>
        <v>1956110</v>
      </c>
      <c r="H33" s="710"/>
      <c r="I33" s="339">
        <f t="shared" si="0"/>
        <v>100000</v>
      </c>
      <c r="J33" s="339"/>
      <c r="K33" s="339"/>
      <c r="L33" s="339"/>
      <c r="M33" s="339"/>
      <c r="N33" s="339"/>
      <c r="O33" s="675"/>
      <c r="P33" s="348" t="s">
        <v>775</v>
      </c>
      <c r="Q33" s="665" t="s">
        <v>776</v>
      </c>
      <c r="R33" s="665"/>
      <c r="S33" s="665"/>
      <c r="T33" s="665"/>
      <c r="U33" s="665"/>
      <c r="V33" s="286"/>
      <c r="W33" s="286"/>
      <c r="X33" s="733"/>
      <c r="AG33" s="81"/>
      <c r="AH33" s="81"/>
    </row>
    <row r="34" spans="1:37" ht="45" customHeight="1">
      <c r="A34" s="672" t="s">
        <v>247</v>
      </c>
      <c r="B34" s="673"/>
      <c r="C34" s="292">
        <f>SUM(C2:C33)</f>
        <v>16399905</v>
      </c>
      <c r="D34" s="292">
        <f>SUM(D2:D33)</f>
        <v>14439925</v>
      </c>
      <c r="E34" s="292">
        <f>SUM(E2:E33)</f>
        <v>1959980</v>
      </c>
      <c r="F34" s="292">
        <f>SUM(F2:F33)</f>
        <v>-3870</v>
      </c>
      <c r="G34" s="184">
        <f>C34-D34+F34</f>
        <v>1956110</v>
      </c>
      <c r="H34" s="710"/>
      <c r="I34" s="340">
        <f>SUM(I2:I33)</f>
        <v>13952120</v>
      </c>
      <c r="J34" s="340">
        <f t="shared" ref="J34:N34" si="11">SUM(J2:J33)</f>
        <v>80191</v>
      </c>
      <c r="K34" s="340">
        <f t="shared" si="11"/>
        <v>43370</v>
      </c>
      <c r="L34" s="340">
        <f t="shared" si="11"/>
        <v>0</v>
      </c>
      <c r="M34" s="340">
        <f t="shared" si="11"/>
        <v>71643</v>
      </c>
      <c r="N34" s="340">
        <f t="shared" si="11"/>
        <v>292601</v>
      </c>
      <c r="O34" s="675"/>
      <c r="X34" s="733"/>
      <c r="AF34" s="674"/>
      <c r="AG34" s="674"/>
      <c r="AH34" s="674"/>
      <c r="AI34" s="674"/>
      <c r="AJ34" s="674"/>
      <c r="AK34" s="674"/>
    </row>
    <row r="35" spans="1:37">
      <c r="A35" s="69"/>
    </row>
    <row r="36" spans="1:37">
      <c r="A36" s="69"/>
    </row>
    <row r="37" spans="1:37">
      <c r="A37" s="69"/>
    </row>
    <row r="38" spans="1:37">
      <c r="A38" s="69"/>
    </row>
    <row r="39" spans="1:37">
      <c r="A39" s="69"/>
    </row>
    <row r="40" spans="1:37" ht="21" customHeight="1">
      <c r="A40" s="69"/>
    </row>
    <row r="41" spans="1:37" ht="23.1" customHeight="1">
      <c r="A41" s="69"/>
    </row>
    <row r="42" spans="1:37">
      <c r="A42" s="69"/>
    </row>
    <row r="43" spans="1:37" ht="29.1" customHeight="1">
      <c r="A43" s="69"/>
    </row>
    <row r="44" spans="1:37" ht="15" customHeight="1">
      <c r="A44" s="69"/>
    </row>
    <row r="45" spans="1:37">
      <c r="A45" s="69"/>
    </row>
    <row r="46" spans="1:37">
      <c r="A46" s="69"/>
    </row>
    <row r="47" spans="1:37">
      <c r="A47" s="69"/>
    </row>
    <row r="48" spans="1:37">
      <c r="A48" s="69"/>
    </row>
    <row r="49" spans="1:1">
      <c r="A49" s="69"/>
    </row>
    <row r="50" spans="1:1">
      <c r="A50" s="69"/>
    </row>
    <row r="51" spans="1:1" ht="18.899999999999999" customHeight="1">
      <c r="A51" s="69"/>
    </row>
  </sheetData>
  <mergeCells count="75">
    <mergeCell ref="Q32:U32"/>
    <mergeCell ref="AG32:AH32"/>
    <mergeCell ref="Q33:U33"/>
    <mergeCell ref="A34:B34"/>
    <mergeCell ref="AF34:AK34"/>
    <mergeCell ref="Q29:U29"/>
    <mergeCell ref="AF29:AH29"/>
    <mergeCell ref="Q30:U30"/>
    <mergeCell ref="AG30:AH30"/>
    <mergeCell ref="Q31:U31"/>
    <mergeCell ref="AG31:AH31"/>
    <mergeCell ref="Q26:U26"/>
    <mergeCell ref="AG26:AH26"/>
    <mergeCell ref="Q27:U27"/>
    <mergeCell ref="AG27:AH27"/>
    <mergeCell ref="Q28:U28"/>
    <mergeCell ref="AG28:AH28"/>
    <mergeCell ref="Y24:AD24"/>
    <mergeCell ref="AF24:AH24"/>
    <mergeCell ref="P25:U25"/>
    <mergeCell ref="Z25:AA25"/>
    <mergeCell ref="AC25:AD25"/>
    <mergeCell ref="AG25:AH25"/>
    <mergeCell ref="P17:U17"/>
    <mergeCell ref="AG17:AH17"/>
    <mergeCell ref="U22:W22"/>
    <mergeCell ref="Y22:AB23"/>
    <mergeCell ref="AC22:AD23"/>
    <mergeCell ref="AF22:AI22"/>
    <mergeCell ref="U23:W23"/>
    <mergeCell ref="U19:W19"/>
    <mergeCell ref="AF19:AH19"/>
    <mergeCell ref="AF20:AH20"/>
    <mergeCell ref="P21:W21"/>
    <mergeCell ref="AF21:AH21"/>
    <mergeCell ref="AF23:AI23"/>
    <mergeCell ref="AF18:AH18"/>
    <mergeCell ref="AF11:AI11"/>
    <mergeCell ref="AF12:AH12"/>
    <mergeCell ref="AF13:AG14"/>
    <mergeCell ref="Y14:AA14"/>
    <mergeCell ref="AC14:AD14"/>
    <mergeCell ref="Y15:AA15"/>
    <mergeCell ref="AB15:AD15"/>
    <mergeCell ref="AF15:AF16"/>
    <mergeCell ref="AG15:AH15"/>
    <mergeCell ref="AG16:AH16"/>
    <mergeCell ref="Y3:AA3"/>
    <mergeCell ref="AB3:AD3"/>
    <mergeCell ref="Y1:AD1"/>
    <mergeCell ref="AF5:AI5"/>
    <mergeCell ref="P6:W6"/>
    <mergeCell ref="AF6:AG6"/>
    <mergeCell ref="AH6:AI6"/>
    <mergeCell ref="AF1:AI1"/>
    <mergeCell ref="P2:W2"/>
    <mergeCell ref="Y2:AA2"/>
    <mergeCell ref="AC2:AD2"/>
    <mergeCell ref="AF2:AI2"/>
    <mergeCell ref="A1:B1"/>
    <mergeCell ref="H1:H34"/>
    <mergeCell ref="O1:O34"/>
    <mergeCell ref="P1:W1"/>
    <mergeCell ref="X1:X34"/>
    <mergeCell ref="P4:Q5"/>
    <mergeCell ref="Q9:W9"/>
    <mergeCell ref="P10:W10"/>
    <mergeCell ref="P11:W11"/>
    <mergeCell ref="T8:W8"/>
    <mergeCell ref="P3:Q3"/>
    <mergeCell ref="U3:W3"/>
    <mergeCell ref="T7:W7"/>
    <mergeCell ref="U18:W18"/>
    <mergeCell ref="P16:R16"/>
    <mergeCell ref="S16:W16"/>
  </mergeCells>
  <conditionalFormatting sqref="J2:N32">
    <cfRule type="cellIs" dxfId="54" priority="1" operator="greaterThan">
      <formula>0</formula>
    </cfRule>
    <cfRule type="cellIs" dxfId="53" priority="2" operator="equal">
      <formula>0</formula>
    </cfRule>
    <cfRule type="cellIs" dxfId="52" priority="3" operator="equal">
      <formula>"¥11.055"</formula>
    </cfRule>
    <cfRule type="cellIs" dxfId="51" priority="4" operator="equal">
      <formula>0</formula>
    </cfRule>
  </conditionalFormatting>
  <conditionalFormatting sqref="M33">
    <cfRule type="cellIs" dxfId="50" priority="6" operator="greaterThan">
      <formula>0</formula>
    </cfRule>
    <cfRule type="cellIs" dxfId="49" priority="7" operator="equal">
      <formula>0</formula>
    </cfRule>
    <cfRule type="cellIs" dxfId="48" priority="8" operator="equal">
      <formula>"¥11.055"</formula>
    </cfRule>
    <cfRule type="cellIs" dxfId="47" priority="9" operator="equal">
      <formula>0</formula>
    </cfRule>
  </conditionalFormatting>
  <conditionalFormatting sqref="AI12:AI18">
    <cfRule type="cellIs" dxfId="46" priority="5" operator="greaterThan">
      <formula>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90607-1D56-46C7-9953-18FB58BB8183}">
  <dimension ref="A1:AK51"/>
  <sheetViews>
    <sheetView zoomScaleNormal="100" workbookViewId="0">
      <pane ySplit="1" topLeftCell="A2" activePane="bottomLeft" state="frozen"/>
      <selection pane="bottomLeft" activeCell="AC13" sqref="AC13"/>
    </sheetView>
  </sheetViews>
  <sheetFormatPr defaultColWidth="10.6328125" defaultRowHeight="18"/>
  <cols>
    <col min="1" max="1" width="5.90625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5.81640625" style="69" customWidth="1"/>
    <col min="7" max="7" width="14.81640625" style="69" customWidth="1"/>
    <col min="8" max="8" width="4.1796875" style="69" customWidth="1"/>
    <col min="9" max="14" width="11.90625" style="69" customWidth="1"/>
    <col min="15" max="15" width="3" style="69" customWidth="1"/>
    <col min="16" max="23" width="8.26953125" style="69" customWidth="1"/>
    <col min="24" max="24" width="4.54296875" style="69" customWidth="1"/>
    <col min="25" max="25" width="13.1796875" style="69" customWidth="1"/>
    <col min="26" max="26" width="13.1796875" style="296" customWidth="1"/>
    <col min="27" max="27" width="5.81640625" style="297" customWidth="1"/>
    <col min="28" max="28" width="13.1796875" style="69" customWidth="1"/>
    <col min="29" max="29" width="13.81640625" style="296" customWidth="1"/>
    <col min="30" max="30" width="4.90625" style="297" customWidth="1"/>
    <col min="31" max="31" width="10.81640625" style="296" customWidth="1"/>
    <col min="32" max="33" width="7" style="69" customWidth="1"/>
    <col min="34" max="34" width="11.453125" style="69" customWidth="1"/>
    <col min="35" max="35" width="21" style="69" customWidth="1"/>
    <col min="36" max="16384" width="10.6328125" style="69"/>
  </cols>
  <sheetData>
    <row r="1" spans="1:35" ht="38.25" customHeight="1" thickTop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220" t="s">
        <v>464</v>
      </c>
      <c r="H1" s="710"/>
      <c r="I1" s="338" t="s">
        <v>705</v>
      </c>
      <c r="J1" s="338" t="s">
        <v>741</v>
      </c>
      <c r="K1" s="338" t="s">
        <v>707</v>
      </c>
      <c r="L1" s="338" t="s">
        <v>708</v>
      </c>
      <c r="M1" s="338" t="s">
        <v>710</v>
      </c>
      <c r="N1" s="338" t="s">
        <v>742</v>
      </c>
      <c r="O1" s="675"/>
      <c r="P1" s="723" t="s">
        <v>800</v>
      </c>
      <c r="Q1" s="723"/>
      <c r="R1" s="723"/>
      <c r="S1" s="723"/>
      <c r="T1" s="723"/>
      <c r="U1" s="723"/>
      <c r="V1" s="723"/>
      <c r="W1" s="723"/>
      <c r="X1" s="733"/>
      <c r="Y1" s="676" t="s">
        <v>718</v>
      </c>
      <c r="Z1" s="677"/>
      <c r="AA1" s="677"/>
      <c r="AB1" s="677"/>
      <c r="AC1" s="677"/>
      <c r="AD1" s="678"/>
      <c r="AE1" s="281"/>
      <c r="AF1" s="631" t="s">
        <v>642</v>
      </c>
      <c r="AG1" s="632"/>
      <c r="AH1" s="632"/>
      <c r="AI1" s="632"/>
    </row>
    <row r="2" spans="1:35" ht="30.9" customHeight="1" thickTop="1" thickBot="1">
      <c r="A2" s="176">
        <v>46054</v>
      </c>
      <c r="B2" s="178" t="s">
        <v>487</v>
      </c>
      <c r="C2" s="183">
        <v>537532</v>
      </c>
      <c r="D2" s="183">
        <v>277542</v>
      </c>
      <c r="E2" s="183">
        <f>C2-D2</f>
        <v>259990</v>
      </c>
      <c r="F2" s="183">
        <v>-220</v>
      </c>
      <c r="G2" s="221">
        <f>E2+F2</f>
        <v>259770</v>
      </c>
      <c r="H2" s="710"/>
      <c r="I2" s="339">
        <f t="shared" ref="I2:I33" si="0">D2-SUM(J2:N2)</f>
        <v>277542</v>
      </c>
      <c r="J2" s="339"/>
      <c r="K2" s="339"/>
      <c r="L2" s="339"/>
      <c r="M2" s="339"/>
      <c r="N2" s="339"/>
      <c r="O2" s="675"/>
      <c r="P2" s="709" t="s">
        <v>249</v>
      </c>
      <c r="Q2" s="709"/>
      <c r="R2" s="709"/>
      <c r="S2" s="709"/>
      <c r="T2" s="709"/>
      <c r="U2" s="709"/>
      <c r="V2" s="709"/>
      <c r="W2" s="709"/>
      <c r="X2" s="733"/>
      <c r="Y2" s="734" t="s">
        <v>711</v>
      </c>
      <c r="Z2" s="725"/>
      <c r="AA2" s="726"/>
      <c r="AB2" s="346">
        <f>AC13+Z13</f>
        <v>13571854</v>
      </c>
      <c r="AC2" s="681">
        <f>AA13+AD13</f>
        <v>0.9509869293246267</v>
      </c>
      <c r="AD2" s="682"/>
      <c r="AE2" s="81"/>
      <c r="AF2" s="627" t="s">
        <v>638</v>
      </c>
      <c r="AG2" s="628"/>
      <c r="AH2" s="628"/>
      <c r="AI2" s="628"/>
    </row>
    <row r="3" spans="1:35" ht="30.9" customHeight="1" thickTop="1" thickBot="1">
      <c r="A3" s="176">
        <v>46055</v>
      </c>
      <c r="B3" s="177" t="s">
        <v>488</v>
      </c>
      <c r="C3" s="183">
        <v>168928</v>
      </c>
      <c r="D3" s="183">
        <v>446254</v>
      </c>
      <c r="E3" s="183">
        <f t="shared" ref="E3:E33" si="1">C3-D3</f>
        <v>-277326</v>
      </c>
      <c r="F3" s="183">
        <v>0</v>
      </c>
      <c r="G3" s="221">
        <f t="shared" ref="G3:G33" si="2">G2+E3+F3</f>
        <v>-17556</v>
      </c>
      <c r="H3" s="710"/>
      <c r="I3" s="339">
        <f t="shared" si="0"/>
        <v>439258</v>
      </c>
      <c r="J3" s="339"/>
      <c r="K3" s="339"/>
      <c r="L3" s="339"/>
      <c r="M3" s="339">
        <f>200+6796</f>
        <v>6996</v>
      </c>
      <c r="N3" s="339"/>
      <c r="O3" s="675"/>
      <c r="P3" s="725" t="s">
        <v>769</v>
      </c>
      <c r="Q3" s="726"/>
      <c r="R3" s="222" t="s">
        <v>251</v>
      </c>
      <c r="S3" s="222" t="s">
        <v>252</v>
      </c>
      <c r="T3" s="222" t="s">
        <v>449</v>
      </c>
      <c r="U3" s="659" t="s">
        <v>773</v>
      </c>
      <c r="V3" s="724"/>
      <c r="W3" s="724"/>
      <c r="X3" s="733"/>
      <c r="Y3" s="713" t="s">
        <v>713</v>
      </c>
      <c r="Z3" s="714"/>
      <c r="AA3" s="714"/>
      <c r="AB3" s="715" t="s">
        <v>712</v>
      </c>
      <c r="AC3" s="715"/>
      <c r="AD3" s="716"/>
      <c r="AE3" s="81"/>
      <c r="AF3" s="246"/>
      <c r="AG3" s="247"/>
      <c r="AH3" s="247"/>
      <c r="AI3" s="247"/>
    </row>
    <row r="4" spans="1:35" ht="30.9" customHeight="1" thickTop="1" thickBot="1">
      <c r="A4" s="176">
        <v>46056</v>
      </c>
      <c r="B4" s="177" t="s">
        <v>489</v>
      </c>
      <c r="C4" s="183">
        <v>371984</v>
      </c>
      <c r="D4" s="183">
        <v>391992</v>
      </c>
      <c r="E4" s="183">
        <f t="shared" si="1"/>
        <v>-20008</v>
      </c>
      <c r="F4" s="183">
        <v>-442</v>
      </c>
      <c r="G4" s="221">
        <f t="shared" si="2"/>
        <v>-38006</v>
      </c>
      <c r="H4" s="710"/>
      <c r="I4" s="339">
        <f t="shared" si="0"/>
        <v>389472</v>
      </c>
      <c r="J4" s="339"/>
      <c r="K4" s="339"/>
      <c r="L4" s="339"/>
      <c r="M4" s="339">
        <f>2200+320</f>
        <v>2520</v>
      </c>
      <c r="N4" s="339"/>
      <c r="O4" s="675"/>
      <c r="P4" s="727">
        <f>C34</f>
        <v>14271336</v>
      </c>
      <c r="Q4" s="728"/>
      <c r="R4" s="224">
        <v>0</v>
      </c>
      <c r="S4" s="224">
        <v>0</v>
      </c>
      <c r="T4" s="224">
        <f>-F34</f>
        <v>3993</v>
      </c>
      <c r="U4" s="224">
        <v>34877</v>
      </c>
      <c r="V4" s="306"/>
      <c r="W4" s="306"/>
      <c r="X4" s="733"/>
      <c r="Y4" s="319" t="s">
        <v>714</v>
      </c>
      <c r="Z4" s="243">
        <v>192550</v>
      </c>
      <c r="AA4" s="312">
        <f>Z4/$P$4</f>
        <v>1.3492079508183397E-2</v>
      </c>
      <c r="AB4" s="328" t="s">
        <v>719</v>
      </c>
      <c r="AC4" s="243">
        <f>Q8</f>
        <v>927050</v>
      </c>
      <c r="AD4" s="313">
        <f>AC4/$P$4</f>
        <v>6.4958879813354548E-2</v>
      </c>
      <c r="AF4" s="249"/>
      <c r="AG4" s="250"/>
      <c r="AH4" s="250"/>
      <c r="AI4" s="250"/>
    </row>
    <row r="5" spans="1:35" ht="30.9" customHeight="1" thickTop="1" thickBot="1">
      <c r="A5" s="176">
        <v>46057</v>
      </c>
      <c r="B5" s="177" t="s">
        <v>490</v>
      </c>
      <c r="C5" s="183">
        <v>237183</v>
      </c>
      <c r="D5" s="183">
        <v>1017170</v>
      </c>
      <c r="E5" s="183">
        <f t="shared" si="1"/>
        <v>-779987</v>
      </c>
      <c r="F5" s="183">
        <v>-33</v>
      </c>
      <c r="G5" s="221">
        <f t="shared" si="2"/>
        <v>-818026</v>
      </c>
      <c r="H5" s="710"/>
      <c r="I5" s="339">
        <f t="shared" si="0"/>
        <v>1017170</v>
      </c>
      <c r="J5" s="339"/>
      <c r="K5" s="339"/>
      <c r="L5" s="339"/>
      <c r="M5" s="339"/>
      <c r="N5" s="339"/>
      <c r="O5" s="675"/>
      <c r="P5" s="729"/>
      <c r="Q5" s="730"/>
      <c r="R5" s="225">
        <f>R4/P4</f>
        <v>0</v>
      </c>
      <c r="S5" s="225">
        <f>S4/P4</f>
        <v>0</v>
      </c>
      <c r="T5" s="226">
        <f>T4/P4</f>
        <v>2.7979160465425239E-4</v>
      </c>
      <c r="U5" s="226">
        <f>U4/P4</f>
        <v>2.443849685831796E-3</v>
      </c>
      <c r="V5" s="307"/>
      <c r="W5" s="307"/>
      <c r="X5" s="733"/>
      <c r="Y5" s="319" t="s">
        <v>715</v>
      </c>
      <c r="Z5" s="243">
        <v>26055</v>
      </c>
      <c r="AA5" s="312">
        <f t="shared" ref="AA5:AA12" si="3">Z5/$P$4</f>
        <v>1.8256875179730896E-3</v>
      </c>
      <c r="AB5" s="328" t="s">
        <v>720</v>
      </c>
      <c r="AC5" s="243">
        <f>SUM(P14:W14)</f>
        <v>0</v>
      </c>
      <c r="AD5" s="313">
        <f t="shared" ref="AD5:AD12" si="4">AC5/$P$4</f>
        <v>0</v>
      </c>
      <c r="AF5" s="654" t="s">
        <v>639</v>
      </c>
      <c r="AG5" s="655"/>
      <c r="AH5" s="655"/>
      <c r="AI5" s="655"/>
    </row>
    <row r="6" spans="1:35" ht="30.9" customHeight="1" thickTop="1" thickBot="1">
      <c r="A6" s="176">
        <v>46058</v>
      </c>
      <c r="B6" s="177" t="s">
        <v>491</v>
      </c>
      <c r="C6" s="183">
        <v>389672</v>
      </c>
      <c r="D6" s="183">
        <v>299254</v>
      </c>
      <c r="E6" s="183">
        <f t="shared" si="1"/>
        <v>90418</v>
      </c>
      <c r="F6" s="183">
        <v>-210</v>
      </c>
      <c r="G6" s="221">
        <f t="shared" si="2"/>
        <v>-727818</v>
      </c>
      <c r="H6" s="710"/>
      <c r="I6" s="339">
        <f t="shared" si="0"/>
        <v>298704</v>
      </c>
      <c r="J6" s="339"/>
      <c r="K6" s="339"/>
      <c r="L6" s="339"/>
      <c r="M6" s="339"/>
      <c r="N6" s="339">
        <v>550</v>
      </c>
      <c r="O6" s="675"/>
      <c r="P6" s="702" t="s">
        <v>250</v>
      </c>
      <c r="Q6" s="702"/>
      <c r="R6" s="702"/>
      <c r="S6" s="702"/>
      <c r="T6" s="702"/>
      <c r="U6" s="702"/>
      <c r="V6" s="702"/>
      <c r="W6" s="702"/>
      <c r="X6" s="733"/>
      <c r="Y6" s="319" t="s">
        <v>716</v>
      </c>
      <c r="Z6" s="243">
        <v>6080</v>
      </c>
      <c r="AA6" s="312">
        <f t="shared" si="3"/>
        <v>4.2602878945601169E-4</v>
      </c>
      <c r="AB6" s="328" t="s">
        <v>721</v>
      </c>
      <c r="AC6" s="243">
        <v>65089</v>
      </c>
      <c r="AD6" s="313">
        <f t="shared" si="4"/>
        <v>4.5608203744905169E-3</v>
      </c>
      <c r="AF6" s="630" t="s">
        <v>231</v>
      </c>
      <c r="AG6" s="630"/>
      <c r="AH6" s="490"/>
      <c r="AI6" s="490"/>
    </row>
    <row r="7" spans="1:35" ht="30.9" customHeight="1" thickTop="1" thickBot="1">
      <c r="A7" s="176">
        <v>46059</v>
      </c>
      <c r="B7" s="178" t="s">
        <v>485</v>
      </c>
      <c r="C7" s="183">
        <v>541482</v>
      </c>
      <c r="D7" s="183">
        <v>372770</v>
      </c>
      <c r="E7" s="183">
        <f t="shared" si="1"/>
        <v>168712</v>
      </c>
      <c r="F7" s="183">
        <v>-440</v>
      </c>
      <c r="G7" s="221">
        <f t="shared" si="2"/>
        <v>-559546</v>
      </c>
      <c r="H7" s="710"/>
      <c r="I7" s="339">
        <f t="shared" si="0"/>
        <v>370060</v>
      </c>
      <c r="J7" s="339"/>
      <c r="K7" s="339"/>
      <c r="L7" s="339"/>
      <c r="M7" s="339">
        <v>2710</v>
      </c>
      <c r="N7" s="339"/>
      <c r="O7" s="675"/>
      <c r="P7" s="329" t="s">
        <v>705</v>
      </c>
      <c r="Q7" s="290" t="s">
        <v>253</v>
      </c>
      <c r="R7" s="288" t="s">
        <v>624</v>
      </c>
      <c r="S7" s="222"/>
      <c r="T7" s="703" t="s">
        <v>247</v>
      </c>
      <c r="U7" s="704"/>
      <c r="V7" s="704"/>
      <c r="W7" s="704"/>
      <c r="X7" s="733"/>
      <c r="Y7" s="319" t="s">
        <v>717</v>
      </c>
      <c r="Z7" s="243">
        <f>S19</f>
        <v>46990</v>
      </c>
      <c r="AA7" s="312">
        <f t="shared" si="3"/>
        <v>3.2926139500884851E-3</v>
      </c>
      <c r="AB7" s="328" t="s">
        <v>722</v>
      </c>
      <c r="AC7" s="243">
        <v>3407</v>
      </c>
      <c r="AD7" s="313">
        <f t="shared" si="4"/>
        <v>2.3873027724944602E-4</v>
      </c>
      <c r="AF7" s="242" t="s">
        <v>640</v>
      </c>
      <c r="AG7" s="243">
        <v>300000</v>
      </c>
    </row>
    <row r="8" spans="1:35" ht="30.9" customHeight="1" thickTop="1" thickBot="1">
      <c r="A8" s="176">
        <v>46060</v>
      </c>
      <c r="B8" s="178" t="s">
        <v>486</v>
      </c>
      <c r="C8" s="183">
        <v>708091</v>
      </c>
      <c r="D8" s="183">
        <v>260696</v>
      </c>
      <c r="E8" s="183">
        <f t="shared" si="1"/>
        <v>447395</v>
      </c>
      <c r="F8" s="183">
        <v>-25</v>
      </c>
      <c r="G8" s="221">
        <f t="shared" si="2"/>
        <v>-112176</v>
      </c>
      <c r="H8" s="710"/>
      <c r="I8" s="339">
        <f t="shared" si="0"/>
        <v>260696</v>
      </c>
      <c r="J8" s="339"/>
      <c r="K8" s="339"/>
      <c r="L8" s="339"/>
      <c r="M8" s="339"/>
      <c r="N8" s="339"/>
      <c r="O8" s="675"/>
      <c r="P8" s="330">
        <f>D34</f>
        <v>12530448</v>
      </c>
      <c r="Q8" s="291">
        <f>S16</f>
        <v>927050</v>
      </c>
      <c r="R8" s="289">
        <f>U19</f>
        <v>272340</v>
      </c>
      <c r="S8" s="229"/>
      <c r="T8" s="705">
        <f>SUM(P8:S8)</f>
        <v>13729838</v>
      </c>
      <c r="U8" s="706"/>
      <c r="V8" s="706"/>
      <c r="W8" s="706"/>
      <c r="X8" s="733"/>
      <c r="Y8" s="319" t="s">
        <v>723</v>
      </c>
      <c r="Z8" s="243">
        <v>5500</v>
      </c>
      <c r="AA8" s="312">
        <f t="shared" si="3"/>
        <v>3.8538788519869478E-4</v>
      </c>
      <c r="AB8" s="328" t="s">
        <v>708</v>
      </c>
      <c r="AC8" s="243">
        <f>L34</f>
        <v>0</v>
      </c>
      <c r="AD8" s="313">
        <f t="shared" si="4"/>
        <v>0</v>
      </c>
      <c r="AF8" s="242" t="s">
        <v>641</v>
      </c>
      <c r="AG8" s="243">
        <v>55000</v>
      </c>
    </row>
    <row r="9" spans="1:35" ht="30.9" customHeight="1" thickTop="1" thickBot="1">
      <c r="A9" s="176">
        <v>46061</v>
      </c>
      <c r="B9" s="178" t="s">
        <v>487</v>
      </c>
      <c r="C9" s="183">
        <v>320803</v>
      </c>
      <c r="D9" s="183">
        <v>244744</v>
      </c>
      <c r="E9" s="183">
        <f t="shared" si="1"/>
        <v>76059</v>
      </c>
      <c r="F9" s="183">
        <v>0</v>
      </c>
      <c r="G9" s="221">
        <f t="shared" si="2"/>
        <v>-36117</v>
      </c>
      <c r="H9" s="710"/>
      <c r="I9" s="339">
        <f t="shared" si="0"/>
        <v>244744</v>
      </c>
      <c r="J9" s="339"/>
      <c r="K9" s="339"/>
      <c r="L9" s="339"/>
      <c r="M9" s="339"/>
      <c r="N9" s="339"/>
      <c r="O9" s="675"/>
      <c r="P9" s="331" t="s">
        <v>266</v>
      </c>
      <c r="Q9" s="731">
        <f>P4-T8-U4-T4</f>
        <v>502628</v>
      </c>
      <c r="R9" s="732"/>
      <c r="S9" s="732"/>
      <c r="T9" s="732"/>
      <c r="U9" s="732"/>
      <c r="V9" s="732"/>
      <c r="W9" s="732"/>
      <c r="X9" s="733"/>
      <c r="Y9" s="319" t="s">
        <v>724</v>
      </c>
      <c r="Z9" s="243">
        <v>0</v>
      </c>
      <c r="AA9" s="312">
        <f t="shared" si="3"/>
        <v>0</v>
      </c>
      <c r="AB9" s="328" t="s">
        <v>707</v>
      </c>
      <c r="AC9" s="243">
        <f>K34</f>
        <v>58303</v>
      </c>
      <c r="AD9" s="313">
        <f t="shared" si="4"/>
        <v>4.0853217946799098E-3</v>
      </c>
      <c r="AF9" s="241" t="s">
        <v>495</v>
      </c>
      <c r="AG9" s="243">
        <v>35000</v>
      </c>
    </row>
    <row r="10" spans="1:35" ht="30.9" customHeight="1" thickTop="1" thickBot="1">
      <c r="A10" s="176">
        <v>46062</v>
      </c>
      <c r="B10" s="177" t="s">
        <v>488</v>
      </c>
      <c r="C10" s="183">
        <v>298402</v>
      </c>
      <c r="D10" s="183">
        <v>111660</v>
      </c>
      <c r="E10" s="183">
        <f t="shared" si="1"/>
        <v>186742</v>
      </c>
      <c r="F10" s="183">
        <v>0</v>
      </c>
      <c r="G10" s="221">
        <f t="shared" si="2"/>
        <v>150625</v>
      </c>
      <c r="H10" s="710"/>
      <c r="I10" s="339">
        <f t="shared" si="0"/>
        <v>111660</v>
      </c>
      <c r="J10" s="339"/>
      <c r="K10" s="339"/>
      <c r="L10" s="339"/>
      <c r="M10" s="339"/>
      <c r="N10" s="339"/>
      <c r="O10" s="675"/>
      <c r="P10" s="708" t="s">
        <v>257</v>
      </c>
      <c r="Q10" s="708"/>
      <c r="R10" s="708"/>
      <c r="S10" s="708"/>
      <c r="T10" s="708"/>
      <c r="U10" s="708"/>
      <c r="V10" s="708"/>
      <c r="W10" s="708"/>
      <c r="X10" s="733"/>
      <c r="Y10" s="319" t="s">
        <v>743</v>
      </c>
      <c r="Z10" s="243">
        <v>0</v>
      </c>
      <c r="AA10" s="312">
        <f t="shared" si="3"/>
        <v>0</v>
      </c>
      <c r="AB10" s="328" t="s">
        <v>706</v>
      </c>
      <c r="AC10" s="243">
        <f>J34</f>
        <v>57532</v>
      </c>
      <c r="AD10" s="313">
        <f t="shared" si="4"/>
        <v>4.0312974202275104E-3</v>
      </c>
      <c r="AF10" s="244" t="s">
        <v>73</v>
      </c>
      <c r="AG10" s="245">
        <f>SUM(AG7:AG9)</f>
        <v>390000</v>
      </c>
      <c r="AH10" s="252"/>
      <c r="AI10" s="252"/>
    </row>
    <row r="11" spans="1:35" ht="30.9" customHeight="1" thickTop="1" thickBot="1">
      <c r="A11" s="176">
        <v>46063</v>
      </c>
      <c r="B11" s="177" t="s">
        <v>489</v>
      </c>
      <c r="C11" s="183">
        <v>608280</v>
      </c>
      <c r="D11" s="183">
        <v>67496</v>
      </c>
      <c r="E11" s="183">
        <f t="shared" si="1"/>
        <v>540784</v>
      </c>
      <c r="F11" s="183">
        <v>-72</v>
      </c>
      <c r="G11" s="221">
        <f t="shared" si="2"/>
        <v>691337</v>
      </c>
      <c r="H11" s="710"/>
      <c r="I11" s="339">
        <f t="shared" si="0"/>
        <v>51060</v>
      </c>
      <c r="J11" s="339">
        <f>7401+6405</f>
        <v>13806</v>
      </c>
      <c r="K11" s="339"/>
      <c r="L11" s="339"/>
      <c r="M11" s="339">
        <v>2630</v>
      </c>
      <c r="N11" s="339"/>
      <c r="O11" s="675"/>
      <c r="P11" s="707" t="s">
        <v>477</v>
      </c>
      <c r="Q11" s="707"/>
      <c r="R11" s="707"/>
      <c r="S11" s="707"/>
      <c r="T11" s="707"/>
      <c r="U11" s="707"/>
      <c r="V11" s="707"/>
      <c r="W11" s="707"/>
      <c r="X11" s="733"/>
      <c r="Y11" s="319" t="s">
        <v>744</v>
      </c>
      <c r="Z11" s="352">
        <v>0</v>
      </c>
      <c r="AA11" s="312">
        <f t="shared" si="3"/>
        <v>0</v>
      </c>
      <c r="AB11" s="328" t="s">
        <v>705</v>
      </c>
      <c r="AC11" s="243">
        <f>I34</f>
        <v>11807899</v>
      </c>
      <c r="AD11" s="313">
        <f t="shared" si="4"/>
        <v>0.82738567713632416</v>
      </c>
      <c r="AF11" s="647" t="s">
        <v>643</v>
      </c>
      <c r="AG11" s="647"/>
      <c r="AH11" s="647"/>
      <c r="AI11" s="647"/>
    </row>
    <row r="12" spans="1:35" ht="30.9" customHeight="1" thickTop="1" thickBot="1">
      <c r="A12" s="176">
        <v>46064</v>
      </c>
      <c r="B12" s="177" t="s">
        <v>490</v>
      </c>
      <c r="C12" s="183">
        <v>718402</v>
      </c>
      <c r="D12" s="183">
        <v>486055</v>
      </c>
      <c r="E12" s="183">
        <f t="shared" si="1"/>
        <v>232347</v>
      </c>
      <c r="F12" s="183">
        <v>-224</v>
      </c>
      <c r="G12" s="221">
        <f t="shared" si="2"/>
        <v>923460</v>
      </c>
      <c r="H12" s="710"/>
      <c r="I12" s="339">
        <f t="shared" si="0"/>
        <v>472571</v>
      </c>
      <c r="J12" s="339"/>
      <c r="K12" s="339">
        <v>13164</v>
      </c>
      <c r="L12" s="339"/>
      <c r="M12" s="339">
        <v>320</v>
      </c>
      <c r="N12" s="339"/>
      <c r="O12" s="675"/>
      <c r="P12" s="269" t="s">
        <v>478</v>
      </c>
      <c r="Q12" s="229" t="s">
        <v>479</v>
      </c>
      <c r="R12" s="229" t="s">
        <v>480</v>
      </c>
      <c r="S12" s="229" t="s">
        <v>455</v>
      </c>
      <c r="T12" s="229" t="s">
        <v>468</v>
      </c>
      <c r="U12" s="258" t="s">
        <v>230</v>
      </c>
      <c r="V12" s="308" t="s">
        <v>670</v>
      </c>
      <c r="W12" s="308" t="s">
        <v>788</v>
      </c>
      <c r="X12" s="733"/>
      <c r="Y12" s="345" t="s">
        <v>771</v>
      </c>
      <c r="Z12" s="243">
        <v>0</v>
      </c>
      <c r="AA12" s="312">
        <f t="shared" si="3"/>
        <v>0</v>
      </c>
      <c r="AB12" s="328" t="s">
        <v>725</v>
      </c>
      <c r="AC12" s="243">
        <f>M34</f>
        <v>375399</v>
      </c>
      <c r="AD12" s="313">
        <f t="shared" si="4"/>
        <v>2.6304404857400876E-2</v>
      </c>
      <c r="AF12" s="650" t="s">
        <v>644</v>
      </c>
      <c r="AG12" s="650"/>
      <c r="AH12" s="650"/>
      <c r="AI12" s="229">
        <v>0</v>
      </c>
    </row>
    <row r="13" spans="1:35" ht="30.9" customHeight="1" thickTop="1" thickBot="1">
      <c r="A13" s="176">
        <v>46065</v>
      </c>
      <c r="B13" s="177" t="s">
        <v>491</v>
      </c>
      <c r="C13" s="183">
        <v>656342</v>
      </c>
      <c r="D13" s="183">
        <v>573604</v>
      </c>
      <c r="E13" s="183">
        <f t="shared" si="1"/>
        <v>82738</v>
      </c>
      <c r="F13" s="183">
        <v>0</v>
      </c>
      <c r="G13" s="221">
        <f t="shared" si="2"/>
        <v>1006198</v>
      </c>
      <c r="H13" s="710"/>
      <c r="I13" s="339">
        <f t="shared" si="0"/>
        <v>271554</v>
      </c>
      <c r="J13" s="339"/>
      <c r="K13" s="339"/>
      <c r="L13" s="339"/>
      <c r="M13" s="339">
        <v>302050</v>
      </c>
      <c r="N13" s="339"/>
      <c r="O13" s="675"/>
      <c r="P13" s="332">
        <f>AG10-75000-100000</f>
        <v>215000</v>
      </c>
      <c r="Q13" s="229">
        <f>99.5*1100</f>
        <v>109450</v>
      </c>
      <c r="R13" s="229">
        <v>0</v>
      </c>
      <c r="S13" s="229">
        <f>62.5*1100</f>
        <v>68750</v>
      </c>
      <c r="T13" s="229">
        <f>95*1100</f>
        <v>104500</v>
      </c>
      <c r="U13" s="229">
        <v>80000</v>
      </c>
      <c r="V13" s="266">
        <f>83*1100</f>
        <v>91300</v>
      </c>
      <c r="W13" s="266">
        <f>75.5*1100</f>
        <v>83050</v>
      </c>
      <c r="X13" s="733"/>
      <c r="Y13" s="311" t="s">
        <v>709</v>
      </c>
      <c r="Z13" s="317">
        <f>SUM(Z4:Z12)</f>
        <v>277175</v>
      </c>
      <c r="AA13" s="312">
        <f>SUM(AA4:AA12)</f>
        <v>1.9421797650899679E-2</v>
      </c>
      <c r="AB13" s="327" t="s">
        <v>709</v>
      </c>
      <c r="AC13" s="317">
        <f>SUM(AC4:AC12)</f>
        <v>13294679</v>
      </c>
      <c r="AD13" s="313">
        <f>SUM(AD4:AD12)</f>
        <v>0.93156513167372701</v>
      </c>
      <c r="AF13" s="650" t="s">
        <v>645</v>
      </c>
      <c r="AG13" s="650"/>
      <c r="AH13" s="261" t="s">
        <v>646</v>
      </c>
      <c r="AI13" s="229">
        <v>1900000</v>
      </c>
    </row>
    <row r="14" spans="1:35" ht="30.9" customHeight="1" thickTop="1" thickBot="1">
      <c r="A14" s="176">
        <v>46066</v>
      </c>
      <c r="B14" s="178" t="s">
        <v>485</v>
      </c>
      <c r="C14" s="183">
        <v>949589</v>
      </c>
      <c r="D14" s="183">
        <v>745546</v>
      </c>
      <c r="E14" s="183">
        <f t="shared" si="1"/>
        <v>204043</v>
      </c>
      <c r="F14" s="183">
        <v>-177</v>
      </c>
      <c r="G14" s="221">
        <f t="shared" si="2"/>
        <v>1210064</v>
      </c>
      <c r="H14" s="710"/>
      <c r="I14" s="339">
        <f t="shared" si="0"/>
        <v>739646</v>
      </c>
      <c r="J14" s="339">
        <v>5000</v>
      </c>
      <c r="K14" s="339"/>
      <c r="L14" s="339"/>
      <c r="M14" s="339">
        <f>600+300</f>
        <v>900</v>
      </c>
      <c r="N14" s="339"/>
      <c r="O14" s="675"/>
      <c r="P14" s="333">
        <v>0</v>
      </c>
      <c r="Q14" s="287">
        <v>0</v>
      </c>
      <c r="R14" s="287">
        <v>0</v>
      </c>
      <c r="S14" s="287">
        <v>0</v>
      </c>
      <c r="T14" s="287">
        <v>0</v>
      </c>
      <c r="U14" s="287">
        <v>0</v>
      </c>
      <c r="V14" s="287">
        <v>0</v>
      </c>
      <c r="W14" s="287">
        <v>0</v>
      </c>
      <c r="X14" s="733"/>
      <c r="Y14" s="735" t="s">
        <v>726</v>
      </c>
      <c r="Z14" s="736"/>
      <c r="AA14" s="737"/>
      <c r="AB14" s="347">
        <f>Z21+AC21</f>
        <v>198009</v>
      </c>
      <c r="AC14" s="681">
        <f>AA21+AD21</f>
        <v>1.3874594501874246E-2</v>
      </c>
      <c r="AD14" s="682"/>
      <c r="AE14" s="81"/>
      <c r="AF14" s="650"/>
      <c r="AG14" s="650"/>
      <c r="AH14" s="261" t="s">
        <v>647</v>
      </c>
      <c r="AI14" s="229">
        <v>0</v>
      </c>
    </row>
    <row r="15" spans="1:35" ht="30.9" customHeight="1" thickTop="1" thickBot="1">
      <c r="A15" s="176">
        <v>46067</v>
      </c>
      <c r="B15" s="178" t="s">
        <v>486</v>
      </c>
      <c r="C15" s="183">
        <v>798677</v>
      </c>
      <c r="D15" s="183">
        <v>1318435</v>
      </c>
      <c r="E15" s="183">
        <f t="shared" si="1"/>
        <v>-519758</v>
      </c>
      <c r="F15" s="183">
        <v>-410</v>
      </c>
      <c r="G15" s="221">
        <f t="shared" si="2"/>
        <v>689896</v>
      </c>
      <c r="H15" s="710"/>
      <c r="I15" s="339">
        <f t="shared" si="0"/>
        <v>1318435</v>
      </c>
      <c r="J15" s="339"/>
      <c r="K15" s="339"/>
      <c r="L15" s="339"/>
      <c r="M15" s="339"/>
      <c r="N15" s="339"/>
      <c r="O15" s="675"/>
      <c r="P15" s="334">
        <f>SUM(P13:P14)</f>
        <v>215000</v>
      </c>
      <c r="Q15" s="234">
        <f t="shared" ref="Q15:W15" si="5">SUM(Q13:Q14)</f>
        <v>109450</v>
      </c>
      <c r="R15" s="234">
        <f t="shared" si="5"/>
        <v>0</v>
      </c>
      <c r="S15" s="234">
        <f t="shared" si="5"/>
        <v>68750</v>
      </c>
      <c r="T15" s="234">
        <f t="shared" si="5"/>
        <v>104500</v>
      </c>
      <c r="U15" s="234">
        <f t="shared" si="5"/>
        <v>80000</v>
      </c>
      <c r="V15" s="234">
        <f t="shared" si="5"/>
        <v>91300</v>
      </c>
      <c r="W15" s="260">
        <f t="shared" si="5"/>
        <v>83050</v>
      </c>
      <c r="X15" s="733"/>
      <c r="Y15" s="719" t="s">
        <v>729</v>
      </c>
      <c r="Z15" s="720"/>
      <c r="AA15" s="720"/>
      <c r="AB15" s="717" t="s">
        <v>730</v>
      </c>
      <c r="AC15" s="717"/>
      <c r="AD15" s="718"/>
      <c r="AE15" s="81"/>
      <c r="AF15" s="650" t="s">
        <v>648</v>
      </c>
      <c r="AG15" s="650" t="s">
        <v>649</v>
      </c>
      <c r="AH15" s="650"/>
      <c r="AI15" s="229">
        <v>10000</v>
      </c>
    </row>
    <row r="16" spans="1:35" ht="30.9" customHeight="1" thickTop="1" thickBot="1">
      <c r="A16" s="176">
        <v>46068</v>
      </c>
      <c r="B16" s="178" t="s">
        <v>487</v>
      </c>
      <c r="C16" s="183">
        <v>611022</v>
      </c>
      <c r="D16" s="183">
        <v>884765</v>
      </c>
      <c r="E16" s="183">
        <f t="shared" si="1"/>
        <v>-273743</v>
      </c>
      <c r="F16" s="183">
        <v>-332</v>
      </c>
      <c r="G16" s="221">
        <f t="shared" si="2"/>
        <v>415821</v>
      </c>
      <c r="H16" s="710"/>
      <c r="I16" s="339">
        <f t="shared" si="0"/>
        <v>876668</v>
      </c>
      <c r="J16" s="339">
        <v>7777</v>
      </c>
      <c r="K16" s="339"/>
      <c r="L16" s="339"/>
      <c r="M16" s="339">
        <v>320</v>
      </c>
      <c r="N16" s="339"/>
      <c r="O16" s="675"/>
      <c r="P16" s="698" t="s">
        <v>247</v>
      </c>
      <c r="Q16" s="641"/>
      <c r="R16" s="641"/>
      <c r="S16" s="648">
        <f>SUM(Q15:W15)+AG10</f>
        <v>927050</v>
      </c>
      <c r="T16" s="699"/>
      <c r="U16" s="699"/>
      <c r="V16" s="699"/>
      <c r="W16" s="699"/>
      <c r="X16" s="733"/>
      <c r="Y16" s="324" t="s">
        <v>728</v>
      </c>
      <c r="Z16" s="243">
        <f>S23</f>
        <v>48000</v>
      </c>
      <c r="AA16" s="312">
        <f>Z16/$P$4</f>
        <v>3.3633851799158817E-3</v>
      </c>
      <c r="AB16" s="321" t="s">
        <v>731</v>
      </c>
      <c r="AC16" s="243">
        <f>U4</f>
        <v>34877</v>
      </c>
      <c r="AD16" s="313">
        <f>AC16/$P$4</f>
        <v>2.443849685831796E-3</v>
      </c>
      <c r="AF16" s="650"/>
      <c r="AG16" s="650" t="s">
        <v>650</v>
      </c>
      <c r="AH16" s="650"/>
      <c r="AI16" s="229">
        <v>80000</v>
      </c>
    </row>
    <row r="17" spans="1:35" ht="30.9" customHeight="1" thickTop="1" thickBot="1">
      <c r="A17" s="176">
        <v>46069</v>
      </c>
      <c r="B17" s="177" t="s">
        <v>488</v>
      </c>
      <c r="C17" s="183">
        <v>474364</v>
      </c>
      <c r="D17" s="183">
        <v>368842</v>
      </c>
      <c r="E17" s="183">
        <f t="shared" si="1"/>
        <v>105522</v>
      </c>
      <c r="F17" s="183">
        <v>0</v>
      </c>
      <c r="G17" s="221">
        <f t="shared" si="2"/>
        <v>521343</v>
      </c>
      <c r="H17" s="710"/>
      <c r="I17" s="339">
        <f t="shared" si="0"/>
        <v>344673</v>
      </c>
      <c r="J17" s="339">
        <v>7949</v>
      </c>
      <c r="K17" s="339">
        <v>16220</v>
      </c>
      <c r="L17" s="339"/>
      <c r="M17" s="339"/>
      <c r="N17" s="339"/>
      <c r="O17" s="675"/>
      <c r="P17" s="688" t="s">
        <v>482</v>
      </c>
      <c r="Q17" s="643"/>
      <c r="R17" s="643"/>
      <c r="S17" s="643"/>
      <c r="T17" s="643"/>
      <c r="U17" s="649"/>
      <c r="V17" s="283"/>
      <c r="W17" s="283"/>
      <c r="X17" s="733"/>
      <c r="Y17" s="324" t="s">
        <v>727</v>
      </c>
      <c r="Z17" s="243">
        <f>T23</f>
        <v>44200</v>
      </c>
      <c r="AA17" s="312">
        <f t="shared" ref="AA17:AA20" si="6">Z17/$P$4</f>
        <v>3.0971171865058745E-3</v>
      </c>
      <c r="AB17" s="321" t="s">
        <v>732</v>
      </c>
      <c r="AC17" s="243">
        <v>939</v>
      </c>
      <c r="AD17" s="313">
        <f t="shared" ref="AD17" si="7">AC17/$P$4</f>
        <v>6.5796222582104432E-5</v>
      </c>
      <c r="AF17" s="261" t="s">
        <v>651</v>
      </c>
      <c r="AG17" s="650" t="s">
        <v>652</v>
      </c>
      <c r="AH17" s="650"/>
      <c r="AI17" s="229">
        <v>600000</v>
      </c>
    </row>
    <row r="18" spans="1:35" ht="30.9" customHeight="1" thickTop="1" thickBot="1">
      <c r="A18" s="176">
        <v>46070</v>
      </c>
      <c r="B18" s="177" t="s">
        <v>489</v>
      </c>
      <c r="C18" s="183">
        <v>267220</v>
      </c>
      <c r="D18" s="183">
        <v>27175</v>
      </c>
      <c r="E18" s="183">
        <f t="shared" si="1"/>
        <v>240045</v>
      </c>
      <c r="F18" s="183">
        <v>0</v>
      </c>
      <c r="G18" s="221">
        <f t="shared" si="2"/>
        <v>761388</v>
      </c>
      <c r="H18" s="710"/>
      <c r="I18" s="339">
        <f t="shared" si="0"/>
        <v>27175</v>
      </c>
      <c r="J18" s="339"/>
      <c r="K18" s="339"/>
      <c r="L18" s="339"/>
      <c r="M18" s="339"/>
      <c r="N18" s="339"/>
      <c r="O18" s="675"/>
      <c r="P18" s="284"/>
      <c r="Q18" s="354"/>
      <c r="R18" s="343" t="s">
        <v>760</v>
      </c>
      <c r="S18" s="294" t="s">
        <v>703</v>
      </c>
      <c r="T18" s="236" t="s">
        <v>498</v>
      </c>
      <c r="U18" s="683" t="s">
        <v>247</v>
      </c>
      <c r="V18" s="684"/>
      <c r="W18" s="684"/>
      <c r="X18" s="733"/>
      <c r="Y18" s="324" t="s">
        <v>733</v>
      </c>
      <c r="Z18" s="243">
        <f>R23</f>
        <v>16000</v>
      </c>
      <c r="AA18" s="312">
        <f t="shared" si="6"/>
        <v>1.1211283933052938E-3</v>
      </c>
      <c r="AB18" s="322"/>
      <c r="AC18" s="243"/>
      <c r="AD18" s="313"/>
      <c r="AF18" s="650" t="s">
        <v>777</v>
      </c>
      <c r="AG18" s="650"/>
      <c r="AH18" s="650"/>
      <c r="AI18" s="229">
        <f>219847235/173</f>
        <v>1270793.2658959539</v>
      </c>
    </row>
    <row r="19" spans="1:35" ht="30.9" customHeight="1" thickTop="1" thickBot="1">
      <c r="A19" s="176">
        <v>46071</v>
      </c>
      <c r="B19" s="177" t="s">
        <v>490</v>
      </c>
      <c r="C19" s="183">
        <v>253673</v>
      </c>
      <c r="D19" s="183">
        <v>60375</v>
      </c>
      <c r="E19" s="183">
        <f t="shared" si="1"/>
        <v>193298</v>
      </c>
      <c r="F19" s="183">
        <v>-70</v>
      </c>
      <c r="G19" s="221">
        <f t="shared" si="2"/>
        <v>954616</v>
      </c>
      <c r="H19" s="710"/>
      <c r="I19" s="339">
        <f t="shared" si="0"/>
        <v>55375</v>
      </c>
      <c r="J19" s="339">
        <v>5000</v>
      </c>
      <c r="K19" s="339"/>
      <c r="L19" s="339"/>
      <c r="M19" s="339"/>
      <c r="N19" s="339"/>
      <c r="O19" s="675"/>
      <c r="P19" s="335"/>
      <c r="Q19" s="355"/>
      <c r="R19" s="344">
        <f>6500*10</f>
        <v>65000</v>
      </c>
      <c r="S19" s="295">
        <f>39940+7050</f>
        <v>46990</v>
      </c>
      <c r="T19" s="238">
        <f>U23</f>
        <v>160350</v>
      </c>
      <c r="U19" s="685">
        <f>SUM(P19:T19)</f>
        <v>272340</v>
      </c>
      <c r="V19" s="686"/>
      <c r="W19" s="686"/>
      <c r="X19" s="733"/>
      <c r="Y19" s="324" t="s">
        <v>734</v>
      </c>
      <c r="Z19" s="243">
        <f>Q23</f>
        <v>50000</v>
      </c>
      <c r="AA19" s="312">
        <f t="shared" si="6"/>
        <v>3.5035262290790434E-3</v>
      </c>
      <c r="AB19" s="322"/>
      <c r="AC19" s="243"/>
      <c r="AD19" s="313"/>
      <c r="AF19" s="652" t="s">
        <v>654</v>
      </c>
      <c r="AG19" s="652"/>
      <c r="AH19" s="652"/>
      <c r="AI19" s="229">
        <v>5900000</v>
      </c>
    </row>
    <row r="20" spans="1:35" ht="30.9" customHeight="1" thickTop="1" thickBot="1">
      <c r="A20" s="176">
        <v>46072</v>
      </c>
      <c r="B20" s="177" t="s">
        <v>491</v>
      </c>
      <c r="C20" s="183">
        <v>332641</v>
      </c>
      <c r="D20" s="183">
        <v>469070</v>
      </c>
      <c r="E20" s="183">
        <f t="shared" si="1"/>
        <v>-136429</v>
      </c>
      <c r="F20" s="183">
        <v>0</v>
      </c>
      <c r="G20" s="221">
        <f t="shared" si="2"/>
        <v>818187</v>
      </c>
      <c r="H20" s="710"/>
      <c r="I20" s="339">
        <f t="shared" si="0"/>
        <v>468750</v>
      </c>
      <c r="J20" s="339"/>
      <c r="K20" s="339"/>
      <c r="L20" s="339"/>
      <c r="M20" s="339">
        <v>320</v>
      </c>
      <c r="N20" s="339"/>
      <c r="O20" s="675"/>
      <c r="P20" s="269"/>
      <c r="Q20" s="232"/>
      <c r="R20" s="232"/>
      <c r="S20" s="232"/>
      <c r="T20" s="232"/>
      <c r="U20" s="232"/>
      <c r="V20" s="310"/>
      <c r="W20" s="310"/>
      <c r="X20" s="733"/>
      <c r="Y20" s="324" t="s">
        <v>746</v>
      </c>
      <c r="Z20" s="243">
        <f>T4</f>
        <v>3993</v>
      </c>
      <c r="AA20" s="312">
        <f t="shared" si="6"/>
        <v>2.7979160465425239E-4</v>
      </c>
      <c r="AB20" s="314"/>
      <c r="AC20" s="243"/>
      <c r="AD20" s="313"/>
      <c r="AF20" s="652" t="s">
        <v>655</v>
      </c>
      <c r="AG20" s="652"/>
      <c r="AH20" s="652"/>
      <c r="AI20" s="229">
        <v>6000000</v>
      </c>
    </row>
    <row r="21" spans="1:35" ht="30.9" customHeight="1" thickTop="1" thickBot="1">
      <c r="A21" s="176">
        <v>46073</v>
      </c>
      <c r="B21" s="178" t="s">
        <v>485</v>
      </c>
      <c r="C21" s="183">
        <v>506809</v>
      </c>
      <c r="D21" s="183">
        <v>684249</v>
      </c>
      <c r="E21" s="183">
        <f t="shared" si="1"/>
        <v>-177440</v>
      </c>
      <c r="F21" s="183">
        <v>-22</v>
      </c>
      <c r="G21" s="221">
        <f t="shared" si="2"/>
        <v>640725</v>
      </c>
      <c r="H21" s="710"/>
      <c r="I21" s="339">
        <f t="shared" si="0"/>
        <v>683144</v>
      </c>
      <c r="J21" s="339"/>
      <c r="K21" s="339"/>
      <c r="L21" s="339"/>
      <c r="M21" s="339">
        <v>1105</v>
      </c>
      <c r="N21" s="339"/>
      <c r="O21" s="675"/>
      <c r="P21" s="687" t="s">
        <v>772</v>
      </c>
      <c r="Q21" s="687"/>
      <c r="R21" s="687"/>
      <c r="S21" s="687"/>
      <c r="T21" s="687"/>
      <c r="U21" s="687"/>
      <c r="V21" s="687"/>
      <c r="W21" s="687"/>
      <c r="X21" s="733"/>
      <c r="Y21" s="326" t="s">
        <v>709</v>
      </c>
      <c r="Z21" s="318">
        <f>SUM(Z16:Z20)</f>
        <v>162193</v>
      </c>
      <c r="AA21" s="315">
        <f>SUM(AA16:AA20)</f>
        <v>1.1364948593460345E-2</v>
      </c>
      <c r="AB21" s="323" t="s">
        <v>709</v>
      </c>
      <c r="AC21" s="318">
        <f>SUM(AC16:AC20)</f>
        <v>35816</v>
      </c>
      <c r="AD21" s="316">
        <f>SUM(AD16:AD20)</f>
        <v>2.5096459084139005E-3</v>
      </c>
      <c r="AF21" s="653" t="s">
        <v>247</v>
      </c>
      <c r="AG21" s="653"/>
      <c r="AH21" s="653"/>
      <c r="AI21" s="270">
        <f>SUM(AI12:AI20)</f>
        <v>15760793.265895953</v>
      </c>
    </row>
    <row r="22" spans="1:35" ht="30.9" customHeight="1" thickTop="1" thickBot="1">
      <c r="A22" s="176">
        <v>46074</v>
      </c>
      <c r="B22" s="178" t="s">
        <v>486</v>
      </c>
      <c r="C22" s="183">
        <v>557532</v>
      </c>
      <c r="D22" s="183">
        <v>165343</v>
      </c>
      <c r="E22" s="183">
        <f t="shared" si="1"/>
        <v>392189</v>
      </c>
      <c r="F22" s="183">
        <v>-741</v>
      </c>
      <c r="G22" s="221">
        <f t="shared" si="2"/>
        <v>1032173</v>
      </c>
      <c r="H22" s="710"/>
      <c r="I22" s="339">
        <f t="shared" si="0"/>
        <v>158470</v>
      </c>
      <c r="J22" s="339">
        <v>5000</v>
      </c>
      <c r="K22" s="339"/>
      <c r="L22" s="339"/>
      <c r="M22" s="339">
        <v>1873</v>
      </c>
      <c r="N22" s="339"/>
      <c r="O22" s="675"/>
      <c r="P22" s="336" t="s">
        <v>625</v>
      </c>
      <c r="Q22" s="299" t="s">
        <v>770</v>
      </c>
      <c r="R22" s="299" t="s">
        <v>733</v>
      </c>
      <c r="S22" s="299" t="s">
        <v>728</v>
      </c>
      <c r="T22" s="299" t="s">
        <v>727</v>
      </c>
      <c r="U22" s="690" t="s">
        <v>247</v>
      </c>
      <c r="V22" s="741"/>
      <c r="W22" s="691"/>
      <c r="X22" s="733"/>
      <c r="Y22" s="694" t="s">
        <v>745</v>
      </c>
      <c r="Z22" s="695"/>
      <c r="AA22" s="695"/>
      <c r="AB22" s="695"/>
      <c r="AC22" s="721">
        <f>AC14+AC2</f>
        <v>0.96486152382650092</v>
      </c>
      <c r="AD22" s="721"/>
      <c r="AF22" s="661"/>
      <c r="AG22" s="662"/>
      <c r="AH22" s="662"/>
      <c r="AI22" s="662"/>
    </row>
    <row r="23" spans="1:35" ht="30.9" customHeight="1" thickTop="1" thickBot="1">
      <c r="A23" s="176">
        <v>46075</v>
      </c>
      <c r="B23" s="178" t="s">
        <v>487</v>
      </c>
      <c r="C23" s="183">
        <v>462166</v>
      </c>
      <c r="D23" s="183">
        <v>390416</v>
      </c>
      <c r="E23" s="183">
        <f t="shared" si="1"/>
        <v>71750</v>
      </c>
      <c r="F23" s="183">
        <v>0</v>
      </c>
      <c r="G23" s="221">
        <f t="shared" si="2"/>
        <v>1103923</v>
      </c>
      <c r="H23" s="710"/>
      <c r="I23" s="339">
        <f t="shared" si="0"/>
        <v>390416</v>
      </c>
      <c r="J23" s="339"/>
      <c r="K23" s="339"/>
      <c r="L23" s="339"/>
      <c r="M23" s="339"/>
      <c r="N23" s="339"/>
      <c r="O23" s="675"/>
      <c r="P23" s="335">
        <v>2150</v>
      </c>
      <c r="Q23" s="353">
        <v>50000</v>
      </c>
      <c r="R23" s="298">
        <v>16000</v>
      </c>
      <c r="S23" s="353">
        <v>48000</v>
      </c>
      <c r="T23" s="298">
        <v>44200</v>
      </c>
      <c r="U23" s="692">
        <f>SUM(P23:T23)</f>
        <v>160350</v>
      </c>
      <c r="V23" s="742"/>
      <c r="W23" s="693"/>
      <c r="X23" s="733"/>
      <c r="Y23" s="696"/>
      <c r="Z23" s="697"/>
      <c r="AA23" s="697"/>
      <c r="AB23" s="697"/>
      <c r="AC23" s="722"/>
      <c r="AD23" s="722"/>
      <c r="AF23" s="647" t="s">
        <v>665</v>
      </c>
      <c r="AG23" s="647"/>
      <c r="AH23" s="647"/>
      <c r="AI23" s="647"/>
    </row>
    <row r="24" spans="1:35" ht="30.9" customHeight="1" thickTop="1" thickBot="1">
      <c r="A24" s="176">
        <v>46076</v>
      </c>
      <c r="B24" s="177" t="s">
        <v>488</v>
      </c>
      <c r="C24" s="183">
        <v>302023</v>
      </c>
      <c r="D24" s="183">
        <v>93451</v>
      </c>
      <c r="E24" s="183">
        <f t="shared" si="1"/>
        <v>208572</v>
      </c>
      <c r="F24" s="183">
        <v>0</v>
      </c>
      <c r="G24" s="184">
        <f t="shared" si="2"/>
        <v>1312495</v>
      </c>
      <c r="H24" s="710"/>
      <c r="I24" s="339">
        <f t="shared" si="0"/>
        <v>93451</v>
      </c>
      <c r="J24" s="339"/>
      <c r="K24" s="339"/>
      <c r="L24" s="339"/>
      <c r="M24" s="339"/>
      <c r="N24" s="339"/>
      <c r="O24" s="675"/>
      <c r="X24" s="733"/>
      <c r="Y24" s="711" t="s">
        <v>735</v>
      </c>
      <c r="Z24" s="711"/>
      <c r="AA24" s="711"/>
      <c r="AB24" s="711"/>
      <c r="AC24" s="711"/>
      <c r="AD24" s="711"/>
      <c r="AF24" s="656" t="s">
        <v>666</v>
      </c>
      <c r="AG24" s="658"/>
      <c r="AH24" s="657"/>
      <c r="AI24" s="232"/>
    </row>
    <row r="25" spans="1:35" ht="30.9" customHeight="1" thickTop="1" thickBot="1">
      <c r="A25" s="176">
        <v>46077</v>
      </c>
      <c r="B25" s="177" t="s">
        <v>489</v>
      </c>
      <c r="C25" s="183">
        <v>253715</v>
      </c>
      <c r="D25" s="350">
        <v>836632</v>
      </c>
      <c r="E25" s="183">
        <f t="shared" si="1"/>
        <v>-582917</v>
      </c>
      <c r="F25" s="183">
        <v>-141</v>
      </c>
      <c r="G25" s="184">
        <f t="shared" si="2"/>
        <v>729437</v>
      </c>
      <c r="H25" s="710"/>
      <c r="I25" s="339">
        <f t="shared" si="0"/>
        <v>825393</v>
      </c>
      <c r="J25" s="339"/>
      <c r="K25" s="339">
        <v>11239</v>
      </c>
      <c r="L25" s="339"/>
      <c r="M25" s="339"/>
      <c r="N25" s="339"/>
      <c r="O25" s="675"/>
      <c r="P25" s="689" t="s">
        <v>672</v>
      </c>
      <c r="Q25" s="664"/>
      <c r="R25" s="664"/>
      <c r="S25" s="664"/>
      <c r="T25" s="664"/>
      <c r="U25" s="664"/>
      <c r="V25" s="285"/>
      <c r="W25" s="285"/>
      <c r="X25" s="733"/>
      <c r="Y25" s="300"/>
      <c r="Z25" s="712" t="s">
        <v>739</v>
      </c>
      <c r="AA25" s="712"/>
      <c r="AB25" s="301" t="s">
        <v>738</v>
      </c>
      <c r="AC25" s="712" t="s">
        <v>740</v>
      </c>
      <c r="AD25" s="712"/>
      <c r="AF25" s="268"/>
      <c r="AG25" s="656"/>
      <c r="AH25" s="657"/>
      <c r="AI25" s="232"/>
    </row>
    <row r="26" spans="1:35" ht="30.9" customHeight="1" thickTop="1" thickBot="1">
      <c r="A26" s="176">
        <v>46078</v>
      </c>
      <c r="B26" s="177" t="s">
        <v>490</v>
      </c>
      <c r="C26" s="350">
        <v>459547</v>
      </c>
      <c r="D26" s="350">
        <v>301081</v>
      </c>
      <c r="E26" s="183">
        <f t="shared" si="1"/>
        <v>158466</v>
      </c>
      <c r="F26" s="183">
        <v>-24</v>
      </c>
      <c r="G26" s="184">
        <f t="shared" si="2"/>
        <v>887879</v>
      </c>
      <c r="H26" s="710"/>
      <c r="I26" s="339">
        <f t="shared" si="0"/>
        <v>234945</v>
      </c>
      <c r="J26" s="339"/>
      <c r="K26" s="339">
        <v>8052</v>
      </c>
      <c r="L26" s="339"/>
      <c r="M26" s="339">
        <f>15924+30000</f>
        <v>45924</v>
      </c>
      <c r="N26" s="339">
        <v>12160</v>
      </c>
      <c r="O26" s="675"/>
      <c r="P26" s="337"/>
      <c r="Q26" s="665" t="s">
        <v>799</v>
      </c>
      <c r="R26" s="665"/>
      <c r="S26" s="665"/>
      <c r="T26" s="665"/>
      <c r="U26" s="665"/>
      <c r="V26" s="286"/>
      <c r="W26" s="286"/>
      <c r="X26" s="733"/>
      <c r="Y26" s="302" t="s">
        <v>736</v>
      </c>
      <c r="Z26" s="303">
        <v>17364796</v>
      </c>
      <c r="AA26" s="305">
        <f>(AB26/Z26)-100%</f>
        <v>-0.17814548469213232</v>
      </c>
      <c r="AB26" s="304">
        <f>C34</f>
        <v>14271336</v>
      </c>
      <c r="AC26" s="303">
        <v>18376433</v>
      </c>
      <c r="AD26" s="305">
        <f>AB26/AC26-100%</f>
        <v>-0.22338921813607682</v>
      </c>
      <c r="AF26" s="268"/>
      <c r="AG26" s="656"/>
      <c r="AH26" s="657"/>
      <c r="AI26" s="232"/>
    </row>
    <row r="27" spans="1:35" ht="30.9" customHeight="1" thickTop="1" thickBot="1">
      <c r="A27" s="176">
        <v>46079</v>
      </c>
      <c r="B27" s="177" t="s">
        <v>491</v>
      </c>
      <c r="C27" s="350">
        <v>609939</v>
      </c>
      <c r="D27" s="350">
        <v>117380</v>
      </c>
      <c r="E27" s="183">
        <f t="shared" si="1"/>
        <v>492559</v>
      </c>
      <c r="F27" s="183">
        <v>-128</v>
      </c>
      <c r="G27" s="184">
        <f t="shared" si="2"/>
        <v>1380310</v>
      </c>
      <c r="H27" s="710"/>
      <c r="I27" s="339">
        <f t="shared" si="0"/>
        <v>112380</v>
      </c>
      <c r="J27" s="339">
        <v>5000</v>
      </c>
      <c r="K27" s="339"/>
      <c r="L27" s="339"/>
      <c r="M27" s="339"/>
      <c r="N27" s="339"/>
      <c r="O27" s="675"/>
      <c r="P27" s="282"/>
      <c r="Q27" s="665"/>
      <c r="R27" s="665"/>
      <c r="S27" s="665"/>
      <c r="T27" s="665"/>
      <c r="U27" s="665"/>
      <c r="V27" s="286"/>
      <c r="W27" s="286"/>
      <c r="X27" s="733"/>
      <c r="Y27" s="302" t="s">
        <v>510</v>
      </c>
      <c r="Z27" s="303">
        <v>16731074</v>
      </c>
      <c r="AA27" s="305">
        <f>(AB27/Z27)-100%</f>
        <v>-0.17938095306971924</v>
      </c>
      <c r="AB27" s="304">
        <f>T8</f>
        <v>13729838</v>
      </c>
      <c r="AC27" s="303">
        <v>17068191</v>
      </c>
      <c r="AD27" s="305">
        <f>AB27/AC27-100%</f>
        <v>-0.19558915177361214</v>
      </c>
      <c r="AF27" s="268"/>
      <c r="AG27" s="656"/>
      <c r="AH27" s="657"/>
      <c r="AI27" s="232"/>
    </row>
    <row r="28" spans="1:35" ht="30.9" customHeight="1" thickTop="1" thickBot="1">
      <c r="A28" s="176">
        <v>46080</v>
      </c>
      <c r="B28" s="178" t="s">
        <v>485</v>
      </c>
      <c r="C28" s="350">
        <v>873529</v>
      </c>
      <c r="D28" s="350">
        <v>887367</v>
      </c>
      <c r="E28" s="183">
        <f t="shared" si="1"/>
        <v>-13838</v>
      </c>
      <c r="F28" s="183">
        <v>-241</v>
      </c>
      <c r="G28" s="184">
        <f t="shared" si="2"/>
        <v>1366231</v>
      </c>
      <c r="H28" s="710"/>
      <c r="I28" s="339">
        <f t="shared" si="0"/>
        <v>879636</v>
      </c>
      <c r="J28" s="339"/>
      <c r="K28" s="339"/>
      <c r="L28" s="339"/>
      <c r="M28" s="339">
        <v>7731</v>
      </c>
      <c r="N28" s="339"/>
      <c r="O28" s="675"/>
      <c r="P28" s="282"/>
      <c r="Q28" s="665" t="s">
        <v>784</v>
      </c>
      <c r="R28" s="665"/>
      <c r="S28" s="665"/>
      <c r="T28" s="665"/>
      <c r="U28" s="665"/>
      <c r="V28" s="286"/>
      <c r="W28" s="286"/>
      <c r="X28" s="733"/>
      <c r="Y28" s="302" t="s">
        <v>737</v>
      </c>
      <c r="Z28" s="303">
        <v>633722</v>
      </c>
      <c r="AA28" s="305">
        <f>(AB28/Z28)-100%</f>
        <v>-0.14552753415535524</v>
      </c>
      <c r="AB28" s="304">
        <f>AB26-AB27</f>
        <v>541498</v>
      </c>
      <c r="AC28" s="303">
        <f>AC26-AC27</f>
        <v>1308242</v>
      </c>
      <c r="AD28" s="305">
        <f t="shared" ref="AD28:AD31" si="8">AB28/AC28-100%</f>
        <v>-0.58608728354539907</v>
      </c>
      <c r="AF28" s="268"/>
      <c r="AG28" s="656"/>
      <c r="AH28" s="657"/>
      <c r="AI28" s="232"/>
    </row>
    <row r="29" spans="1:35" ht="30.9" customHeight="1" thickTop="1" thickBot="1">
      <c r="A29" s="176">
        <v>46081</v>
      </c>
      <c r="B29" s="178" t="s">
        <v>486</v>
      </c>
      <c r="C29" s="350">
        <v>1001789</v>
      </c>
      <c r="D29" s="350">
        <v>531084</v>
      </c>
      <c r="E29" s="183">
        <f t="shared" si="1"/>
        <v>470705</v>
      </c>
      <c r="F29" s="183">
        <v>-41</v>
      </c>
      <c r="G29" s="184">
        <f t="shared" si="2"/>
        <v>1836895</v>
      </c>
      <c r="H29" s="710"/>
      <c r="I29" s="339">
        <f t="shared" si="0"/>
        <v>294851</v>
      </c>
      <c r="J29" s="339">
        <v>8000</v>
      </c>
      <c r="K29" s="339">
        <v>9628</v>
      </c>
      <c r="L29" s="339"/>
      <c r="M29" s="339"/>
      <c r="N29" s="339">
        <f>192550+26055</f>
        <v>218605</v>
      </c>
      <c r="O29" s="675"/>
      <c r="P29" s="282"/>
      <c r="Q29" s="665" t="s">
        <v>785</v>
      </c>
      <c r="R29" s="665"/>
      <c r="S29" s="665"/>
      <c r="T29" s="665"/>
      <c r="U29" s="665"/>
      <c r="V29" s="286"/>
      <c r="W29" s="286"/>
      <c r="X29" s="733"/>
      <c r="Y29" s="302" t="s">
        <v>757</v>
      </c>
      <c r="Z29" s="341">
        <v>4053</v>
      </c>
      <c r="AA29" s="305">
        <f t="shared" ref="AA29:AA31" si="9">(AB29/Z29)-100%</f>
        <v>-5.4527510486059749E-2</v>
      </c>
      <c r="AB29" s="342">
        <v>3832</v>
      </c>
      <c r="AC29" s="341">
        <v>3430</v>
      </c>
      <c r="AD29" s="305">
        <f t="shared" si="8"/>
        <v>0.11720116618075793</v>
      </c>
      <c r="AF29" s="658" t="s">
        <v>667</v>
      </c>
      <c r="AG29" s="658"/>
      <c r="AH29" s="657"/>
      <c r="AI29" s="232"/>
    </row>
    <row r="30" spans="1:35" ht="30.9" customHeight="1" thickTop="1" thickBot="1">
      <c r="A30" s="176"/>
      <c r="B30" s="177"/>
      <c r="C30" s="350"/>
      <c r="D30" s="350"/>
      <c r="E30" s="183">
        <f>C30-D30</f>
        <v>0</v>
      </c>
      <c r="F30" s="183"/>
      <c r="G30" s="184">
        <f t="shared" si="2"/>
        <v>1836895</v>
      </c>
      <c r="H30" s="710"/>
      <c r="I30" s="339">
        <f t="shared" si="0"/>
        <v>0</v>
      </c>
      <c r="J30" s="339"/>
      <c r="K30" s="339"/>
      <c r="L30" s="339"/>
      <c r="M30" s="339"/>
      <c r="N30" s="339"/>
      <c r="O30" s="675"/>
      <c r="P30" s="282"/>
      <c r="Q30" s="739" t="s">
        <v>787</v>
      </c>
      <c r="R30" s="740"/>
      <c r="S30" s="740"/>
      <c r="T30" s="740"/>
      <c r="U30" s="740"/>
      <c r="V30" s="349"/>
      <c r="W30" s="286"/>
      <c r="X30" s="733"/>
      <c r="Y30" s="302" t="s">
        <v>758</v>
      </c>
      <c r="Z30" s="303">
        <v>4284.4302985442882</v>
      </c>
      <c r="AA30" s="305">
        <f t="shared" si="9"/>
        <v>-0.13074729891889669</v>
      </c>
      <c r="AB30" s="304">
        <f>AB26/AB29</f>
        <v>3724.2526096033403</v>
      </c>
      <c r="AC30" s="303">
        <f>AC26/AC29</f>
        <v>5357.5606413994174</v>
      </c>
      <c r="AD30" s="305">
        <f t="shared" si="8"/>
        <v>-0.30486039097253226</v>
      </c>
      <c r="AF30" s="268"/>
      <c r="AG30" s="656"/>
      <c r="AH30" s="657"/>
      <c r="AI30" s="232"/>
    </row>
    <row r="31" spans="1:35" ht="30.9" customHeight="1" thickTop="1" thickBot="1">
      <c r="A31" s="176"/>
      <c r="B31" s="178"/>
      <c r="C31" s="350"/>
      <c r="D31" s="350"/>
      <c r="E31" s="183">
        <f t="shared" ref="E31" si="10">C31-D31</f>
        <v>0</v>
      </c>
      <c r="F31" s="183"/>
      <c r="G31" s="184">
        <f t="shared" si="2"/>
        <v>1836895</v>
      </c>
      <c r="H31" s="710"/>
      <c r="I31" s="339">
        <f t="shared" si="0"/>
        <v>0</v>
      </c>
      <c r="J31" s="339"/>
      <c r="K31" s="339"/>
      <c r="L31" s="339"/>
      <c r="M31" s="339"/>
      <c r="N31" s="339"/>
      <c r="O31" s="675"/>
      <c r="P31" s="282"/>
      <c r="Q31" s="665"/>
      <c r="R31" s="665"/>
      <c r="S31" s="665"/>
      <c r="T31" s="665"/>
      <c r="U31" s="665"/>
      <c r="V31" s="286"/>
      <c r="W31" s="286"/>
      <c r="X31" s="733"/>
      <c r="Y31" s="302" t="s">
        <v>756</v>
      </c>
      <c r="Z31" s="303">
        <v>560154.70967741939</v>
      </c>
      <c r="AA31" s="305">
        <f t="shared" si="9"/>
        <v>-9.0089643766289362E-2</v>
      </c>
      <c r="AB31" s="304">
        <f>AB26/28</f>
        <v>509690.57142857142</v>
      </c>
      <c r="AC31" s="303">
        <f>AC26/31</f>
        <v>592788.16129032255</v>
      </c>
      <c r="AD31" s="305">
        <f t="shared" si="8"/>
        <v>-0.14018092007922789</v>
      </c>
      <c r="AF31" s="269"/>
      <c r="AG31" s="659"/>
      <c r="AH31" s="660"/>
      <c r="AI31" s="232"/>
    </row>
    <row r="32" spans="1:35" ht="30.9" customHeight="1" thickTop="1" thickBot="1">
      <c r="A32" s="176"/>
      <c r="B32" s="178"/>
      <c r="C32" s="350"/>
      <c r="D32" s="350"/>
      <c r="E32" s="183">
        <f>C32-D32</f>
        <v>0</v>
      </c>
      <c r="F32" s="183"/>
      <c r="G32" s="184">
        <f t="shared" si="2"/>
        <v>1836895</v>
      </c>
      <c r="H32" s="710"/>
      <c r="I32" s="339">
        <f t="shared" si="0"/>
        <v>0</v>
      </c>
      <c r="J32" s="339"/>
      <c r="K32" s="339"/>
      <c r="L32" s="339"/>
      <c r="M32" s="339"/>
      <c r="N32" s="339"/>
      <c r="O32" s="675"/>
      <c r="P32" s="348" t="s">
        <v>778</v>
      </c>
      <c r="Q32" s="665"/>
      <c r="R32" s="665"/>
      <c r="S32" s="665"/>
      <c r="T32" s="665"/>
      <c r="U32" s="665"/>
      <c r="V32" s="286"/>
      <c r="W32" s="286"/>
      <c r="X32" s="733"/>
      <c r="AF32" s="269"/>
      <c r="AG32" s="659"/>
      <c r="AH32" s="660"/>
      <c r="AI32" s="232"/>
    </row>
    <row r="33" spans="1:37" ht="30.9" customHeight="1" thickTop="1">
      <c r="A33" s="264"/>
      <c r="B33" s="265"/>
      <c r="C33" s="183"/>
      <c r="D33" s="293">
        <v>100000</v>
      </c>
      <c r="E33" s="293">
        <f t="shared" si="1"/>
        <v>-100000</v>
      </c>
      <c r="F33" s="183"/>
      <c r="G33" s="184">
        <f t="shared" si="2"/>
        <v>1736895</v>
      </c>
      <c r="H33" s="710"/>
      <c r="I33" s="339">
        <f t="shared" si="0"/>
        <v>100000</v>
      </c>
      <c r="J33" s="339"/>
      <c r="K33" s="339"/>
      <c r="L33" s="339"/>
      <c r="M33" s="339"/>
      <c r="N33" s="339"/>
      <c r="O33" s="675"/>
      <c r="P33" s="348" t="s">
        <v>775</v>
      </c>
      <c r="Q33" s="665" t="s">
        <v>776</v>
      </c>
      <c r="R33" s="665"/>
      <c r="S33" s="665"/>
      <c r="T33" s="665"/>
      <c r="U33" s="665"/>
      <c r="V33" s="286"/>
      <c r="W33" s="286"/>
      <c r="X33" s="733"/>
      <c r="AG33" s="81"/>
      <c r="AH33" s="81"/>
    </row>
    <row r="34" spans="1:37" ht="45" customHeight="1">
      <c r="A34" s="672" t="s">
        <v>247</v>
      </c>
      <c r="B34" s="673"/>
      <c r="C34" s="292">
        <f>SUM(C2:C33)</f>
        <v>14271336</v>
      </c>
      <c r="D34" s="292">
        <f>SUM(D2:D33)</f>
        <v>12530448</v>
      </c>
      <c r="E34" s="292">
        <f>SUM(E2:E33)</f>
        <v>1740888</v>
      </c>
      <c r="F34" s="292">
        <f>SUM(F2:F33)</f>
        <v>-3993</v>
      </c>
      <c r="G34" s="184">
        <f>C34-D34+F34</f>
        <v>1736895</v>
      </c>
      <c r="H34" s="710"/>
      <c r="I34" s="340">
        <f>SUM(I2:I33)</f>
        <v>11807899</v>
      </c>
      <c r="J34" s="340">
        <f t="shared" ref="J34:N34" si="11">SUM(J2:J33)</f>
        <v>57532</v>
      </c>
      <c r="K34" s="340">
        <f t="shared" si="11"/>
        <v>58303</v>
      </c>
      <c r="L34" s="340">
        <f t="shared" si="11"/>
        <v>0</v>
      </c>
      <c r="M34" s="340">
        <f t="shared" si="11"/>
        <v>375399</v>
      </c>
      <c r="N34" s="340">
        <f t="shared" si="11"/>
        <v>231315</v>
      </c>
      <c r="O34" s="675"/>
      <c r="X34" s="733"/>
      <c r="AF34" s="674"/>
      <c r="AG34" s="674"/>
      <c r="AH34" s="674"/>
      <c r="AI34" s="674"/>
      <c r="AJ34" s="674"/>
      <c r="AK34" s="674"/>
    </row>
    <row r="35" spans="1:37">
      <c r="A35" s="69"/>
    </row>
    <row r="36" spans="1:37">
      <c r="A36" s="69"/>
    </row>
    <row r="37" spans="1:37">
      <c r="A37" s="69"/>
    </row>
    <row r="38" spans="1:37">
      <c r="A38" s="69"/>
    </row>
    <row r="39" spans="1:37">
      <c r="A39" s="69"/>
    </row>
    <row r="40" spans="1:37" ht="21" customHeight="1">
      <c r="A40" s="69"/>
    </row>
    <row r="41" spans="1:37" ht="23.1" customHeight="1">
      <c r="A41" s="69"/>
    </row>
    <row r="42" spans="1:37">
      <c r="A42" s="69"/>
    </row>
    <row r="43" spans="1:37" ht="29.1" customHeight="1">
      <c r="A43" s="69"/>
    </row>
    <row r="44" spans="1:37" ht="15" customHeight="1">
      <c r="A44" s="69"/>
    </row>
    <row r="45" spans="1:37">
      <c r="A45" s="69"/>
    </row>
    <row r="46" spans="1:37">
      <c r="A46" s="69"/>
    </row>
    <row r="47" spans="1:37">
      <c r="A47" s="69"/>
    </row>
    <row r="48" spans="1:37">
      <c r="A48" s="69"/>
    </row>
    <row r="49" spans="1:1">
      <c r="A49" s="69"/>
    </row>
    <row r="50" spans="1:1">
      <c r="A50" s="69"/>
    </row>
    <row r="51" spans="1:1" ht="18.899999999999999" customHeight="1">
      <c r="A51" s="69"/>
    </row>
  </sheetData>
  <mergeCells count="75">
    <mergeCell ref="Q32:U32"/>
    <mergeCell ref="AG32:AH32"/>
    <mergeCell ref="Q33:U33"/>
    <mergeCell ref="A34:B34"/>
    <mergeCell ref="AF34:AK34"/>
    <mergeCell ref="Q29:U29"/>
    <mergeCell ref="AF29:AH29"/>
    <mergeCell ref="Q30:U30"/>
    <mergeCell ref="AG30:AH30"/>
    <mergeCell ref="Q31:U31"/>
    <mergeCell ref="AG31:AH31"/>
    <mergeCell ref="Q26:U26"/>
    <mergeCell ref="AG26:AH26"/>
    <mergeCell ref="Q27:U27"/>
    <mergeCell ref="AG27:AH27"/>
    <mergeCell ref="Q28:U28"/>
    <mergeCell ref="AG28:AH28"/>
    <mergeCell ref="Y24:AD24"/>
    <mergeCell ref="AF24:AH24"/>
    <mergeCell ref="P25:U25"/>
    <mergeCell ref="Z25:AA25"/>
    <mergeCell ref="AC25:AD25"/>
    <mergeCell ref="AG25:AH25"/>
    <mergeCell ref="P17:U17"/>
    <mergeCell ref="AG17:AH17"/>
    <mergeCell ref="U22:W22"/>
    <mergeCell ref="Y22:AB23"/>
    <mergeCell ref="AC22:AD23"/>
    <mergeCell ref="AF22:AI22"/>
    <mergeCell ref="U23:W23"/>
    <mergeCell ref="U19:W19"/>
    <mergeCell ref="AF19:AH19"/>
    <mergeCell ref="AF20:AH20"/>
    <mergeCell ref="P21:W21"/>
    <mergeCell ref="AF21:AH21"/>
    <mergeCell ref="AF23:AI23"/>
    <mergeCell ref="AF18:AH18"/>
    <mergeCell ref="AF11:AI11"/>
    <mergeCell ref="AF12:AH12"/>
    <mergeCell ref="AF13:AG14"/>
    <mergeCell ref="Y14:AA14"/>
    <mergeCell ref="AC14:AD14"/>
    <mergeCell ref="Y15:AA15"/>
    <mergeCell ref="AB15:AD15"/>
    <mergeCell ref="AF15:AF16"/>
    <mergeCell ref="AG15:AH15"/>
    <mergeCell ref="AG16:AH16"/>
    <mergeCell ref="Y3:AA3"/>
    <mergeCell ref="AB3:AD3"/>
    <mergeCell ref="Y1:AD1"/>
    <mergeCell ref="AF5:AI5"/>
    <mergeCell ref="P6:W6"/>
    <mergeCell ref="AF6:AG6"/>
    <mergeCell ref="AH6:AI6"/>
    <mergeCell ref="AF1:AI1"/>
    <mergeCell ref="P2:W2"/>
    <mergeCell ref="Y2:AA2"/>
    <mergeCell ref="AC2:AD2"/>
    <mergeCell ref="AF2:AI2"/>
    <mergeCell ref="A1:B1"/>
    <mergeCell ref="H1:H34"/>
    <mergeCell ref="O1:O34"/>
    <mergeCell ref="P1:W1"/>
    <mergeCell ref="X1:X34"/>
    <mergeCell ref="P4:Q5"/>
    <mergeCell ref="Q9:W9"/>
    <mergeCell ref="P10:W10"/>
    <mergeCell ref="P11:W11"/>
    <mergeCell ref="T8:W8"/>
    <mergeCell ref="P3:Q3"/>
    <mergeCell ref="U3:W3"/>
    <mergeCell ref="T7:W7"/>
    <mergeCell ref="U18:W18"/>
    <mergeCell ref="P16:R16"/>
    <mergeCell ref="S16:W16"/>
  </mergeCells>
  <conditionalFormatting sqref="J2:N32">
    <cfRule type="cellIs" dxfId="45" priority="1" operator="greaterThan">
      <formula>0</formula>
    </cfRule>
    <cfRule type="cellIs" dxfId="44" priority="2" operator="equal">
      <formula>0</formula>
    </cfRule>
    <cfRule type="cellIs" dxfId="43" priority="3" operator="equal">
      <formula>"¥11.055"</formula>
    </cfRule>
    <cfRule type="cellIs" dxfId="42" priority="4" operator="equal">
      <formula>0</formula>
    </cfRule>
  </conditionalFormatting>
  <conditionalFormatting sqref="M33">
    <cfRule type="cellIs" dxfId="41" priority="6" operator="greaterThan">
      <formula>0</formula>
    </cfRule>
    <cfRule type="cellIs" dxfId="40" priority="7" operator="equal">
      <formula>0</formula>
    </cfRule>
    <cfRule type="cellIs" dxfId="39" priority="8" operator="equal">
      <formula>"¥11.055"</formula>
    </cfRule>
    <cfRule type="cellIs" dxfId="38" priority="9" operator="equal">
      <formula>0</formula>
    </cfRule>
  </conditionalFormatting>
  <conditionalFormatting sqref="AI12:AI18">
    <cfRule type="cellIs" dxfId="37" priority="5" operator="greaterThan">
      <formula>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A272F-6E78-44C0-84B8-2B443EF7A18E}">
  <dimension ref="A1:AK51"/>
  <sheetViews>
    <sheetView zoomScaleNormal="100" workbookViewId="0">
      <pane ySplit="1" topLeftCell="A2" activePane="bottomLeft" state="frozen"/>
      <selection pane="bottomLeft" activeCell="J13" sqref="J13"/>
    </sheetView>
  </sheetViews>
  <sheetFormatPr defaultColWidth="10.6328125" defaultRowHeight="18"/>
  <cols>
    <col min="1" max="1" width="5.90625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5.81640625" style="69" customWidth="1"/>
    <col min="7" max="7" width="14.81640625" style="69" customWidth="1"/>
    <col min="8" max="8" width="4.1796875" style="69" customWidth="1"/>
    <col min="9" max="14" width="11.90625" style="69" customWidth="1"/>
    <col min="15" max="15" width="3" style="69" customWidth="1"/>
    <col min="16" max="23" width="8.26953125" style="69" customWidth="1"/>
    <col min="24" max="24" width="4.54296875" style="69" customWidth="1"/>
    <col min="25" max="25" width="13.1796875" style="69" customWidth="1"/>
    <col min="26" max="26" width="13.1796875" style="296" customWidth="1"/>
    <col min="27" max="27" width="5.81640625" style="297" customWidth="1"/>
    <col min="28" max="28" width="13.1796875" style="69" customWidth="1"/>
    <col min="29" max="29" width="13.81640625" style="296" customWidth="1"/>
    <col min="30" max="30" width="4.90625" style="297" customWidth="1"/>
    <col min="31" max="31" width="10.81640625" style="296" customWidth="1"/>
    <col min="32" max="33" width="7" style="69" customWidth="1"/>
    <col min="34" max="34" width="11.453125" style="69" customWidth="1"/>
    <col min="35" max="35" width="21" style="69" customWidth="1"/>
    <col min="36" max="16384" width="10.6328125" style="69"/>
  </cols>
  <sheetData>
    <row r="1" spans="1:35" ht="38.25" customHeight="1" thickTop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220" t="s">
        <v>464</v>
      </c>
      <c r="H1" s="710"/>
      <c r="I1" s="338" t="s">
        <v>705</v>
      </c>
      <c r="J1" s="338" t="s">
        <v>741</v>
      </c>
      <c r="K1" s="338" t="s">
        <v>707</v>
      </c>
      <c r="L1" s="338" t="s">
        <v>708</v>
      </c>
      <c r="M1" s="338" t="s">
        <v>710</v>
      </c>
      <c r="N1" s="338" t="s">
        <v>742</v>
      </c>
      <c r="O1" s="675"/>
      <c r="P1" s="723" t="s">
        <v>802</v>
      </c>
      <c r="Q1" s="723"/>
      <c r="R1" s="723"/>
      <c r="S1" s="723"/>
      <c r="T1" s="723"/>
      <c r="U1" s="723"/>
      <c r="V1" s="723"/>
      <c r="W1" s="723"/>
      <c r="X1" s="733"/>
      <c r="Y1" s="676" t="s">
        <v>718</v>
      </c>
      <c r="Z1" s="677"/>
      <c r="AA1" s="677"/>
      <c r="AB1" s="677"/>
      <c r="AC1" s="677"/>
      <c r="AD1" s="678"/>
      <c r="AE1" s="281"/>
      <c r="AF1" s="631" t="s">
        <v>642</v>
      </c>
      <c r="AG1" s="632"/>
      <c r="AH1" s="632"/>
      <c r="AI1" s="632"/>
    </row>
    <row r="2" spans="1:35" ht="30.9" customHeight="1" thickTop="1" thickBot="1">
      <c r="A2" s="176">
        <v>46082</v>
      </c>
      <c r="B2" s="178" t="s">
        <v>487</v>
      </c>
      <c r="C2" s="183">
        <v>526282</v>
      </c>
      <c r="D2" s="183">
        <v>199636</v>
      </c>
      <c r="E2" s="183">
        <f>C2-D2</f>
        <v>326646</v>
      </c>
      <c r="F2" s="183">
        <v>-224</v>
      </c>
      <c r="G2" s="221">
        <f>E2+F2</f>
        <v>326422</v>
      </c>
      <c r="H2" s="710"/>
      <c r="I2" s="339">
        <f t="shared" ref="I2:I33" si="0">D2-SUM(J2:N2)</f>
        <v>199636</v>
      </c>
      <c r="J2" s="339"/>
      <c r="K2" s="339"/>
      <c r="L2" s="339"/>
      <c r="M2" s="339"/>
      <c r="N2" s="339"/>
      <c r="O2" s="675"/>
      <c r="P2" s="709" t="s">
        <v>801</v>
      </c>
      <c r="Q2" s="709"/>
      <c r="R2" s="709"/>
      <c r="S2" s="709"/>
      <c r="T2" s="709"/>
      <c r="U2" s="709"/>
      <c r="V2" s="709"/>
      <c r="W2" s="709"/>
      <c r="X2" s="733"/>
      <c r="Y2" s="734" t="s">
        <v>711</v>
      </c>
      <c r="Z2" s="725"/>
      <c r="AA2" s="726"/>
      <c r="AB2" s="346">
        <f>AC13+Z13</f>
        <v>14529868</v>
      </c>
      <c r="AC2" s="681">
        <f>AA13+AD13</f>
        <v>0.95794605007169498</v>
      </c>
      <c r="AD2" s="682"/>
      <c r="AE2" s="81"/>
      <c r="AF2" s="627" t="s">
        <v>638</v>
      </c>
      <c r="AG2" s="628"/>
      <c r="AH2" s="628"/>
      <c r="AI2" s="628"/>
    </row>
    <row r="3" spans="1:35" ht="30.9" customHeight="1" thickTop="1" thickBot="1">
      <c r="A3" s="176">
        <v>46083</v>
      </c>
      <c r="B3" s="177" t="s">
        <v>488</v>
      </c>
      <c r="C3" s="183">
        <v>215941</v>
      </c>
      <c r="D3" s="183">
        <v>442475</v>
      </c>
      <c r="E3" s="183">
        <f t="shared" ref="E3:E33" si="1">C3-D3</f>
        <v>-226534</v>
      </c>
      <c r="F3" s="183">
        <v>0</v>
      </c>
      <c r="G3" s="221">
        <f t="shared" ref="G3:G33" si="2">G2+E3+F3</f>
        <v>99888</v>
      </c>
      <c r="H3" s="710"/>
      <c r="I3" s="339">
        <f t="shared" si="0"/>
        <v>442475</v>
      </c>
      <c r="J3" s="339"/>
      <c r="K3" s="339"/>
      <c r="L3" s="339"/>
      <c r="M3" s="339"/>
      <c r="N3" s="339"/>
      <c r="O3" s="675"/>
      <c r="P3" s="725" t="s">
        <v>769</v>
      </c>
      <c r="Q3" s="726"/>
      <c r="R3" s="222" t="s">
        <v>251</v>
      </c>
      <c r="S3" s="222" t="s">
        <v>252</v>
      </c>
      <c r="T3" s="222" t="s">
        <v>449</v>
      </c>
      <c r="U3" s="659" t="s">
        <v>773</v>
      </c>
      <c r="V3" s="724"/>
      <c r="W3" s="724"/>
      <c r="X3" s="733"/>
      <c r="Y3" s="713" t="s">
        <v>713</v>
      </c>
      <c r="Z3" s="714"/>
      <c r="AA3" s="714"/>
      <c r="AB3" s="715" t="s">
        <v>712</v>
      </c>
      <c r="AC3" s="715"/>
      <c r="AD3" s="716"/>
      <c r="AE3" s="81"/>
      <c r="AF3" s="246"/>
      <c r="AG3" s="247"/>
      <c r="AH3" s="247"/>
      <c r="AI3" s="247"/>
    </row>
    <row r="4" spans="1:35" ht="30.9" customHeight="1" thickTop="1" thickBot="1">
      <c r="A4" s="176">
        <v>46084</v>
      </c>
      <c r="B4" s="177" t="s">
        <v>489</v>
      </c>
      <c r="C4" s="183">
        <v>354947</v>
      </c>
      <c r="D4" s="183">
        <v>461328</v>
      </c>
      <c r="E4" s="183">
        <f t="shared" si="1"/>
        <v>-106381</v>
      </c>
      <c r="F4" s="183">
        <v>0</v>
      </c>
      <c r="G4" s="221">
        <f t="shared" si="2"/>
        <v>-6493</v>
      </c>
      <c r="H4" s="710"/>
      <c r="I4" s="339">
        <f t="shared" si="0"/>
        <v>461328</v>
      </c>
      <c r="J4" s="339"/>
      <c r="K4" s="339"/>
      <c r="L4" s="339"/>
      <c r="M4" s="339"/>
      <c r="N4" s="339"/>
      <c r="O4" s="675"/>
      <c r="P4" s="727">
        <f>C34</f>
        <v>15167731</v>
      </c>
      <c r="Q4" s="728"/>
      <c r="R4" s="224">
        <v>0</v>
      </c>
      <c r="S4" s="224">
        <v>0</v>
      </c>
      <c r="T4" s="224">
        <f>-F34</f>
        <v>3938</v>
      </c>
      <c r="U4" s="224">
        <v>26606</v>
      </c>
      <c r="V4" s="306"/>
      <c r="W4" s="306"/>
      <c r="X4" s="733"/>
      <c r="Y4" s="319" t="s">
        <v>714</v>
      </c>
      <c r="Z4" s="243">
        <f>192550+60165</f>
        <v>252715</v>
      </c>
      <c r="AA4" s="312">
        <f>Z4/$P$4</f>
        <v>1.6661358247980533E-2</v>
      </c>
      <c r="AB4" s="328" t="s">
        <v>719</v>
      </c>
      <c r="AC4" s="243">
        <f>Q8</f>
        <v>1057400</v>
      </c>
      <c r="AD4" s="313">
        <f>AC4/$P$4</f>
        <v>6.9713789096075077E-2</v>
      </c>
      <c r="AF4" s="249"/>
      <c r="AG4" s="250"/>
      <c r="AH4" s="250"/>
      <c r="AI4" s="250"/>
    </row>
    <row r="5" spans="1:35" ht="30.9" customHeight="1" thickTop="1" thickBot="1">
      <c r="A5" s="176">
        <v>46085</v>
      </c>
      <c r="B5" s="177" t="s">
        <v>490</v>
      </c>
      <c r="C5" s="183">
        <v>335661</v>
      </c>
      <c r="D5" s="183">
        <v>1261440</v>
      </c>
      <c r="E5" s="183">
        <f t="shared" si="1"/>
        <v>-925779</v>
      </c>
      <c r="F5" s="183">
        <v>0</v>
      </c>
      <c r="G5" s="221">
        <f t="shared" si="2"/>
        <v>-932272</v>
      </c>
      <c r="H5" s="710"/>
      <c r="I5" s="339">
        <f t="shared" si="0"/>
        <v>1261040</v>
      </c>
      <c r="J5" s="339"/>
      <c r="K5" s="339"/>
      <c r="L5" s="339"/>
      <c r="M5" s="339">
        <v>400</v>
      </c>
      <c r="N5" s="339"/>
      <c r="O5" s="675"/>
      <c r="P5" s="729"/>
      <c r="Q5" s="730"/>
      <c r="R5" s="225">
        <f>R4/P4</f>
        <v>0</v>
      </c>
      <c r="S5" s="225">
        <f>S4/P4</f>
        <v>0</v>
      </c>
      <c r="T5" s="226">
        <f>T4/P4</f>
        <v>2.5963013188986541E-4</v>
      </c>
      <c r="U5" s="226">
        <f>U4/P4</f>
        <v>1.7541186615189839E-3</v>
      </c>
      <c r="V5" s="307"/>
      <c r="W5" s="307"/>
      <c r="X5" s="733"/>
      <c r="Y5" s="319" t="s">
        <v>715</v>
      </c>
      <c r="Z5" s="243">
        <v>26055</v>
      </c>
      <c r="AA5" s="312">
        <f t="shared" ref="AA5:AA12" si="3">Z5/$P$4</f>
        <v>1.7177915404749729E-3</v>
      </c>
      <c r="AB5" s="328" t="s">
        <v>720</v>
      </c>
      <c r="AC5" s="243">
        <f>SUM(P14:W14)</f>
        <v>0</v>
      </c>
      <c r="AD5" s="313">
        <f t="shared" ref="AD5:AD12" si="4">AC5/$P$4</f>
        <v>0</v>
      </c>
      <c r="AF5" s="654" t="s">
        <v>639</v>
      </c>
      <c r="AG5" s="655"/>
      <c r="AH5" s="655"/>
      <c r="AI5" s="655"/>
    </row>
    <row r="6" spans="1:35" ht="30.9" customHeight="1" thickTop="1" thickBot="1">
      <c r="A6" s="176">
        <v>46086</v>
      </c>
      <c r="B6" s="177" t="s">
        <v>491</v>
      </c>
      <c r="C6" s="183">
        <v>477367</v>
      </c>
      <c r="D6" s="183">
        <v>427216</v>
      </c>
      <c r="E6" s="183">
        <f t="shared" si="1"/>
        <v>50151</v>
      </c>
      <c r="F6" s="183">
        <v>-72</v>
      </c>
      <c r="G6" s="221">
        <f t="shared" si="2"/>
        <v>-882193</v>
      </c>
      <c r="H6" s="710"/>
      <c r="I6" s="339">
        <f t="shared" si="0"/>
        <v>405784</v>
      </c>
      <c r="J6" s="339">
        <v>5000</v>
      </c>
      <c r="K6" s="339"/>
      <c r="L6" s="339"/>
      <c r="M6" s="339">
        <f>12716+320</f>
        <v>13036</v>
      </c>
      <c r="N6" s="339">
        <v>3396</v>
      </c>
      <c r="O6" s="675"/>
      <c r="P6" s="702" t="s">
        <v>250</v>
      </c>
      <c r="Q6" s="702"/>
      <c r="R6" s="702"/>
      <c r="S6" s="702"/>
      <c r="T6" s="702"/>
      <c r="U6" s="702"/>
      <c r="V6" s="702"/>
      <c r="W6" s="702"/>
      <c r="X6" s="733"/>
      <c r="Y6" s="319" t="s">
        <v>716</v>
      </c>
      <c r="Z6" s="243">
        <v>6080</v>
      </c>
      <c r="AA6" s="312">
        <f t="shared" si="3"/>
        <v>4.0085099083046765E-4</v>
      </c>
      <c r="AB6" s="328" t="s">
        <v>721</v>
      </c>
      <c r="AC6" s="243">
        <v>65089</v>
      </c>
      <c r="AD6" s="313">
        <f t="shared" si="4"/>
        <v>4.2912812733822874E-3</v>
      </c>
      <c r="AF6" s="630" t="s">
        <v>231</v>
      </c>
      <c r="AG6" s="630"/>
      <c r="AH6" s="490"/>
      <c r="AI6" s="490"/>
    </row>
    <row r="7" spans="1:35" ht="30.9" customHeight="1" thickTop="1" thickBot="1">
      <c r="A7" s="176">
        <v>46087</v>
      </c>
      <c r="B7" s="178" t="s">
        <v>485</v>
      </c>
      <c r="C7" s="183">
        <v>576366</v>
      </c>
      <c r="D7" s="183">
        <v>328130</v>
      </c>
      <c r="E7" s="183">
        <f t="shared" si="1"/>
        <v>248236</v>
      </c>
      <c r="F7" s="183">
        <v>-442</v>
      </c>
      <c r="G7" s="221">
        <f t="shared" si="2"/>
        <v>-634399</v>
      </c>
      <c r="H7" s="710"/>
      <c r="I7" s="339">
        <f t="shared" si="0"/>
        <v>323130</v>
      </c>
      <c r="J7" s="339">
        <v>5000</v>
      </c>
      <c r="K7" s="339"/>
      <c r="L7" s="339"/>
      <c r="M7" s="339"/>
      <c r="N7" s="339"/>
      <c r="O7" s="675"/>
      <c r="P7" s="329" t="s">
        <v>705</v>
      </c>
      <c r="Q7" s="290" t="s">
        <v>253</v>
      </c>
      <c r="R7" s="288" t="s">
        <v>624</v>
      </c>
      <c r="S7" s="222"/>
      <c r="T7" s="703" t="s">
        <v>247</v>
      </c>
      <c r="U7" s="704"/>
      <c r="V7" s="704"/>
      <c r="W7" s="704"/>
      <c r="X7" s="733"/>
      <c r="Y7" s="319" t="s">
        <v>717</v>
      </c>
      <c r="Z7" s="243">
        <f>S19</f>
        <v>46990</v>
      </c>
      <c r="AA7" s="312">
        <f t="shared" si="3"/>
        <v>3.098024351829552E-3</v>
      </c>
      <c r="AB7" s="328" t="s">
        <v>722</v>
      </c>
      <c r="AC7" s="243">
        <v>3407</v>
      </c>
      <c r="AD7" s="313">
        <f t="shared" si="4"/>
        <v>2.246215996314808E-4</v>
      </c>
      <c r="AF7" s="242" t="s">
        <v>640</v>
      </c>
      <c r="AG7" s="243">
        <v>300000</v>
      </c>
    </row>
    <row r="8" spans="1:35" ht="30.9" customHeight="1" thickTop="1" thickBot="1">
      <c r="A8" s="176">
        <v>46088</v>
      </c>
      <c r="B8" s="178" t="s">
        <v>486</v>
      </c>
      <c r="C8" s="183">
        <v>664572</v>
      </c>
      <c r="D8" s="183">
        <v>137357</v>
      </c>
      <c r="E8" s="183">
        <f t="shared" si="1"/>
        <v>527215</v>
      </c>
      <c r="F8" s="183">
        <v>-51</v>
      </c>
      <c r="G8" s="221">
        <f t="shared" si="2"/>
        <v>-107235</v>
      </c>
      <c r="H8" s="710"/>
      <c r="I8" s="339">
        <f t="shared" si="0"/>
        <v>128967</v>
      </c>
      <c r="J8" s="339">
        <v>7730</v>
      </c>
      <c r="K8" s="339"/>
      <c r="L8" s="339"/>
      <c r="M8" s="339">
        <v>660</v>
      </c>
      <c r="N8" s="339"/>
      <c r="O8" s="675"/>
      <c r="P8" s="330">
        <f>D34</f>
        <v>13380884</v>
      </c>
      <c r="Q8" s="291">
        <f>S16</f>
        <v>1057400</v>
      </c>
      <c r="R8" s="289">
        <f>U19</f>
        <v>384840</v>
      </c>
      <c r="S8" s="229"/>
      <c r="T8" s="705">
        <f>SUM(P8:S8)</f>
        <v>14823124</v>
      </c>
      <c r="U8" s="706"/>
      <c r="V8" s="706"/>
      <c r="W8" s="706"/>
      <c r="X8" s="733"/>
      <c r="Y8" s="319" t="s">
        <v>723</v>
      </c>
      <c r="Z8" s="243">
        <v>5500</v>
      </c>
      <c r="AA8" s="312">
        <f t="shared" si="3"/>
        <v>3.6261191604729806E-4</v>
      </c>
      <c r="AB8" s="328" t="s">
        <v>708</v>
      </c>
      <c r="AC8" s="243">
        <f>L34</f>
        <v>0</v>
      </c>
      <c r="AD8" s="313">
        <f t="shared" si="4"/>
        <v>0</v>
      </c>
      <c r="AF8" s="242" t="s">
        <v>641</v>
      </c>
      <c r="AG8" s="243">
        <v>55000</v>
      </c>
    </row>
    <row r="9" spans="1:35" ht="30.9" customHeight="1" thickTop="1" thickBot="1">
      <c r="A9" s="176">
        <v>46089</v>
      </c>
      <c r="B9" s="178" t="s">
        <v>487</v>
      </c>
      <c r="C9" s="183">
        <v>329965</v>
      </c>
      <c r="D9" s="183">
        <v>126180</v>
      </c>
      <c r="E9" s="183">
        <f t="shared" si="1"/>
        <v>203785</v>
      </c>
      <c r="F9" s="183">
        <v>0</v>
      </c>
      <c r="G9" s="221">
        <f t="shared" si="2"/>
        <v>96550</v>
      </c>
      <c r="H9" s="710"/>
      <c r="I9" s="339">
        <f t="shared" si="0"/>
        <v>126180</v>
      </c>
      <c r="J9" s="339"/>
      <c r="K9" s="339"/>
      <c r="L9" s="339"/>
      <c r="M9" s="339"/>
      <c r="N9" s="339"/>
      <c r="O9" s="675"/>
      <c r="P9" s="331" t="s">
        <v>266</v>
      </c>
      <c r="Q9" s="731">
        <f>P4-T8-U4-T4</f>
        <v>314063</v>
      </c>
      <c r="R9" s="732"/>
      <c r="S9" s="732"/>
      <c r="T9" s="732"/>
      <c r="U9" s="732"/>
      <c r="V9" s="732"/>
      <c r="W9" s="732"/>
      <c r="X9" s="733"/>
      <c r="Y9" s="319" t="s">
        <v>724</v>
      </c>
      <c r="Z9" s="243">
        <v>0</v>
      </c>
      <c r="AA9" s="312">
        <f t="shared" si="3"/>
        <v>0</v>
      </c>
      <c r="AB9" s="328" t="s">
        <v>707</v>
      </c>
      <c r="AC9" s="243">
        <f>K34</f>
        <v>56375</v>
      </c>
      <c r="AD9" s="313">
        <f t="shared" si="4"/>
        <v>3.7167721394848049E-3</v>
      </c>
      <c r="AF9" s="241" t="s">
        <v>495</v>
      </c>
      <c r="AG9" s="243">
        <v>35000</v>
      </c>
    </row>
    <row r="10" spans="1:35" ht="30.9" customHeight="1" thickTop="1" thickBot="1">
      <c r="A10" s="176">
        <v>46090</v>
      </c>
      <c r="B10" s="177" t="s">
        <v>488</v>
      </c>
      <c r="C10" s="183">
        <v>213426</v>
      </c>
      <c r="D10" s="183">
        <v>403100</v>
      </c>
      <c r="E10" s="183">
        <f t="shared" si="1"/>
        <v>-189674</v>
      </c>
      <c r="F10" s="183">
        <v>0</v>
      </c>
      <c r="G10" s="221">
        <f t="shared" si="2"/>
        <v>-93124</v>
      </c>
      <c r="H10" s="710"/>
      <c r="I10" s="339">
        <f t="shared" si="0"/>
        <v>403100</v>
      </c>
      <c r="J10" s="339"/>
      <c r="K10" s="339"/>
      <c r="L10" s="339"/>
      <c r="M10" s="339"/>
      <c r="N10" s="339"/>
      <c r="O10" s="675"/>
      <c r="P10" s="708" t="s">
        <v>257</v>
      </c>
      <c r="Q10" s="708"/>
      <c r="R10" s="708"/>
      <c r="S10" s="708"/>
      <c r="T10" s="708"/>
      <c r="U10" s="708"/>
      <c r="V10" s="708"/>
      <c r="W10" s="708"/>
      <c r="X10" s="733"/>
      <c r="Y10" s="319" t="s">
        <v>743</v>
      </c>
      <c r="Z10" s="243">
        <v>0</v>
      </c>
      <c r="AA10" s="312">
        <f t="shared" si="3"/>
        <v>0</v>
      </c>
      <c r="AB10" s="328" t="s">
        <v>706</v>
      </c>
      <c r="AC10" s="243">
        <f>J34</f>
        <v>74679</v>
      </c>
      <c r="AD10" s="313">
        <f t="shared" si="4"/>
        <v>4.923544596090213E-3</v>
      </c>
      <c r="AF10" s="244" t="s">
        <v>73</v>
      </c>
      <c r="AG10" s="245">
        <f>SUM(AG7:AG9)</f>
        <v>390000</v>
      </c>
      <c r="AH10" s="252"/>
      <c r="AI10" s="252"/>
    </row>
    <row r="11" spans="1:35" ht="30.9" customHeight="1" thickTop="1" thickBot="1">
      <c r="A11" s="176">
        <v>46091</v>
      </c>
      <c r="B11" s="177" t="s">
        <v>489</v>
      </c>
      <c r="C11" s="183">
        <v>761906</v>
      </c>
      <c r="D11" s="183">
        <v>256780</v>
      </c>
      <c r="E11" s="183">
        <f t="shared" si="1"/>
        <v>505126</v>
      </c>
      <c r="F11" s="183">
        <v>-98</v>
      </c>
      <c r="G11" s="221">
        <f t="shared" si="2"/>
        <v>411904</v>
      </c>
      <c r="H11" s="710"/>
      <c r="I11" s="339">
        <f t="shared" si="0"/>
        <v>245343</v>
      </c>
      <c r="J11" s="339"/>
      <c r="K11" s="339">
        <v>11437</v>
      </c>
      <c r="L11" s="339"/>
      <c r="M11" s="339"/>
      <c r="N11" s="339"/>
      <c r="O11" s="675"/>
      <c r="P11" s="707" t="s">
        <v>477</v>
      </c>
      <c r="Q11" s="707"/>
      <c r="R11" s="707"/>
      <c r="S11" s="707"/>
      <c r="T11" s="707"/>
      <c r="U11" s="707"/>
      <c r="V11" s="707"/>
      <c r="W11" s="707"/>
      <c r="X11" s="733"/>
      <c r="Y11" s="319" t="s">
        <v>744</v>
      </c>
      <c r="Z11" s="352">
        <v>0</v>
      </c>
      <c r="AA11" s="312">
        <f t="shared" si="3"/>
        <v>0</v>
      </c>
      <c r="AB11" s="328" t="s">
        <v>705</v>
      </c>
      <c r="AC11" s="243">
        <f>I34</f>
        <v>11791463</v>
      </c>
      <c r="AD11" s="313">
        <f t="shared" si="4"/>
        <v>0.77740454389651292</v>
      </c>
      <c r="AF11" s="647" t="s">
        <v>643</v>
      </c>
      <c r="AG11" s="647"/>
      <c r="AH11" s="647"/>
      <c r="AI11" s="647"/>
    </row>
    <row r="12" spans="1:35" ht="30.9" customHeight="1" thickTop="1" thickBot="1">
      <c r="A12" s="176">
        <v>46092</v>
      </c>
      <c r="B12" s="177" t="s">
        <v>490</v>
      </c>
      <c r="C12" s="183">
        <v>567056</v>
      </c>
      <c r="D12" s="183">
        <v>1041060</v>
      </c>
      <c r="E12" s="183">
        <f t="shared" si="1"/>
        <v>-474004</v>
      </c>
      <c r="F12" s="183">
        <v>-123</v>
      </c>
      <c r="G12" s="221">
        <f t="shared" si="2"/>
        <v>-62223</v>
      </c>
      <c r="H12" s="710"/>
      <c r="I12" s="339">
        <f t="shared" si="0"/>
        <v>1040740</v>
      </c>
      <c r="J12" s="339"/>
      <c r="K12" s="339"/>
      <c r="L12" s="339"/>
      <c r="M12" s="339">
        <v>320</v>
      </c>
      <c r="N12" s="339"/>
      <c r="O12" s="675"/>
      <c r="P12" s="269" t="s">
        <v>478</v>
      </c>
      <c r="Q12" s="229" t="s">
        <v>479</v>
      </c>
      <c r="R12" s="229" t="s">
        <v>480</v>
      </c>
      <c r="S12" s="229" t="s">
        <v>455</v>
      </c>
      <c r="T12" s="229" t="s">
        <v>468</v>
      </c>
      <c r="U12" s="258" t="s">
        <v>230</v>
      </c>
      <c r="V12" s="308" t="s">
        <v>670</v>
      </c>
      <c r="W12" s="308" t="s">
        <v>788</v>
      </c>
      <c r="X12" s="733"/>
      <c r="Y12" s="345" t="s">
        <v>771</v>
      </c>
      <c r="Z12" s="243">
        <v>0</v>
      </c>
      <c r="AA12" s="312">
        <f t="shared" si="3"/>
        <v>0</v>
      </c>
      <c r="AB12" s="328" t="s">
        <v>725</v>
      </c>
      <c r="AC12" s="243">
        <f>M34</f>
        <v>1144115</v>
      </c>
      <c r="AD12" s="313">
        <f t="shared" si="4"/>
        <v>7.5430860423355339E-2</v>
      </c>
      <c r="AF12" s="650" t="s">
        <v>644</v>
      </c>
      <c r="AG12" s="650"/>
      <c r="AH12" s="650"/>
      <c r="AI12" s="229">
        <v>0</v>
      </c>
    </row>
    <row r="13" spans="1:35" ht="30.9" customHeight="1" thickTop="1" thickBot="1">
      <c r="A13" s="176">
        <v>46093</v>
      </c>
      <c r="B13" s="177" t="s">
        <v>491</v>
      </c>
      <c r="C13" s="183">
        <v>498481</v>
      </c>
      <c r="D13" s="183">
        <v>168290</v>
      </c>
      <c r="E13" s="183">
        <f t="shared" si="1"/>
        <v>330191</v>
      </c>
      <c r="F13" s="183">
        <v>0</v>
      </c>
      <c r="G13" s="221">
        <f t="shared" si="2"/>
        <v>267968</v>
      </c>
      <c r="H13" s="710"/>
      <c r="I13" s="339">
        <f t="shared" si="0"/>
        <v>163290</v>
      </c>
      <c r="J13" s="339">
        <v>5000</v>
      </c>
      <c r="K13" s="339"/>
      <c r="L13" s="339"/>
      <c r="M13" s="339"/>
      <c r="N13" s="339"/>
      <c r="O13" s="675"/>
      <c r="P13" s="332">
        <f>AG10-75000-215000</f>
        <v>100000</v>
      </c>
      <c r="Q13" s="229">
        <f>163*1100</f>
        <v>179300</v>
      </c>
      <c r="R13" s="229">
        <v>0</v>
      </c>
      <c r="S13" s="229">
        <f>31.5*1100</f>
        <v>34650</v>
      </c>
      <c r="T13" s="229">
        <f>176*1100</f>
        <v>193600</v>
      </c>
      <c r="U13" s="229">
        <v>80000</v>
      </c>
      <c r="V13" s="266">
        <f>106*1100</f>
        <v>116600</v>
      </c>
      <c r="W13" s="266">
        <f>57.5*1100</f>
        <v>63250</v>
      </c>
      <c r="X13" s="733"/>
      <c r="Y13" s="311" t="s">
        <v>709</v>
      </c>
      <c r="Z13" s="317">
        <f>SUM(Z4:Z12)</f>
        <v>337340</v>
      </c>
      <c r="AA13" s="312">
        <f>SUM(AA4:AA12)</f>
        <v>2.2240637047162826E-2</v>
      </c>
      <c r="AB13" s="327" t="s">
        <v>709</v>
      </c>
      <c r="AC13" s="317">
        <f>SUM(AC4:AC12)</f>
        <v>14192528</v>
      </c>
      <c r="AD13" s="313">
        <f>SUM(AD4:AD12)</f>
        <v>0.93570541302453214</v>
      </c>
      <c r="AF13" s="650" t="s">
        <v>645</v>
      </c>
      <c r="AG13" s="650"/>
      <c r="AH13" s="261" t="s">
        <v>646</v>
      </c>
      <c r="AI13" s="229">
        <v>2000000</v>
      </c>
    </row>
    <row r="14" spans="1:35" ht="30.9" customHeight="1" thickTop="1" thickBot="1">
      <c r="A14" s="176">
        <v>46094</v>
      </c>
      <c r="B14" s="178" t="s">
        <v>485</v>
      </c>
      <c r="C14" s="183">
        <v>671593</v>
      </c>
      <c r="D14" s="183">
        <v>328686</v>
      </c>
      <c r="E14" s="183">
        <f t="shared" si="1"/>
        <v>342907</v>
      </c>
      <c r="F14" s="183">
        <v>-456</v>
      </c>
      <c r="G14" s="221">
        <f t="shared" si="2"/>
        <v>610419</v>
      </c>
      <c r="H14" s="710"/>
      <c r="I14" s="339">
        <f t="shared" si="0"/>
        <v>232433</v>
      </c>
      <c r="J14" s="339"/>
      <c r="K14" s="339">
        <v>9182</v>
      </c>
      <c r="L14" s="339"/>
      <c r="M14" s="339">
        <v>320</v>
      </c>
      <c r="N14" s="339">
        <f>6080+80671</f>
        <v>86751</v>
      </c>
      <c r="O14" s="675"/>
      <c r="P14" s="333">
        <v>0</v>
      </c>
      <c r="Q14" s="287">
        <v>0</v>
      </c>
      <c r="R14" s="287">
        <v>0</v>
      </c>
      <c r="S14" s="287">
        <v>0</v>
      </c>
      <c r="T14" s="287">
        <v>0</v>
      </c>
      <c r="U14" s="287">
        <v>0</v>
      </c>
      <c r="V14" s="287">
        <v>0</v>
      </c>
      <c r="W14" s="287">
        <v>0</v>
      </c>
      <c r="X14" s="733"/>
      <c r="Y14" s="735" t="s">
        <v>726</v>
      </c>
      <c r="Z14" s="736"/>
      <c r="AA14" s="737"/>
      <c r="AB14" s="347">
        <f>Z21+AC21</f>
        <v>193683</v>
      </c>
      <c r="AC14" s="681">
        <f>AA21+AD21</f>
        <v>1.2769411588325242E-2</v>
      </c>
      <c r="AD14" s="682"/>
      <c r="AE14" s="81"/>
      <c r="AF14" s="650"/>
      <c r="AG14" s="650"/>
      <c r="AH14" s="261" t="s">
        <v>647</v>
      </c>
      <c r="AI14" s="229">
        <v>0</v>
      </c>
    </row>
    <row r="15" spans="1:35" ht="30.9" customHeight="1" thickTop="1" thickBot="1">
      <c r="A15" s="176">
        <v>46095</v>
      </c>
      <c r="B15" s="178" t="s">
        <v>486</v>
      </c>
      <c r="C15" s="183">
        <v>748480</v>
      </c>
      <c r="D15" s="183">
        <v>946675</v>
      </c>
      <c r="E15" s="183">
        <f t="shared" si="1"/>
        <v>-198195</v>
      </c>
      <c r="F15" s="183">
        <v>-320</v>
      </c>
      <c r="G15" s="221">
        <f t="shared" si="2"/>
        <v>411904</v>
      </c>
      <c r="H15" s="710"/>
      <c r="I15" s="339">
        <f t="shared" si="0"/>
        <v>929101</v>
      </c>
      <c r="J15" s="339">
        <v>17574</v>
      </c>
      <c r="K15" s="339"/>
      <c r="L15" s="339"/>
      <c r="M15" s="339"/>
      <c r="N15" s="339"/>
      <c r="O15" s="675"/>
      <c r="P15" s="334">
        <f>SUM(P13:P14)</f>
        <v>100000</v>
      </c>
      <c r="Q15" s="234">
        <f t="shared" ref="Q15:W15" si="5">SUM(Q13:Q14)</f>
        <v>179300</v>
      </c>
      <c r="R15" s="234">
        <f t="shared" si="5"/>
        <v>0</v>
      </c>
      <c r="S15" s="234">
        <f t="shared" si="5"/>
        <v>34650</v>
      </c>
      <c r="T15" s="234">
        <f t="shared" si="5"/>
        <v>193600</v>
      </c>
      <c r="U15" s="234">
        <f t="shared" si="5"/>
        <v>80000</v>
      </c>
      <c r="V15" s="234">
        <f t="shared" si="5"/>
        <v>116600</v>
      </c>
      <c r="W15" s="260">
        <f t="shared" si="5"/>
        <v>63250</v>
      </c>
      <c r="X15" s="733"/>
      <c r="Y15" s="719" t="s">
        <v>729</v>
      </c>
      <c r="Z15" s="720"/>
      <c r="AA15" s="720"/>
      <c r="AB15" s="717" t="s">
        <v>730</v>
      </c>
      <c r="AC15" s="717"/>
      <c r="AD15" s="718"/>
      <c r="AE15" s="81"/>
      <c r="AF15" s="650" t="s">
        <v>648</v>
      </c>
      <c r="AG15" s="650" t="s">
        <v>649</v>
      </c>
      <c r="AH15" s="650"/>
      <c r="AI15" s="229">
        <v>0</v>
      </c>
    </row>
    <row r="16" spans="1:35" ht="30.9" customHeight="1" thickTop="1" thickBot="1">
      <c r="A16" s="176">
        <v>46096</v>
      </c>
      <c r="B16" s="178" t="s">
        <v>487</v>
      </c>
      <c r="C16" s="183">
        <v>628068</v>
      </c>
      <c r="D16" s="183">
        <v>299858</v>
      </c>
      <c r="E16" s="183">
        <f t="shared" si="1"/>
        <v>328210</v>
      </c>
      <c r="F16" s="183">
        <v>-250</v>
      </c>
      <c r="G16" s="221">
        <f t="shared" si="2"/>
        <v>739864</v>
      </c>
      <c r="H16" s="710"/>
      <c r="I16" s="339">
        <f t="shared" si="0"/>
        <v>299858</v>
      </c>
      <c r="J16" s="339"/>
      <c r="K16" s="339"/>
      <c r="L16" s="339"/>
      <c r="M16" s="339"/>
      <c r="N16" s="339"/>
      <c r="O16" s="675"/>
      <c r="P16" s="698" t="s">
        <v>247</v>
      </c>
      <c r="Q16" s="641"/>
      <c r="R16" s="641"/>
      <c r="S16" s="648">
        <f>SUM(Q15:W15)+AG10</f>
        <v>1057400</v>
      </c>
      <c r="T16" s="699"/>
      <c r="U16" s="699"/>
      <c r="V16" s="699"/>
      <c r="W16" s="699"/>
      <c r="X16" s="733"/>
      <c r="Y16" s="324" t="s">
        <v>728</v>
      </c>
      <c r="Z16" s="243">
        <f>S23</f>
        <v>52000</v>
      </c>
      <c r="AA16" s="312">
        <f>Z16/$P$4</f>
        <v>3.4283308426289998E-3</v>
      </c>
      <c r="AB16" s="321" t="s">
        <v>731</v>
      </c>
      <c r="AC16" s="243">
        <f>U4</f>
        <v>26606</v>
      </c>
      <c r="AD16" s="313">
        <f>AC16/$P$4</f>
        <v>1.7541186615189839E-3</v>
      </c>
      <c r="AF16" s="650"/>
      <c r="AG16" s="650" t="s">
        <v>650</v>
      </c>
      <c r="AH16" s="650"/>
      <c r="AI16" s="229">
        <v>100000</v>
      </c>
    </row>
    <row r="17" spans="1:35" ht="30.9" customHeight="1" thickTop="1" thickBot="1">
      <c r="A17" s="176">
        <v>46097</v>
      </c>
      <c r="B17" s="177" t="s">
        <v>488</v>
      </c>
      <c r="C17" s="183">
        <v>320903</v>
      </c>
      <c r="D17" s="183">
        <v>1114191</v>
      </c>
      <c r="E17" s="183">
        <f t="shared" si="1"/>
        <v>-793288</v>
      </c>
      <c r="F17" s="183">
        <v>0</v>
      </c>
      <c r="G17" s="221">
        <f t="shared" si="2"/>
        <v>-53424</v>
      </c>
      <c r="H17" s="710"/>
      <c r="I17" s="339">
        <f t="shared" si="0"/>
        <v>718191</v>
      </c>
      <c r="J17" s="339"/>
      <c r="K17" s="339"/>
      <c r="L17" s="339"/>
      <c r="M17" s="339">
        <v>396000</v>
      </c>
      <c r="N17" s="339"/>
      <c r="O17" s="675"/>
      <c r="P17" s="688" t="s">
        <v>482</v>
      </c>
      <c r="Q17" s="643"/>
      <c r="R17" s="643"/>
      <c r="S17" s="643"/>
      <c r="T17" s="643"/>
      <c r="U17" s="649"/>
      <c r="V17" s="283"/>
      <c r="W17" s="283"/>
      <c r="X17" s="733"/>
      <c r="Y17" s="324" t="s">
        <v>727</v>
      </c>
      <c r="Z17" s="243">
        <f>T23</f>
        <v>42200</v>
      </c>
      <c r="AA17" s="312">
        <f t="shared" ref="AA17:AA20" si="6">Z17/$P$4</f>
        <v>2.7822223376719958E-3</v>
      </c>
      <c r="AB17" s="321" t="s">
        <v>732</v>
      </c>
      <c r="AC17" s="243">
        <v>939</v>
      </c>
      <c r="AD17" s="313">
        <f t="shared" ref="AD17" si="7">AC17/$P$4</f>
        <v>6.1907743485165972E-5</v>
      </c>
      <c r="AF17" s="261" t="s">
        <v>651</v>
      </c>
      <c r="AG17" s="650" t="s">
        <v>652</v>
      </c>
      <c r="AH17" s="650"/>
      <c r="AI17" s="229">
        <v>600000</v>
      </c>
    </row>
    <row r="18" spans="1:35" ht="30.9" customHeight="1" thickTop="1" thickBot="1">
      <c r="A18" s="176">
        <v>46098</v>
      </c>
      <c r="B18" s="177" t="s">
        <v>489</v>
      </c>
      <c r="C18" s="183">
        <v>374682</v>
      </c>
      <c r="D18" s="183">
        <v>209290</v>
      </c>
      <c r="E18" s="183">
        <f t="shared" si="1"/>
        <v>165392</v>
      </c>
      <c r="F18" s="183">
        <v>0</v>
      </c>
      <c r="G18" s="221">
        <f t="shared" si="2"/>
        <v>111968</v>
      </c>
      <c r="H18" s="710"/>
      <c r="I18" s="339">
        <f t="shared" si="0"/>
        <v>209290</v>
      </c>
      <c r="J18" s="339"/>
      <c r="K18" s="339"/>
      <c r="L18" s="339"/>
      <c r="M18" s="339"/>
      <c r="N18" s="339"/>
      <c r="O18" s="675"/>
      <c r="P18" s="284"/>
      <c r="Q18" s="354" t="s">
        <v>803</v>
      </c>
      <c r="R18" s="343" t="s">
        <v>760</v>
      </c>
      <c r="S18" s="294" t="s">
        <v>703</v>
      </c>
      <c r="T18" s="236" t="s">
        <v>498</v>
      </c>
      <c r="U18" s="683" t="s">
        <v>247</v>
      </c>
      <c r="V18" s="684"/>
      <c r="W18" s="684"/>
      <c r="X18" s="733"/>
      <c r="Y18" s="324" t="s">
        <v>733</v>
      </c>
      <c r="Z18" s="243">
        <f>R23</f>
        <v>18000</v>
      </c>
      <c r="AA18" s="312">
        <f t="shared" si="6"/>
        <v>1.1867299070638846E-3</v>
      </c>
      <c r="AB18" s="322"/>
      <c r="AC18" s="243"/>
      <c r="AD18" s="313"/>
      <c r="AF18" s="650" t="s">
        <v>777</v>
      </c>
      <c r="AG18" s="650"/>
      <c r="AH18" s="650"/>
      <c r="AI18" s="229">
        <f>219847235/173</f>
        <v>1270793.2658959539</v>
      </c>
    </row>
    <row r="19" spans="1:35" ht="30.9" customHeight="1" thickTop="1" thickBot="1">
      <c r="A19" s="176">
        <v>46099</v>
      </c>
      <c r="B19" s="177" t="s">
        <v>490</v>
      </c>
      <c r="C19" s="183">
        <v>289861</v>
      </c>
      <c r="D19" s="183">
        <v>304675</v>
      </c>
      <c r="E19" s="183">
        <f t="shared" si="1"/>
        <v>-14814</v>
      </c>
      <c r="F19" s="183">
        <v>0</v>
      </c>
      <c r="G19" s="221">
        <f t="shared" si="2"/>
        <v>97154</v>
      </c>
      <c r="H19" s="710"/>
      <c r="I19" s="339">
        <f t="shared" si="0"/>
        <v>304675</v>
      </c>
      <c r="J19" s="339"/>
      <c r="K19" s="339"/>
      <c r="L19" s="339"/>
      <c r="M19" s="339"/>
      <c r="N19" s="339"/>
      <c r="O19" s="675"/>
      <c r="P19" s="335"/>
      <c r="Q19" s="355">
        <f>106.5*1100</f>
        <v>117150</v>
      </c>
      <c r="R19" s="344">
        <f>6500*9</f>
        <v>58500</v>
      </c>
      <c r="S19" s="295">
        <f>39940+7050</f>
        <v>46990</v>
      </c>
      <c r="T19" s="238">
        <f>U23</f>
        <v>162200</v>
      </c>
      <c r="U19" s="685">
        <f>SUM(P19:T19)</f>
        <v>384840</v>
      </c>
      <c r="V19" s="686"/>
      <c r="W19" s="686"/>
      <c r="X19" s="733"/>
      <c r="Y19" s="324" t="s">
        <v>734</v>
      </c>
      <c r="Z19" s="243">
        <f>Q23</f>
        <v>50000</v>
      </c>
      <c r="AA19" s="312">
        <f t="shared" si="6"/>
        <v>3.2964719640663459E-3</v>
      </c>
      <c r="AB19" s="322"/>
      <c r="AC19" s="243"/>
      <c r="AD19" s="313"/>
      <c r="AF19" s="652" t="s">
        <v>654</v>
      </c>
      <c r="AG19" s="652"/>
      <c r="AH19" s="652"/>
      <c r="AI19" s="229">
        <v>5600000</v>
      </c>
    </row>
    <row r="20" spans="1:35" ht="30.9" customHeight="1" thickTop="1" thickBot="1">
      <c r="A20" s="176">
        <v>46100</v>
      </c>
      <c r="B20" s="177" t="s">
        <v>491</v>
      </c>
      <c r="C20" s="183">
        <v>527255</v>
      </c>
      <c r="D20" s="183">
        <v>380694</v>
      </c>
      <c r="E20" s="183">
        <f t="shared" si="1"/>
        <v>146561</v>
      </c>
      <c r="F20" s="183">
        <v>0</v>
      </c>
      <c r="G20" s="221">
        <f t="shared" si="2"/>
        <v>243715</v>
      </c>
      <c r="H20" s="710"/>
      <c r="I20" s="339">
        <f t="shared" si="0"/>
        <v>369934</v>
      </c>
      <c r="J20" s="339">
        <v>10240</v>
      </c>
      <c r="K20" s="339"/>
      <c r="L20" s="339"/>
      <c r="M20" s="339">
        <v>520</v>
      </c>
      <c r="N20" s="339"/>
      <c r="O20" s="675"/>
      <c r="P20" s="269"/>
      <c r="Q20" s="232"/>
      <c r="R20" s="232"/>
      <c r="S20" s="232"/>
      <c r="T20" s="232"/>
      <c r="U20" s="232"/>
      <c r="V20" s="310"/>
      <c r="W20" s="310"/>
      <c r="X20" s="733"/>
      <c r="Y20" s="324" t="s">
        <v>746</v>
      </c>
      <c r="Z20" s="243">
        <f>T4</f>
        <v>3938</v>
      </c>
      <c r="AA20" s="312">
        <f t="shared" si="6"/>
        <v>2.5963013188986541E-4</v>
      </c>
      <c r="AB20" s="314"/>
      <c r="AC20" s="243"/>
      <c r="AD20" s="313"/>
      <c r="AF20" s="652" t="s">
        <v>655</v>
      </c>
      <c r="AG20" s="652"/>
      <c r="AH20" s="652"/>
      <c r="AI20" s="229">
        <v>6000000</v>
      </c>
    </row>
    <row r="21" spans="1:35" ht="30.9" customHeight="1" thickTop="1" thickBot="1">
      <c r="A21" s="176">
        <v>46101</v>
      </c>
      <c r="B21" s="178" t="s">
        <v>485</v>
      </c>
      <c r="C21" s="183">
        <v>632092</v>
      </c>
      <c r="D21" s="183">
        <v>173129</v>
      </c>
      <c r="E21" s="183">
        <f t="shared" si="1"/>
        <v>458963</v>
      </c>
      <c r="F21" s="183">
        <v>-554</v>
      </c>
      <c r="G21" s="221">
        <f t="shared" si="2"/>
        <v>702124</v>
      </c>
      <c r="H21" s="710"/>
      <c r="I21" s="339">
        <f t="shared" si="0"/>
        <v>168129</v>
      </c>
      <c r="J21" s="339">
        <v>5000</v>
      </c>
      <c r="K21" s="339"/>
      <c r="L21" s="339"/>
      <c r="M21" s="339"/>
      <c r="N21" s="339"/>
      <c r="O21" s="675"/>
      <c r="P21" s="687" t="s">
        <v>772</v>
      </c>
      <c r="Q21" s="687"/>
      <c r="R21" s="687"/>
      <c r="S21" s="687"/>
      <c r="T21" s="687"/>
      <c r="U21" s="687"/>
      <c r="V21" s="687"/>
      <c r="W21" s="687"/>
      <c r="X21" s="733"/>
      <c r="Y21" s="326" t="s">
        <v>709</v>
      </c>
      <c r="Z21" s="318">
        <f>SUM(Z16:Z20)</f>
        <v>166138</v>
      </c>
      <c r="AA21" s="315">
        <f>SUM(AA16:AA20)</f>
        <v>1.0953385183321092E-2</v>
      </c>
      <c r="AB21" s="323" t="s">
        <v>709</v>
      </c>
      <c r="AC21" s="318">
        <f>SUM(AC16:AC20)</f>
        <v>27545</v>
      </c>
      <c r="AD21" s="316">
        <f>SUM(AD16:AD20)</f>
        <v>1.8160264050041499E-3</v>
      </c>
      <c r="AF21" s="653" t="s">
        <v>247</v>
      </c>
      <c r="AG21" s="653"/>
      <c r="AH21" s="653"/>
      <c r="AI21" s="270">
        <f>SUM(AI12:AI20)</f>
        <v>15570793.265895953</v>
      </c>
    </row>
    <row r="22" spans="1:35" ht="30.9" customHeight="1" thickTop="1" thickBot="1">
      <c r="A22" s="176">
        <v>46102</v>
      </c>
      <c r="B22" s="178" t="s">
        <v>486</v>
      </c>
      <c r="C22" s="183">
        <v>763879</v>
      </c>
      <c r="D22" s="183">
        <v>209115</v>
      </c>
      <c r="E22" s="183">
        <f t="shared" si="1"/>
        <v>554764</v>
      </c>
      <c r="F22" s="183">
        <v>-120</v>
      </c>
      <c r="G22" s="221">
        <f t="shared" si="2"/>
        <v>1256768</v>
      </c>
      <c r="H22" s="710"/>
      <c r="I22" s="339">
        <f t="shared" si="0"/>
        <v>183445</v>
      </c>
      <c r="J22" s="339"/>
      <c r="K22" s="339">
        <v>25670</v>
      </c>
      <c r="L22" s="339"/>
      <c r="M22" s="339"/>
      <c r="N22" s="339"/>
      <c r="O22" s="675"/>
      <c r="P22" s="336" t="s">
        <v>625</v>
      </c>
      <c r="Q22" s="299" t="s">
        <v>770</v>
      </c>
      <c r="R22" s="299" t="s">
        <v>733</v>
      </c>
      <c r="S22" s="299" t="s">
        <v>728</v>
      </c>
      <c r="T22" s="299" t="s">
        <v>727</v>
      </c>
      <c r="U22" s="690" t="s">
        <v>247</v>
      </c>
      <c r="V22" s="741"/>
      <c r="W22" s="691"/>
      <c r="X22" s="733"/>
      <c r="Y22" s="694" t="s">
        <v>745</v>
      </c>
      <c r="Z22" s="695"/>
      <c r="AA22" s="695"/>
      <c r="AB22" s="695"/>
      <c r="AC22" s="721">
        <f>AC14+AC2</f>
        <v>0.97071546166002021</v>
      </c>
      <c r="AD22" s="721"/>
      <c r="AF22" s="661"/>
      <c r="AG22" s="662"/>
      <c r="AH22" s="662"/>
      <c r="AI22" s="662"/>
    </row>
    <row r="23" spans="1:35" ht="30.9" customHeight="1" thickTop="1" thickBot="1">
      <c r="A23" s="176">
        <v>46103</v>
      </c>
      <c r="B23" s="178" t="s">
        <v>487</v>
      </c>
      <c r="C23" s="183">
        <v>361402</v>
      </c>
      <c r="D23" s="183">
        <v>201926</v>
      </c>
      <c r="E23" s="183">
        <f t="shared" si="1"/>
        <v>159476</v>
      </c>
      <c r="F23" s="183">
        <v>0</v>
      </c>
      <c r="G23" s="221">
        <f t="shared" si="2"/>
        <v>1416244</v>
      </c>
      <c r="H23" s="710"/>
      <c r="I23" s="339">
        <f t="shared" si="0"/>
        <v>201926</v>
      </c>
      <c r="J23" s="339"/>
      <c r="K23" s="339"/>
      <c r="L23" s="339"/>
      <c r="M23" s="339"/>
      <c r="N23" s="339"/>
      <c r="O23" s="675"/>
      <c r="P23" s="335">
        <v>0</v>
      </c>
      <c r="Q23" s="353">
        <v>50000</v>
      </c>
      <c r="R23" s="298">
        <v>18000</v>
      </c>
      <c r="S23" s="353">
        <v>52000</v>
      </c>
      <c r="T23" s="298">
        <v>42200</v>
      </c>
      <c r="U23" s="692">
        <f>SUM(P23:T23)</f>
        <v>162200</v>
      </c>
      <c r="V23" s="742"/>
      <c r="W23" s="693"/>
      <c r="X23" s="733"/>
      <c r="Y23" s="696"/>
      <c r="Z23" s="697"/>
      <c r="AA23" s="697"/>
      <c r="AB23" s="697"/>
      <c r="AC23" s="722"/>
      <c r="AD23" s="722"/>
      <c r="AF23" s="647" t="s">
        <v>665</v>
      </c>
      <c r="AG23" s="647"/>
      <c r="AH23" s="647"/>
      <c r="AI23" s="647"/>
    </row>
    <row r="24" spans="1:35" ht="30.9" customHeight="1" thickTop="1" thickBot="1">
      <c r="A24" s="176">
        <v>46104</v>
      </c>
      <c r="B24" s="177" t="s">
        <v>488</v>
      </c>
      <c r="C24" s="183">
        <v>209668</v>
      </c>
      <c r="D24" s="183">
        <v>134194</v>
      </c>
      <c r="E24" s="183">
        <f t="shared" si="1"/>
        <v>75474</v>
      </c>
      <c r="F24" s="183">
        <v>0</v>
      </c>
      <c r="G24" s="184">
        <f t="shared" si="2"/>
        <v>1491718</v>
      </c>
      <c r="H24" s="710"/>
      <c r="I24" s="339">
        <f t="shared" si="0"/>
        <v>123894</v>
      </c>
      <c r="J24" s="339"/>
      <c r="K24" s="339"/>
      <c r="L24" s="339"/>
      <c r="M24" s="339">
        <f>10000+300</f>
        <v>10300</v>
      </c>
      <c r="N24" s="339"/>
      <c r="O24" s="675"/>
      <c r="X24" s="733"/>
      <c r="Y24" s="711" t="s">
        <v>735</v>
      </c>
      <c r="Z24" s="711"/>
      <c r="AA24" s="711"/>
      <c r="AB24" s="711"/>
      <c r="AC24" s="711"/>
      <c r="AD24" s="711"/>
      <c r="AF24" s="656" t="s">
        <v>666</v>
      </c>
      <c r="AG24" s="658"/>
      <c r="AH24" s="657"/>
      <c r="AI24" s="232"/>
    </row>
    <row r="25" spans="1:35" ht="30.9" customHeight="1" thickTop="1" thickBot="1">
      <c r="A25" s="176">
        <v>46105</v>
      </c>
      <c r="B25" s="177" t="s">
        <v>489</v>
      </c>
      <c r="C25" s="183">
        <v>259655</v>
      </c>
      <c r="D25" s="350">
        <v>0</v>
      </c>
      <c r="E25" s="183">
        <f t="shared" si="1"/>
        <v>259655</v>
      </c>
      <c r="F25" s="183">
        <v>0</v>
      </c>
      <c r="G25" s="184">
        <f t="shared" si="2"/>
        <v>1751373</v>
      </c>
      <c r="H25" s="710"/>
      <c r="I25" s="339">
        <f t="shared" si="0"/>
        <v>0</v>
      </c>
      <c r="J25" s="339"/>
      <c r="K25" s="339"/>
      <c r="L25" s="339"/>
      <c r="M25" s="339"/>
      <c r="N25" s="339"/>
      <c r="O25" s="675"/>
      <c r="P25" s="689" t="s">
        <v>672</v>
      </c>
      <c r="Q25" s="664"/>
      <c r="R25" s="664"/>
      <c r="S25" s="664"/>
      <c r="T25" s="664"/>
      <c r="U25" s="664"/>
      <c r="V25" s="285"/>
      <c r="W25" s="285"/>
      <c r="X25" s="733"/>
      <c r="Y25" s="300"/>
      <c r="Z25" s="712" t="s">
        <v>739</v>
      </c>
      <c r="AA25" s="712"/>
      <c r="AB25" s="301" t="s">
        <v>738</v>
      </c>
      <c r="AC25" s="712" t="s">
        <v>740</v>
      </c>
      <c r="AD25" s="712"/>
      <c r="AF25" s="268"/>
      <c r="AG25" s="656"/>
      <c r="AH25" s="657"/>
      <c r="AI25" s="232"/>
    </row>
    <row r="26" spans="1:35" ht="30.9" customHeight="1" thickTop="1" thickBot="1">
      <c r="A26" s="176">
        <v>46106</v>
      </c>
      <c r="B26" s="177" t="s">
        <v>490</v>
      </c>
      <c r="C26" s="350">
        <v>250349</v>
      </c>
      <c r="D26" s="350">
        <v>181638</v>
      </c>
      <c r="E26" s="183">
        <f t="shared" si="1"/>
        <v>68711</v>
      </c>
      <c r="F26" s="183">
        <v>0</v>
      </c>
      <c r="G26" s="184">
        <f t="shared" si="2"/>
        <v>1820084</v>
      </c>
      <c r="H26" s="710"/>
      <c r="I26" s="339">
        <f t="shared" si="0"/>
        <v>181638</v>
      </c>
      <c r="J26" s="339"/>
      <c r="K26" s="339"/>
      <c r="L26" s="339"/>
      <c r="M26" s="339"/>
      <c r="N26" s="339"/>
      <c r="O26" s="675"/>
      <c r="P26" s="337"/>
      <c r="Q26" s="665"/>
      <c r="R26" s="665"/>
      <c r="S26" s="665"/>
      <c r="T26" s="665"/>
      <c r="U26" s="665"/>
      <c r="V26" s="286"/>
      <c r="W26" s="286"/>
      <c r="X26" s="733"/>
      <c r="Y26" s="302" t="s">
        <v>736</v>
      </c>
      <c r="Z26" s="303">
        <v>14271336</v>
      </c>
      <c r="AA26" s="305">
        <f>(AB26/Z26)-100%</f>
        <v>6.2810867882306276E-2</v>
      </c>
      <c r="AB26" s="304">
        <f>C34</f>
        <v>15167731</v>
      </c>
      <c r="AC26" s="303">
        <v>20173970</v>
      </c>
      <c r="AD26" s="305">
        <f>AB26/AC26-100%</f>
        <v>-0.24815338775659923</v>
      </c>
      <c r="AF26" s="268"/>
      <c r="AG26" s="656"/>
      <c r="AH26" s="657"/>
      <c r="AI26" s="232"/>
    </row>
    <row r="27" spans="1:35" ht="30.9" customHeight="1" thickTop="1" thickBot="1">
      <c r="A27" s="176">
        <v>46107</v>
      </c>
      <c r="B27" s="177" t="s">
        <v>491</v>
      </c>
      <c r="C27" s="350">
        <v>499440</v>
      </c>
      <c r="D27" s="350">
        <v>892354</v>
      </c>
      <c r="E27" s="183">
        <f t="shared" si="1"/>
        <v>-392914</v>
      </c>
      <c r="F27" s="183">
        <v>-241</v>
      </c>
      <c r="G27" s="184">
        <f t="shared" si="2"/>
        <v>1426929</v>
      </c>
      <c r="H27" s="710"/>
      <c r="I27" s="339">
        <f t="shared" si="0"/>
        <v>702723</v>
      </c>
      <c r="J27" s="339">
        <v>8131</v>
      </c>
      <c r="K27" s="339"/>
      <c r="L27" s="339"/>
      <c r="M27" s="339">
        <v>176000</v>
      </c>
      <c r="N27" s="339">
        <v>5500</v>
      </c>
      <c r="O27" s="675"/>
      <c r="P27" s="282"/>
      <c r="Q27" s="665" t="s">
        <v>806</v>
      </c>
      <c r="R27" s="665"/>
      <c r="S27" s="665"/>
      <c r="T27" s="665"/>
      <c r="U27" s="665"/>
      <c r="V27" s="286"/>
      <c r="W27" s="286"/>
      <c r="X27" s="733"/>
      <c r="Y27" s="302" t="s">
        <v>510</v>
      </c>
      <c r="Z27" s="303">
        <v>13729838</v>
      </c>
      <c r="AA27" s="305">
        <f>(AB27/Z27)-100%</f>
        <v>7.962847048887256E-2</v>
      </c>
      <c r="AB27" s="304">
        <f>T8</f>
        <v>14823124</v>
      </c>
      <c r="AC27" s="303">
        <v>19986117</v>
      </c>
      <c r="AD27" s="305">
        <f>AB27/AC27-100%</f>
        <v>-0.25832896905386871</v>
      </c>
      <c r="AF27" s="268"/>
      <c r="AG27" s="656"/>
      <c r="AH27" s="657"/>
      <c r="AI27" s="232"/>
    </row>
    <row r="28" spans="1:35" ht="30.9" customHeight="1" thickTop="1" thickBot="1">
      <c r="A28" s="176">
        <v>46108</v>
      </c>
      <c r="B28" s="178" t="s">
        <v>485</v>
      </c>
      <c r="C28" s="350">
        <v>835337</v>
      </c>
      <c r="D28" s="350">
        <v>337649</v>
      </c>
      <c r="E28" s="183">
        <f t="shared" si="1"/>
        <v>497688</v>
      </c>
      <c r="F28" s="183">
        <v>-245</v>
      </c>
      <c r="G28" s="184">
        <f t="shared" si="2"/>
        <v>1924372</v>
      </c>
      <c r="H28" s="710"/>
      <c r="I28" s="339">
        <f t="shared" si="0"/>
        <v>333649</v>
      </c>
      <c r="J28" s="339"/>
      <c r="K28" s="339"/>
      <c r="L28" s="339"/>
      <c r="M28" s="339">
        <v>4000</v>
      </c>
      <c r="N28" s="339"/>
      <c r="O28" s="675"/>
      <c r="P28" s="282"/>
      <c r="Q28" s="665" t="s">
        <v>804</v>
      </c>
      <c r="R28" s="665"/>
      <c r="S28" s="665"/>
      <c r="T28" s="665"/>
      <c r="U28" s="665"/>
      <c r="V28" s="286"/>
      <c r="W28" s="286"/>
      <c r="X28" s="733"/>
      <c r="Y28" s="302" t="s">
        <v>737</v>
      </c>
      <c r="Z28" s="303">
        <v>541498</v>
      </c>
      <c r="AA28" s="305">
        <f>(AB28/Z28)-100%</f>
        <v>-0.36360429770747071</v>
      </c>
      <c r="AB28" s="304">
        <f>AB26-AB27</f>
        <v>344607</v>
      </c>
      <c r="AC28" s="303">
        <f>AC26-AC27</f>
        <v>187853</v>
      </c>
      <c r="AD28" s="305">
        <f t="shared" ref="AD28:AD31" si="8">AB28/AC28-100%</f>
        <v>0.83445034149042074</v>
      </c>
      <c r="AF28" s="268"/>
      <c r="AG28" s="656"/>
      <c r="AH28" s="657"/>
      <c r="AI28" s="232"/>
    </row>
    <row r="29" spans="1:35" ht="30.9" customHeight="1" thickTop="1" thickBot="1">
      <c r="A29" s="176">
        <v>46109</v>
      </c>
      <c r="B29" s="178" t="s">
        <v>486</v>
      </c>
      <c r="C29" s="350">
        <v>958816</v>
      </c>
      <c r="D29" s="350">
        <v>690917</v>
      </c>
      <c r="E29" s="183">
        <f t="shared" si="1"/>
        <v>267899</v>
      </c>
      <c r="F29" s="183">
        <v>-554</v>
      </c>
      <c r="G29" s="184">
        <f t="shared" si="2"/>
        <v>2191717</v>
      </c>
      <c r="H29" s="710"/>
      <c r="I29" s="339">
        <f t="shared" si="0"/>
        <v>690917</v>
      </c>
      <c r="J29" s="339"/>
      <c r="K29" s="339"/>
      <c r="L29" s="339"/>
      <c r="M29" s="339"/>
      <c r="N29" s="339"/>
      <c r="O29" s="675"/>
      <c r="P29" s="282"/>
      <c r="Q29" s="665" t="s">
        <v>785</v>
      </c>
      <c r="R29" s="665"/>
      <c r="S29" s="665"/>
      <c r="T29" s="665"/>
      <c r="U29" s="665"/>
      <c r="V29" s="286"/>
      <c r="W29" s="286"/>
      <c r="X29" s="733"/>
      <c r="Y29" s="302" t="s">
        <v>757</v>
      </c>
      <c r="Z29" s="341">
        <v>3832</v>
      </c>
      <c r="AA29" s="305">
        <f t="shared" ref="AA29:AA31" si="9">(AB29/Z29)-100%</f>
        <v>-2.2442588726513613E-2</v>
      </c>
      <c r="AB29" s="342">
        <v>3746</v>
      </c>
      <c r="AC29" s="341">
        <v>3706</v>
      </c>
      <c r="AD29" s="305">
        <f t="shared" si="8"/>
        <v>1.0793308148947744E-2</v>
      </c>
      <c r="AF29" s="658" t="s">
        <v>667</v>
      </c>
      <c r="AG29" s="658"/>
      <c r="AH29" s="657"/>
      <c r="AI29" s="232"/>
    </row>
    <row r="30" spans="1:35" ht="30.9" customHeight="1" thickTop="1" thickBot="1">
      <c r="A30" s="176">
        <v>46110</v>
      </c>
      <c r="B30" s="178" t="s">
        <v>487</v>
      </c>
      <c r="C30" s="350">
        <v>503394</v>
      </c>
      <c r="D30" s="350">
        <v>511260</v>
      </c>
      <c r="E30" s="183">
        <f>C30-D30</f>
        <v>-7866</v>
      </c>
      <c r="F30" s="183">
        <v>-41</v>
      </c>
      <c r="G30" s="184">
        <f t="shared" si="2"/>
        <v>2183810</v>
      </c>
      <c r="H30" s="710"/>
      <c r="I30" s="339">
        <f t="shared" si="0"/>
        <v>232490</v>
      </c>
      <c r="J30" s="339"/>
      <c r="K30" s="339"/>
      <c r="L30" s="339"/>
      <c r="M30" s="339">
        <v>60165</v>
      </c>
      <c r="N30" s="339">
        <f>26055+192550</f>
        <v>218605</v>
      </c>
      <c r="O30" s="675"/>
      <c r="P30" s="282"/>
      <c r="Q30" s="739" t="s">
        <v>805</v>
      </c>
      <c r="R30" s="740"/>
      <c r="S30" s="740"/>
      <c r="T30" s="740"/>
      <c r="U30" s="740"/>
      <c r="V30" s="349"/>
      <c r="W30" s="286"/>
      <c r="X30" s="733"/>
      <c r="Y30" s="302" t="s">
        <v>758</v>
      </c>
      <c r="Z30" s="303">
        <v>3724.2526096033403</v>
      </c>
      <c r="AA30" s="305">
        <f t="shared" si="9"/>
        <v>8.7210690262946367E-2</v>
      </c>
      <c r="AB30" s="304">
        <f>AB26/AB29</f>
        <v>4049.0472504004269</v>
      </c>
      <c r="AC30" s="303">
        <f>AC26/AC29</f>
        <v>5443.5968699406367</v>
      </c>
      <c r="AD30" s="305">
        <f t="shared" si="8"/>
        <v>-0.25618164843191582</v>
      </c>
      <c r="AF30" s="268"/>
      <c r="AG30" s="656"/>
      <c r="AH30" s="657"/>
      <c r="AI30" s="232"/>
    </row>
    <row r="31" spans="1:35" ht="30.9" customHeight="1" thickTop="1" thickBot="1">
      <c r="A31" s="176">
        <v>46111</v>
      </c>
      <c r="B31" s="177" t="s">
        <v>488</v>
      </c>
      <c r="C31" s="350">
        <v>244654</v>
      </c>
      <c r="D31" s="350">
        <v>314441</v>
      </c>
      <c r="E31" s="183">
        <f t="shared" ref="E31" si="10">C31-D31</f>
        <v>-69787</v>
      </c>
      <c r="F31" s="183">
        <v>0</v>
      </c>
      <c r="G31" s="184">
        <f t="shared" si="2"/>
        <v>2114023</v>
      </c>
      <c r="H31" s="710"/>
      <c r="I31" s="339">
        <f t="shared" si="0"/>
        <v>84776</v>
      </c>
      <c r="J31" s="339">
        <v>8004</v>
      </c>
      <c r="K31" s="339">
        <v>10086</v>
      </c>
      <c r="L31" s="339"/>
      <c r="M31" s="339">
        <f>14000+7100+180000+10175+300</f>
        <v>211575</v>
      </c>
      <c r="N31" s="339"/>
      <c r="O31" s="675"/>
      <c r="P31" s="282"/>
      <c r="Q31" s="665" t="s">
        <v>807</v>
      </c>
      <c r="R31" s="665"/>
      <c r="S31" s="665"/>
      <c r="T31" s="665"/>
      <c r="U31" s="665"/>
      <c r="V31" s="286"/>
      <c r="W31" s="286"/>
      <c r="X31" s="733"/>
      <c r="Y31" s="302" t="s">
        <v>756</v>
      </c>
      <c r="Z31" s="303">
        <v>509690.57142857142</v>
      </c>
      <c r="AA31" s="305">
        <f t="shared" si="9"/>
        <v>-4.0041796751465353E-2</v>
      </c>
      <c r="AB31" s="304">
        <f>AB26/31</f>
        <v>489281.6451612903</v>
      </c>
      <c r="AC31" s="303">
        <f>AC26/31</f>
        <v>650773.22580645164</v>
      </c>
      <c r="AD31" s="305">
        <f t="shared" si="8"/>
        <v>-0.24815338775659923</v>
      </c>
      <c r="AF31" s="269"/>
      <c r="AG31" s="659"/>
      <c r="AH31" s="660"/>
      <c r="AI31" s="232"/>
    </row>
    <row r="32" spans="1:35" ht="30.9" customHeight="1" thickTop="1" thickBot="1">
      <c r="A32" s="176">
        <v>46112</v>
      </c>
      <c r="B32" s="177" t="s">
        <v>489</v>
      </c>
      <c r="C32" s="350">
        <v>566233</v>
      </c>
      <c r="D32" s="350">
        <v>797200</v>
      </c>
      <c r="E32" s="183">
        <f>C32-D32</f>
        <v>-230967</v>
      </c>
      <c r="F32" s="183">
        <v>-147</v>
      </c>
      <c r="G32" s="184">
        <f t="shared" si="2"/>
        <v>1882909</v>
      </c>
      <c r="H32" s="710"/>
      <c r="I32" s="339">
        <f t="shared" si="0"/>
        <v>523381</v>
      </c>
      <c r="J32" s="339">
        <v>3000</v>
      </c>
      <c r="K32" s="339"/>
      <c r="L32" s="339"/>
      <c r="M32" s="339">
        <f>211819+59000</f>
        <v>270819</v>
      </c>
      <c r="N32" s="339"/>
      <c r="O32" s="675"/>
      <c r="P32" s="348" t="s">
        <v>778</v>
      </c>
      <c r="Q32" s="665"/>
      <c r="R32" s="665"/>
      <c r="S32" s="665"/>
      <c r="T32" s="665"/>
      <c r="U32" s="665"/>
      <c r="V32" s="286"/>
      <c r="W32" s="286"/>
      <c r="X32" s="733"/>
      <c r="AF32" s="269"/>
      <c r="AG32" s="659"/>
      <c r="AH32" s="660"/>
      <c r="AI32" s="232"/>
    </row>
    <row r="33" spans="1:37" ht="30.9" customHeight="1" thickTop="1">
      <c r="A33" s="264"/>
      <c r="B33" s="265"/>
      <c r="C33" s="183"/>
      <c r="D33" s="293">
        <v>100000</v>
      </c>
      <c r="E33" s="293">
        <f t="shared" si="1"/>
        <v>-100000</v>
      </c>
      <c r="F33" s="183"/>
      <c r="G33" s="184">
        <f t="shared" si="2"/>
        <v>1782909</v>
      </c>
      <c r="H33" s="710"/>
      <c r="I33" s="339">
        <f t="shared" si="0"/>
        <v>100000</v>
      </c>
      <c r="J33" s="339"/>
      <c r="K33" s="339"/>
      <c r="L33" s="339"/>
      <c r="M33" s="339"/>
      <c r="N33" s="339"/>
      <c r="O33" s="675"/>
      <c r="P33" s="348" t="s">
        <v>775</v>
      </c>
      <c r="Q33" s="665" t="s">
        <v>776</v>
      </c>
      <c r="R33" s="665"/>
      <c r="S33" s="665"/>
      <c r="T33" s="665"/>
      <c r="U33" s="665"/>
      <c r="V33" s="286"/>
      <c r="W33" s="286"/>
      <c r="X33" s="733"/>
      <c r="AG33" s="81"/>
      <c r="AH33" s="81"/>
    </row>
    <row r="34" spans="1:37" ht="45" customHeight="1">
      <c r="A34" s="672" t="s">
        <v>247</v>
      </c>
      <c r="B34" s="673"/>
      <c r="C34" s="292">
        <f>SUM(C2:C33)</f>
        <v>15167731</v>
      </c>
      <c r="D34" s="292">
        <f>SUM(D2:D33)</f>
        <v>13380884</v>
      </c>
      <c r="E34" s="292">
        <f>SUM(E2:E33)</f>
        <v>1786847</v>
      </c>
      <c r="F34" s="292">
        <f>SUM(F2:F33)</f>
        <v>-3938</v>
      </c>
      <c r="G34" s="184">
        <f>C34-D34+F34</f>
        <v>1782909</v>
      </c>
      <c r="H34" s="710"/>
      <c r="I34" s="340">
        <f>SUM(I2:I33)</f>
        <v>11791463</v>
      </c>
      <c r="J34" s="340">
        <f t="shared" ref="J34:N34" si="11">SUM(J2:J33)</f>
        <v>74679</v>
      </c>
      <c r="K34" s="340">
        <f t="shared" si="11"/>
        <v>56375</v>
      </c>
      <c r="L34" s="340">
        <f t="shared" si="11"/>
        <v>0</v>
      </c>
      <c r="M34" s="340">
        <f t="shared" si="11"/>
        <v>1144115</v>
      </c>
      <c r="N34" s="340">
        <f t="shared" si="11"/>
        <v>314252</v>
      </c>
      <c r="O34" s="675"/>
      <c r="X34" s="733"/>
      <c r="AF34" s="674"/>
      <c r="AG34" s="674"/>
      <c r="AH34" s="674"/>
      <c r="AI34" s="674"/>
      <c r="AJ34" s="674"/>
      <c r="AK34" s="674"/>
    </row>
    <row r="35" spans="1:37">
      <c r="A35" s="69"/>
    </row>
    <row r="36" spans="1:37">
      <c r="A36" s="69"/>
    </row>
    <row r="37" spans="1:37">
      <c r="A37" s="69"/>
    </row>
    <row r="38" spans="1:37">
      <c r="A38" s="69"/>
    </row>
    <row r="39" spans="1:37">
      <c r="A39" s="69"/>
    </row>
    <row r="40" spans="1:37" ht="21" customHeight="1">
      <c r="A40" s="69"/>
    </row>
    <row r="41" spans="1:37" ht="23.1" customHeight="1">
      <c r="A41" s="69"/>
    </row>
    <row r="42" spans="1:37">
      <c r="A42" s="69"/>
    </row>
    <row r="43" spans="1:37" ht="29.1" customHeight="1">
      <c r="A43" s="69"/>
    </row>
    <row r="44" spans="1:37" ht="15" customHeight="1">
      <c r="A44" s="69"/>
    </row>
    <row r="45" spans="1:37">
      <c r="A45" s="69"/>
    </row>
    <row r="46" spans="1:37">
      <c r="A46" s="69"/>
    </row>
    <row r="47" spans="1:37">
      <c r="A47" s="69"/>
    </row>
    <row r="48" spans="1:37">
      <c r="A48" s="69"/>
    </row>
    <row r="49" spans="1:1">
      <c r="A49" s="69"/>
    </row>
    <row r="50" spans="1:1">
      <c r="A50" s="69"/>
    </row>
    <row r="51" spans="1:1" ht="18.899999999999999" customHeight="1">
      <c r="A51" s="69"/>
    </row>
  </sheetData>
  <mergeCells count="75">
    <mergeCell ref="Q32:U32"/>
    <mergeCell ref="AG32:AH32"/>
    <mergeCell ref="Q33:U33"/>
    <mergeCell ref="A34:B34"/>
    <mergeCell ref="AF34:AK34"/>
    <mergeCell ref="Q29:U29"/>
    <mergeCell ref="AF29:AH29"/>
    <mergeCell ref="Q30:U30"/>
    <mergeCell ref="AG30:AH30"/>
    <mergeCell ref="Q31:U31"/>
    <mergeCell ref="AG31:AH31"/>
    <mergeCell ref="Q26:U26"/>
    <mergeCell ref="AG26:AH26"/>
    <mergeCell ref="Q27:U27"/>
    <mergeCell ref="AG27:AH27"/>
    <mergeCell ref="Q28:U28"/>
    <mergeCell ref="AG28:AH28"/>
    <mergeCell ref="Y24:AD24"/>
    <mergeCell ref="AF24:AH24"/>
    <mergeCell ref="P25:U25"/>
    <mergeCell ref="Z25:AA25"/>
    <mergeCell ref="AC25:AD25"/>
    <mergeCell ref="AG25:AH25"/>
    <mergeCell ref="P17:U17"/>
    <mergeCell ref="AG17:AH17"/>
    <mergeCell ref="U22:W22"/>
    <mergeCell ref="Y22:AB23"/>
    <mergeCell ref="AC22:AD23"/>
    <mergeCell ref="AF22:AI22"/>
    <mergeCell ref="U23:W23"/>
    <mergeCell ref="U19:W19"/>
    <mergeCell ref="AF19:AH19"/>
    <mergeCell ref="AF20:AH20"/>
    <mergeCell ref="P21:W21"/>
    <mergeCell ref="AF21:AH21"/>
    <mergeCell ref="AF23:AI23"/>
    <mergeCell ref="AF18:AH18"/>
    <mergeCell ref="AF11:AI11"/>
    <mergeCell ref="AF12:AH12"/>
    <mergeCell ref="AF13:AG14"/>
    <mergeCell ref="Y14:AA14"/>
    <mergeCell ref="AC14:AD14"/>
    <mergeCell ref="Y15:AA15"/>
    <mergeCell ref="AB15:AD15"/>
    <mergeCell ref="AF15:AF16"/>
    <mergeCell ref="AG15:AH15"/>
    <mergeCell ref="AG16:AH16"/>
    <mergeCell ref="Y3:AA3"/>
    <mergeCell ref="AB3:AD3"/>
    <mergeCell ref="Y1:AD1"/>
    <mergeCell ref="AF5:AI5"/>
    <mergeCell ref="P6:W6"/>
    <mergeCell ref="AF6:AG6"/>
    <mergeCell ref="AH6:AI6"/>
    <mergeCell ref="AF1:AI1"/>
    <mergeCell ref="P2:W2"/>
    <mergeCell ref="Y2:AA2"/>
    <mergeCell ref="AC2:AD2"/>
    <mergeCell ref="AF2:AI2"/>
    <mergeCell ref="A1:B1"/>
    <mergeCell ref="H1:H34"/>
    <mergeCell ref="O1:O34"/>
    <mergeCell ref="P1:W1"/>
    <mergeCell ref="X1:X34"/>
    <mergeCell ref="P4:Q5"/>
    <mergeCell ref="Q9:W9"/>
    <mergeCell ref="P10:W10"/>
    <mergeCell ref="P11:W11"/>
    <mergeCell ref="T8:W8"/>
    <mergeCell ref="P3:Q3"/>
    <mergeCell ref="U3:W3"/>
    <mergeCell ref="T7:W7"/>
    <mergeCell ref="U18:W18"/>
    <mergeCell ref="P16:R16"/>
    <mergeCell ref="S16:W16"/>
  </mergeCells>
  <conditionalFormatting sqref="J2:N32">
    <cfRule type="cellIs" dxfId="36" priority="1" operator="greaterThan">
      <formula>0</formula>
    </cfRule>
    <cfRule type="cellIs" dxfId="35" priority="2" operator="equal">
      <formula>0</formula>
    </cfRule>
    <cfRule type="cellIs" dxfId="34" priority="3" operator="equal">
      <formula>"¥11.055"</formula>
    </cfRule>
    <cfRule type="cellIs" dxfId="33" priority="4" operator="equal">
      <formula>0</formula>
    </cfRule>
  </conditionalFormatting>
  <conditionalFormatting sqref="M33">
    <cfRule type="cellIs" dxfId="32" priority="6" operator="greaterThan">
      <formula>0</formula>
    </cfRule>
    <cfRule type="cellIs" dxfId="31" priority="7" operator="equal">
      <formula>0</formula>
    </cfRule>
    <cfRule type="cellIs" dxfId="30" priority="8" operator="equal">
      <formula>"¥11.055"</formula>
    </cfRule>
    <cfRule type="cellIs" dxfId="29" priority="9" operator="equal">
      <formula>0</formula>
    </cfRule>
  </conditionalFormatting>
  <conditionalFormatting sqref="AI12:AI18">
    <cfRule type="cellIs" dxfId="28" priority="5" operator="greaterThan">
      <formula>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8B7A0-8423-4F8B-A10F-84A370E7DFB0}">
  <dimension ref="A1:AK51"/>
  <sheetViews>
    <sheetView zoomScaleNormal="100" workbookViewId="0">
      <pane ySplit="1" topLeftCell="A2" activePane="bottomLeft" state="frozen"/>
      <selection pane="bottomLeft" activeCell="E14" sqref="E14"/>
    </sheetView>
  </sheetViews>
  <sheetFormatPr defaultColWidth="10.6328125" defaultRowHeight="18"/>
  <cols>
    <col min="1" max="1" width="5.90625" style="180" customWidth="1"/>
    <col min="2" max="2" width="2.90625" style="69" customWidth="1"/>
    <col min="3" max="3" width="12" style="69" customWidth="1"/>
    <col min="4" max="4" width="10" style="69" customWidth="1"/>
    <col min="5" max="5" width="11.08984375" style="69" customWidth="1"/>
    <col min="6" max="6" width="5.81640625" style="69" customWidth="1"/>
    <col min="7" max="7" width="14.81640625" style="69" customWidth="1"/>
    <col min="8" max="8" width="4.1796875" style="69" customWidth="1"/>
    <col min="9" max="13" width="11.90625" style="69" customWidth="1"/>
    <col min="14" max="14" width="10.7265625" style="69" customWidth="1"/>
    <col min="15" max="15" width="3" style="69" customWidth="1"/>
    <col min="16" max="23" width="8.26953125" style="69" customWidth="1"/>
    <col min="24" max="24" width="4.54296875" style="69" customWidth="1"/>
    <col min="25" max="25" width="13.1796875" style="69" customWidth="1"/>
    <col min="26" max="26" width="13.1796875" style="296" customWidth="1"/>
    <col min="27" max="27" width="5.81640625" style="297" customWidth="1"/>
    <col min="28" max="28" width="13.1796875" style="69" customWidth="1"/>
    <col min="29" max="29" width="13.81640625" style="296" customWidth="1"/>
    <col min="30" max="30" width="4.90625" style="297" customWidth="1"/>
    <col min="31" max="31" width="10.81640625" style="296" customWidth="1"/>
    <col min="32" max="32" width="12" style="69" customWidth="1"/>
    <col min="33" max="33" width="10" style="69" customWidth="1"/>
    <col min="34" max="34" width="11.453125" style="69" customWidth="1"/>
    <col min="35" max="35" width="21" style="69" customWidth="1"/>
    <col min="36" max="16384" width="10.6328125" style="69"/>
  </cols>
  <sheetData>
    <row r="1" spans="1:35" ht="38.25" customHeight="1" thickTop="1" thickBot="1">
      <c r="A1" s="475" t="s">
        <v>0</v>
      </c>
      <c r="B1" s="475"/>
      <c r="C1" s="62" t="s">
        <v>456</v>
      </c>
      <c r="D1" s="62" t="s">
        <v>457</v>
      </c>
      <c r="E1" s="62" t="s">
        <v>67</v>
      </c>
      <c r="F1" s="62" t="s">
        <v>267</v>
      </c>
      <c r="G1" s="220" t="s">
        <v>464</v>
      </c>
      <c r="H1" s="710"/>
      <c r="I1" s="338" t="s">
        <v>705</v>
      </c>
      <c r="J1" s="338" t="s">
        <v>741</v>
      </c>
      <c r="K1" s="338" t="s">
        <v>707</v>
      </c>
      <c r="L1" s="338" t="s">
        <v>708</v>
      </c>
      <c r="M1" s="338" t="s">
        <v>710</v>
      </c>
      <c r="N1" s="338" t="s">
        <v>742</v>
      </c>
      <c r="O1" s="675"/>
      <c r="P1" s="723" t="s">
        <v>822</v>
      </c>
      <c r="Q1" s="723"/>
      <c r="R1" s="723"/>
      <c r="S1" s="723"/>
      <c r="T1" s="723"/>
      <c r="U1" s="723"/>
      <c r="V1" s="723"/>
      <c r="W1" s="723"/>
      <c r="X1" s="733"/>
      <c r="Y1" s="676" t="s">
        <v>718</v>
      </c>
      <c r="Z1" s="677"/>
      <c r="AA1" s="677"/>
      <c r="AB1" s="677"/>
      <c r="AC1" s="677"/>
      <c r="AD1" s="678"/>
      <c r="AE1" s="281"/>
      <c r="AF1" s="631" t="s">
        <v>642</v>
      </c>
      <c r="AG1" s="632"/>
      <c r="AH1" s="632"/>
      <c r="AI1" s="632"/>
    </row>
    <row r="2" spans="1:35" ht="30.9" customHeight="1" thickTop="1" thickBot="1">
      <c r="A2" s="176">
        <v>46113</v>
      </c>
      <c r="B2" s="177" t="s">
        <v>490</v>
      </c>
      <c r="C2" s="183">
        <v>305450</v>
      </c>
      <c r="D2" s="183">
        <v>143395</v>
      </c>
      <c r="E2" s="183">
        <f>C2-D2</f>
        <v>162055</v>
      </c>
      <c r="F2" s="183">
        <v>-221</v>
      </c>
      <c r="G2" s="221">
        <f>E2+F2</f>
        <v>161834</v>
      </c>
      <c r="H2" s="710"/>
      <c r="I2" s="339">
        <f t="shared" ref="I2:I33" si="0">D2-SUM(J2:N2)</f>
        <v>143395</v>
      </c>
      <c r="J2" s="339"/>
      <c r="K2" s="339"/>
      <c r="L2" s="339"/>
      <c r="M2" s="339"/>
      <c r="N2" s="339"/>
      <c r="O2" s="675"/>
      <c r="P2" s="709" t="s">
        <v>801</v>
      </c>
      <c r="Q2" s="709"/>
      <c r="R2" s="709"/>
      <c r="S2" s="709"/>
      <c r="T2" s="709"/>
      <c r="U2" s="709"/>
      <c r="V2" s="709"/>
      <c r="W2" s="709"/>
      <c r="X2" s="733"/>
      <c r="Y2" s="734" t="s">
        <v>711</v>
      </c>
      <c r="Z2" s="725"/>
      <c r="AA2" s="726"/>
      <c r="AB2" s="346">
        <f>AC13+Z13</f>
        <v>18083479</v>
      </c>
      <c r="AC2" s="681">
        <f>AA13+AD13</f>
        <v>1.2229242690240398</v>
      </c>
      <c r="AD2" s="682"/>
      <c r="AE2" s="81"/>
      <c r="AF2" s="627" t="s">
        <v>638</v>
      </c>
      <c r="AG2" s="628"/>
      <c r="AH2" s="628"/>
      <c r="AI2" s="628"/>
    </row>
    <row r="3" spans="1:35" ht="30.9" customHeight="1" thickTop="1" thickBot="1">
      <c r="A3" s="176">
        <v>46114</v>
      </c>
      <c r="B3" s="177" t="s">
        <v>491</v>
      </c>
      <c r="C3" s="183">
        <v>449457</v>
      </c>
      <c r="D3" s="183">
        <v>584037</v>
      </c>
      <c r="E3" s="183">
        <f t="shared" ref="E3:E33" si="1">C3-D3</f>
        <v>-134580</v>
      </c>
      <c r="F3" s="183">
        <v>0</v>
      </c>
      <c r="G3" s="221">
        <f t="shared" ref="G3:G33" si="2">G2+E3+F3</f>
        <v>27254</v>
      </c>
      <c r="H3" s="710"/>
      <c r="I3" s="339">
        <f t="shared" si="0"/>
        <v>146330</v>
      </c>
      <c r="J3" s="339">
        <v>7707</v>
      </c>
      <c r="K3" s="339"/>
      <c r="L3" s="339"/>
      <c r="M3" s="339">
        <f>230000+200000</f>
        <v>430000</v>
      </c>
      <c r="N3" s="339"/>
      <c r="O3" s="675"/>
      <c r="P3" s="725" t="s">
        <v>769</v>
      </c>
      <c r="Q3" s="726"/>
      <c r="R3" s="222" t="s">
        <v>251</v>
      </c>
      <c r="S3" s="222" t="s">
        <v>252</v>
      </c>
      <c r="T3" s="222" t="s">
        <v>449</v>
      </c>
      <c r="U3" s="659" t="s">
        <v>773</v>
      </c>
      <c r="V3" s="724"/>
      <c r="W3" s="724"/>
      <c r="X3" s="733"/>
      <c r="Y3" s="713" t="s">
        <v>713</v>
      </c>
      <c r="Z3" s="714"/>
      <c r="AA3" s="714"/>
      <c r="AB3" s="715" t="s">
        <v>712</v>
      </c>
      <c r="AC3" s="715"/>
      <c r="AD3" s="716"/>
      <c r="AE3" s="81"/>
      <c r="AF3" s="246"/>
      <c r="AG3" s="247"/>
      <c r="AH3" s="247"/>
      <c r="AI3" s="247"/>
    </row>
    <row r="4" spans="1:35" ht="30.9" customHeight="1" thickTop="1" thickBot="1">
      <c r="A4" s="176">
        <v>46115</v>
      </c>
      <c r="B4" s="178" t="s">
        <v>485</v>
      </c>
      <c r="C4" s="183">
        <v>559514</v>
      </c>
      <c r="D4" s="183">
        <v>690351</v>
      </c>
      <c r="E4" s="183">
        <f t="shared" si="1"/>
        <v>-130837</v>
      </c>
      <c r="F4" s="183">
        <v>-214</v>
      </c>
      <c r="G4" s="221">
        <f t="shared" si="2"/>
        <v>-103797</v>
      </c>
      <c r="H4" s="710"/>
      <c r="I4" s="339">
        <f t="shared" si="0"/>
        <v>690351</v>
      </c>
      <c r="J4" s="339"/>
      <c r="K4" s="339"/>
      <c r="L4" s="339"/>
      <c r="M4" s="339"/>
      <c r="N4" s="339"/>
      <c r="O4" s="675"/>
      <c r="P4" s="727">
        <f>C34</f>
        <v>14787080</v>
      </c>
      <c r="Q4" s="728"/>
      <c r="R4" s="224">
        <v>0</v>
      </c>
      <c r="S4" s="224">
        <v>0</v>
      </c>
      <c r="T4" s="224">
        <f>-F34</f>
        <v>476</v>
      </c>
      <c r="U4" s="224">
        <v>26606</v>
      </c>
      <c r="V4" s="306"/>
      <c r="W4" s="306"/>
      <c r="X4" s="733"/>
      <c r="Y4" s="319" t="s">
        <v>714</v>
      </c>
      <c r="Z4" s="243">
        <f>192550+60165</f>
        <v>252715</v>
      </c>
      <c r="AA4" s="312">
        <f>Z4/$P$4</f>
        <v>1.7090257170448798E-2</v>
      </c>
      <c r="AB4" s="328" t="s">
        <v>719</v>
      </c>
      <c r="AC4" s="243">
        <f>Q8</f>
        <v>1022900</v>
      </c>
      <c r="AD4" s="313">
        <f>AC4/$P$4</f>
        <v>6.9175252991124689E-2</v>
      </c>
      <c r="AF4" s="249"/>
      <c r="AG4" s="250"/>
      <c r="AH4" s="250"/>
      <c r="AI4" s="250"/>
    </row>
    <row r="5" spans="1:35" ht="30.9" customHeight="1" thickTop="1" thickBot="1">
      <c r="A5" s="176">
        <v>46116</v>
      </c>
      <c r="B5" s="361" t="s">
        <v>57</v>
      </c>
      <c r="C5" s="183">
        <v>655715</v>
      </c>
      <c r="D5" s="183">
        <v>695684</v>
      </c>
      <c r="E5" s="183">
        <f t="shared" si="1"/>
        <v>-39969</v>
      </c>
      <c r="F5" s="183">
        <v>-41</v>
      </c>
      <c r="G5" s="221">
        <f t="shared" si="2"/>
        <v>-143807</v>
      </c>
      <c r="H5" s="710"/>
      <c r="I5" s="339">
        <f t="shared" si="0"/>
        <v>681184</v>
      </c>
      <c r="J5" s="339">
        <v>7000</v>
      </c>
      <c r="K5" s="339"/>
      <c r="L5" s="339"/>
      <c r="M5" s="339">
        <f>1400+600</f>
        <v>2000</v>
      </c>
      <c r="N5" s="339">
        <v>5500</v>
      </c>
      <c r="O5" s="675"/>
      <c r="P5" s="729"/>
      <c r="Q5" s="730"/>
      <c r="R5" s="225">
        <f>R4/P4</f>
        <v>0</v>
      </c>
      <c r="S5" s="225">
        <f>S4/P4</f>
        <v>0</v>
      </c>
      <c r="T5" s="226">
        <f>T4/P4</f>
        <v>3.2190263392096343E-5</v>
      </c>
      <c r="U5" s="226">
        <f>U4/P4</f>
        <v>1.7992734197691499E-3</v>
      </c>
      <c r="V5" s="307"/>
      <c r="W5" s="307"/>
      <c r="X5" s="733"/>
      <c r="Y5" s="319" t="s">
        <v>715</v>
      </c>
      <c r="Z5" s="243">
        <v>26055</v>
      </c>
      <c r="AA5" s="312">
        <f t="shared" ref="AA5:AA12" si="3">Z5/$P$4</f>
        <v>1.7620111610946853E-3</v>
      </c>
      <c r="AB5" s="328" t="s">
        <v>720</v>
      </c>
      <c r="AC5" s="243">
        <f>SUM(P14:W14)</f>
        <v>8000</v>
      </c>
      <c r="AD5" s="313">
        <f t="shared" ref="AD5:AD12" si="4">AC5/$P$4</f>
        <v>5.410128301192663E-4</v>
      </c>
      <c r="AF5" s="654" t="s">
        <v>639</v>
      </c>
      <c r="AG5" s="655"/>
      <c r="AH5" s="655"/>
      <c r="AI5" s="655"/>
    </row>
    <row r="6" spans="1:35" ht="30.9" customHeight="1" thickTop="1" thickBot="1">
      <c r="A6" s="176">
        <v>46117</v>
      </c>
      <c r="B6" s="178" t="s">
        <v>487</v>
      </c>
      <c r="C6" s="183">
        <v>551078</v>
      </c>
      <c r="D6" s="183">
        <v>182146</v>
      </c>
      <c r="E6" s="183">
        <f t="shared" si="1"/>
        <v>368932</v>
      </c>
      <c r="F6" s="183">
        <v>0</v>
      </c>
      <c r="G6" s="221">
        <f t="shared" si="2"/>
        <v>225125</v>
      </c>
      <c r="H6" s="710"/>
      <c r="I6" s="339">
        <f t="shared" si="0"/>
        <v>118680</v>
      </c>
      <c r="J6" s="339"/>
      <c r="K6" s="339"/>
      <c r="L6" s="339"/>
      <c r="M6" s="339">
        <f>10582+2610</f>
        <v>13192</v>
      </c>
      <c r="N6" s="339">
        <v>50274</v>
      </c>
      <c r="O6" s="675"/>
      <c r="P6" s="702" t="s">
        <v>250</v>
      </c>
      <c r="Q6" s="702"/>
      <c r="R6" s="702"/>
      <c r="S6" s="702"/>
      <c r="T6" s="702"/>
      <c r="U6" s="702"/>
      <c r="V6" s="702"/>
      <c r="W6" s="702"/>
      <c r="X6" s="733"/>
      <c r="Y6" s="319" t="s">
        <v>716</v>
      </c>
      <c r="Z6" s="243">
        <v>6080</v>
      </c>
      <c r="AA6" s="312">
        <f t="shared" si="3"/>
        <v>4.1116975089064238E-4</v>
      </c>
      <c r="AB6" s="328" t="s">
        <v>721</v>
      </c>
      <c r="AC6" s="243">
        <v>50274</v>
      </c>
      <c r="AD6" s="313">
        <f t="shared" si="4"/>
        <v>3.3998598776769991E-3</v>
      </c>
      <c r="AF6" s="650" t="s">
        <v>231</v>
      </c>
      <c r="AG6" s="650"/>
      <c r="AH6" s="490"/>
      <c r="AI6" s="490"/>
    </row>
    <row r="7" spans="1:35" ht="30.9" customHeight="1" thickTop="1" thickBot="1">
      <c r="A7" s="176">
        <v>46118</v>
      </c>
      <c r="B7" s="177" t="s">
        <v>488</v>
      </c>
      <c r="C7" s="183">
        <v>233324</v>
      </c>
      <c r="D7" s="183">
        <v>711532</v>
      </c>
      <c r="E7" s="183">
        <f t="shared" si="1"/>
        <v>-478208</v>
      </c>
      <c r="F7" s="183">
        <v>0</v>
      </c>
      <c r="G7" s="221">
        <f t="shared" si="2"/>
        <v>-253083</v>
      </c>
      <c r="H7" s="710"/>
      <c r="I7" s="339">
        <f t="shared" si="0"/>
        <v>311982</v>
      </c>
      <c r="J7" s="339"/>
      <c r="K7" s="339"/>
      <c r="L7" s="339"/>
      <c r="M7" s="339">
        <v>399550</v>
      </c>
      <c r="N7" s="339"/>
      <c r="O7" s="675"/>
      <c r="P7" s="329" t="s">
        <v>705</v>
      </c>
      <c r="Q7" s="290" t="s">
        <v>253</v>
      </c>
      <c r="R7" s="288" t="s">
        <v>624</v>
      </c>
      <c r="S7" s="222"/>
      <c r="T7" s="703" t="s">
        <v>247</v>
      </c>
      <c r="U7" s="704"/>
      <c r="V7" s="704"/>
      <c r="W7" s="704"/>
      <c r="X7" s="733"/>
      <c r="Y7" s="319" t="s">
        <v>717</v>
      </c>
      <c r="Z7" s="243">
        <f>S19</f>
        <v>46990</v>
      </c>
      <c r="AA7" s="312">
        <f t="shared" si="3"/>
        <v>3.1777741109130404E-3</v>
      </c>
      <c r="AB7" s="328" t="s">
        <v>722</v>
      </c>
      <c r="AC7" s="243">
        <v>3407</v>
      </c>
      <c r="AD7" s="313">
        <f t="shared" si="4"/>
        <v>2.3040383902704251E-4</v>
      </c>
      <c r="AF7" s="384" t="s">
        <v>640</v>
      </c>
      <c r="AG7" s="243">
        <v>300000</v>
      </c>
    </row>
    <row r="8" spans="1:35" ht="30.9" customHeight="1" thickTop="1" thickBot="1">
      <c r="A8" s="176">
        <v>46119</v>
      </c>
      <c r="B8" s="177" t="s">
        <v>489</v>
      </c>
      <c r="C8" s="183">
        <v>397752</v>
      </c>
      <c r="D8" s="183">
        <v>281091</v>
      </c>
      <c r="E8" s="183">
        <f t="shared" si="1"/>
        <v>116661</v>
      </c>
      <c r="F8" s="183">
        <v>0</v>
      </c>
      <c r="G8" s="221">
        <f t="shared" si="2"/>
        <v>-136422</v>
      </c>
      <c r="H8" s="710"/>
      <c r="I8" s="339">
        <f t="shared" si="0"/>
        <v>273092</v>
      </c>
      <c r="J8" s="339">
        <v>7999</v>
      </c>
      <c r="K8" s="339"/>
      <c r="L8" s="339"/>
      <c r="M8" s="339"/>
      <c r="N8" s="339"/>
      <c r="O8" s="675"/>
      <c r="P8" s="330">
        <f>D34</f>
        <v>17051746</v>
      </c>
      <c r="Q8" s="291">
        <f>S16</f>
        <v>1022900</v>
      </c>
      <c r="R8" s="289">
        <f>U19</f>
        <v>271190</v>
      </c>
      <c r="S8" s="229"/>
      <c r="T8" s="705">
        <f>SUM(P8:S8)</f>
        <v>18345836</v>
      </c>
      <c r="U8" s="706"/>
      <c r="V8" s="706"/>
      <c r="W8" s="706"/>
      <c r="X8" s="733"/>
      <c r="Y8" s="319" t="s">
        <v>723</v>
      </c>
      <c r="Z8" s="243">
        <v>5500</v>
      </c>
      <c r="AA8" s="312">
        <f t="shared" si="3"/>
        <v>3.7194632070699558E-4</v>
      </c>
      <c r="AB8" s="328" t="s">
        <v>708</v>
      </c>
      <c r="AC8" s="243">
        <f>L34</f>
        <v>3235</v>
      </c>
      <c r="AD8" s="313">
        <f t="shared" si="4"/>
        <v>2.187720631794783E-4</v>
      </c>
      <c r="AF8" s="384" t="s">
        <v>641</v>
      </c>
      <c r="AG8" s="243">
        <v>55000</v>
      </c>
    </row>
    <row r="9" spans="1:35" ht="30.9" customHeight="1" thickTop="1" thickBot="1">
      <c r="A9" s="176">
        <v>46120</v>
      </c>
      <c r="B9" s="177" t="s">
        <v>490</v>
      </c>
      <c r="C9" s="183">
        <v>353752</v>
      </c>
      <c r="D9" s="183">
        <v>1055467</v>
      </c>
      <c r="E9" s="183">
        <f t="shared" si="1"/>
        <v>-701715</v>
      </c>
      <c r="F9" s="183">
        <v>0</v>
      </c>
      <c r="G9" s="221">
        <f t="shared" si="2"/>
        <v>-838137</v>
      </c>
      <c r="H9" s="710"/>
      <c r="I9" s="339">
        <f t="shared" si="0"/>
        <v>1042713</v>
      </c>
      <c r="J9" s="339"/>
      <c r="K9" s="339">
        <v>12434</v>
      </c>
      <c r="L9" s="339"/>
      <c r="M9" s="339">
        <v>320</v>
      </c>
      <c r="N9" s="339"/>
      <c r="O9" s="675"/>
      <c r="P9" s="331" t="s">
        <v>266</v>
      </c>
      <c r="Q9" s="731">
        <f>P4-T8-U4-T4</f>
        <v>-3585838</v>
      </c>
      <c r="R9" s="732"/>
      <c r="S9" s="732"/>
      <c r="T9" s="732"/>
      <c r="U9" s="732"/>
      <c r="V9" s="732"/>
      <c r="W9" s="732"/>
      <c r="X9" s="733"/>
      <c r="Y9" s="319" t="s">
        <v>724</v>
      </c>
      <c r="Z9" s="243">
        <v>0</v>
      </c>
      <c r="AA9" s="312">
        <f t="shared" si="3"/>
        <v>0</v>
      </c>
      <c r="AB9" s="328" t="s">
        <v>707</v>
      </c>
      <c r="AC9" s="243">
        <f>K34</f>
        <v>53694</v>
      </c>
      <c r="AD9" s="313">
        <f t="shared" si="4"/>
        <v>3.6311428625529856E-3</v>
      </c>
      <c r="AF9" s="385" t="s">
        <v>495</v>
      </c>
      <c r="AG9" s="243">
        <v>35000</v>
      </c>
    </row>
    <row r="10" spans="1:35" ht="30.9" customHeight="1" thickTop="1" thickBot="1">
      <c r="A10" s="176">
        <v>46121</v>
      </c>
      <c r="B10" s="177" t="s">
        <v>491</v>
      </c>
      <c r="C10" s="183">
        <v>373975</v>
      </c>
      <c r="D10" s="183">
        <v>399702</v>
      </c>
      <c r="E10" s="183">
        <f t="shared" si="1"/>
        <v>-25727</v>
      </c>
      <c r="F10" s="183">
        <v>0</v>
      </c>
      <c r="G10" s="221">
        <f t="shared" si="2"/>
        <v>-863864</v>
      </c>
      <c r="H10" s="710"/>
      <c r="I10" s="339">
        <f t="shared" si="0"/>
        <v>399702</v>
      </c>
      <c r="J10" s="339"/>
      <c r="K10" s="339"/>
      <c r="L10" s="339"/>
      <c r="M10" s="339"/>
      <c r="N10" s="339"/>
      <c r="O10" s="675"/>
      <c r="P10" s="708" t="s">
        <v>257</v>
      </c>
      <c r="Q10" s="708"/>
      <c r="R10" s="708"/>
      <c r="S10" s="708"/>
      <c r="T10" s="708"/>
      <c r="U10" s="708"/>
      <c r="V10" s="708"/>
      <c r="W10" s="708"/>
      <c r="X10" s="733"/>
      <c r="Y10" s="319" t="s">
        <v>743</v>
      </c>
      <c r="Z10" s="243">
        <v>0</v>
      </c>
      <c r="AA10" s="312">
        <f t="shared" si="3"/>
        <v>0</v>
      </c>
      <c r="AB10" s="328" t="s">
        <v>706</v>
      </c>
      <c r="AC10" s="243">
        <f>J34</f>
        <v>79798</v>
      </c>
      <c r="AD10" s="313">
        <f t="shared" si="4"/>
        <v>5.3964677272321515E-3</v>
      </c>
      <c r="AF10" s="244" t="s">
        <v>73</v>
      </c>
      <c r="AG10" s="245">
        <f>SUM(AG7:AG9)</f>
        <v>390000</v>
      </c>
      <c r="AH10" s="252"/>
      <c r="AI10" s="252"/>
    </row>
    <row r="11" spans="1:35" ht="30.9" customHeight="1" thickTop="1" thickBot="1">
      <c r="A11" s="176">
        <v>46122</v>
      </c>
      <c r="B11" s="178" t="s">
        <v>485</v>
      </c>
      <c r="C11" s="183">
        <v>784409</v>
      </c>
      <c r="D11" s="183">
        <f>624058-78320+7832</f>
        <v>553570</v>
      </c>
      <c r="E11" s="183">
        <f t="shared" si="1"/>
        <v>230839</v>
      </c>
      <c r="F11" s="183">
        <v>0</v>
      </c>
      <c r="G11" s="221">
        <f t="shared" si="2"/>
        <v>-633025</v>
      </c>
      <c r="H11" s="710"/>
      <c r="I11" s="339">
        <f t="shared" si="0"/>
        <v>545738</v>
      </c>
      <c r="J11" s="339">
        <v>7832</v>
      </c>
      <c r="K11" s="339"/>
      <c r="L11" s="339"/>
      <c r="M11" s="339"/>
      <c r="N11" s="339"/>
      <c r="O11" s="675"/>
      <c r="P11" s="707" t="s">
        <v>477</v>
      </c>
      <c r="Q11" s="707"/>
      <c r="R11" s="707"/>
      <c r="S11" s="707"/>
      <c r="T11" s="707"/>
      <c r="U11" s="707"/>
      <c r="V11" s="707"/>
      <c r="W11" s="707"/>
      <c r="X11" s="733"/>
      <c r="Y11" s="319" t="s">
        <v>744</v>
      </c>
      <c r="Z11" s="352">
        <v>187770</v>
      </c>
      <c r="AA11" s="312">
        <f t="shared" si="3"/>
        <v>1.2698247388936828E-2</v>
      </c>
      <c r="AB11" s="328" t="s">
        <v>705</v>
      </c>
      <c r="AC11" s="243">
        <f>I34</f>
        <v>15221559</v>
      </c>
      <c r="AD11" s="313">
        <f t="shared" si="4"/>
        <v>1.0293823391771735</v>
      </c>
      <c r="AF11" s="647" t="s">
        <v>643</v>
      </c>
      <c r="AG11" s="647"/>
      <c r="AH11" s="647"/>
      <c r="AI11" s="647"/>
    </row>
    <row r="12" spans="1:35" ht="30.9" customHeight="1" thickTop="1" thickBot="1">
      <c r="A12" s="176">
        <v>46123</v>
      </c>
      <c r="B12" s="178" t="s">
        <v>486</v>
      </c>
      <c r="C12" s="183">
        <v>1255583</v>
      </c>
      <c r="D12" s="183">
        <v>268639</v>
      </c>
      <c r="E12" s="183">
        <f t="shared" si="1"/>
        <v>986944</v>
      </c>
      <c r="F12" s="183">
        <v>0</v>
      </c>
      <c r="G12" s="221">
        <f t="shared" si="2"/>
        <v>353919</v>
      </c>
      <c r="H12" s="710"/>
      <c r="I12" s="339">
        <f t="shared" si="0"/>
        <v>262327</v>
      </c>
      <c r="J12" s="339">
        <v>5792</v>
      </c>
      <c r="K12" s="339"/>
      <c r="L12" s="339"/>
      <c r="M12" s="339">
        <f>320+200</f>
        <v>520</v>
      </c>
      <c r="N12" s="339"/>
      <c r="O12" s="675"/>
      <c r="P12" s="269" t="s">
        <v>478</v>
      </c>
      <c r="Q12" s="229" t="s">
        <v>479</v>
      </c>
      <c r="R12" s="229" t="s">
        <v>480</v>
      </c>
      <c r="S12" s="229" t="s">
        <v>455</v>
      </c>
      <c r="T12" s="229" t="s">
        <v>468</v>
      </c>
      <c r="U12" s="258" t="s">
        <v>230</v>
      </c>
      <c r="V12" s="308" t="s">
        <v>670</v>
      </c>
      <c r="W12" s="308" t="s">
        <v>788</v>
      </c>
      <c r="X12" s="733"/>
      <c r="Y12" s="345" t="s">
        <v>771</v>
      </c>
      <c r="Z12" s="243">
        <v>0</v>
      </c>
      <c r="AA12" s="312">
        <f t="shared" si="3"/>
        <v>0</v>
      </c>
      <c r="AB12" s="328" t="s">
        <v>725</v>
      </c>
      <c r="AC12" s="243">
        <f>M34</f>
        <v>1115502</v>
      </c>
      <c r="AD12" s="313">
        <f t="shared" si="4"/>
        <v>7.5437611752962722E-2</v>
      </c>
      <c r="AF12" s="650" t="s">
        <v>644</v>
      </c>
      <c r="AG12" s="650"/>
      <c r="AH12" s="650"/>
      <c r="AI12" s="229">
        <v>0</v>
      </c>
    </row>
    <row r="13" spans="1:35" ht="30.9" customHeight="1" thickTop="1" thickBot="1">
      <c r="A13" s="176">
        <v>46124</v>
      </c>
      <c r="B13" s="178" t="s">
        <v>487</v>
      </c>
      <c r="C13" s="183">
        <v>425869</v>
      </c>
      <c r="D13" s="183">
        <v>1037959</v>
      </c>
      <c r="E13" s="183">
        <f t="shared" si="1"/>
        <v>-612090</v>
      </c>
      <c r="F13" s="183">
        <v>0</v>
      </c>
      <c r="G13" s="221">
        <f t="shared" si="2"/>
        <v>-258171</v>
      </c>
      <c r="H13" s="710"/>
      <c r="I13" s="339">
        <f t="shared" si="0"/>
        <v>1034724</v>
      </c>
      <c r="J13" s="339"/>
      <c r="K13" s="339"/>
      <c r="L13" s="339">
        <v>3235</v>
      </c>
      <c r="M13" s="339"/>
      <c r="N13" s="339"/>
      <c r="O13" s="675"/>
      <c r="P13" s="332">
        <f>AG10-75000</f>
        <v>315000</v>
      </c>
      <c r="Q13" s="229">
        <f>50*1100</f>
        <v>55000</v>
      </c>
      <c r="R13" s="229">
        <v>0</v>
      </c>
      <c r="S13" s="229">
        <f>170*1100</f>
        <v>187000</v>
      </c>
      <c r="T13" s="229">
        <f>94*1100</f>
        <v>103400</v>
      </c>
      <c r="U13" s="229">
        <v>120000</v>
      </c>
      <c r="V13" s="266">
        <f>91*1100</f>
        <v>100100</v>
      </c>
      <c r="W13" s="266">
        <f>54*1100</f>
        <v>59400</v>
      </c>
      <c r="X13" s="733"/>
      <c r="Y13" s="311" t="s">
        <v>709</v>
      </c>
      <c r="Z13" s="317">
        <f>SUM(Z4:Z12)</f>
        <v>525110</v>
      </c>
      <c r="AA13" s="312">
        <f>SUM(AA4:AA12)</f>
        <v>3.551140590299099E-2</v>
      </c>
      <c r="AB13" s="327" t="s">
        <v>709</v>
      </c>
      <c r="AC13" s="317">
        <f>SUM(AC4:AC12)</f>
        <v>17558369</v>
      </c>
      <c r="AD13" s="313">
        <f>SUM(AD4:AD12)</f>
        <v>1.1874128631210488</v>
      </c>
      <c r="AF13" s="650" t="s">
        <v>645</v>
      </c>
      <c r="AG13" s="650"/>
      <c r="AH13" s="261" t="s">
        <v>646</v>
      </c>
      <c r="AI13" s="229">
        <v>0</v>
      </c>
    </row>
    <row r="14" spans="1:35" ht="30.9" customHeight="1" thickTop="1" thickBot="1">
      <c r="A14" s="176">
        <v>46125</v>
      </c>
      <c r="B14" s="177" t="s">
        <v>488</v>
      </c>
      <c r="C14" s="183">
        <v>236052</v>
      </c>
      <c r="D14" s="183">
        <v>657048</v>
      </c>
      <c r="E14" s="183">
        <f t="shared" si="1"/>
        <v>-420996</v>
      </c>
      <c r="F14" s="183">
        <v>0</v>
      </c>
      <c r="G14" s="221">
        <f t="shared" si="2"/>
        <v>-679167</v>
      </c>
      <c r="H14" s="710"/>
      <c r="I14" s="339">
        <f t="shared" si="0"/>
        <v>642030</v>
      </c>
      <c r="J14" s="339"/>
      <c r="K14" s="339">
        <v>14018</v>
      </c>
      <c r="L14" s="339"/>
      <c r="M14" s="339">
        <v>1000</v>
      </c>
      <c r="N14" s="339"/>
      <c r="O14" s="675"/>
      <c r="P14" s="333">
        <v>0</v>
      </c>
      <c r="Q14" s="287">
        <v>2000</v>
      </c>
      <c r="R14" s="287">
        <v>0</v>
      </c>
      <c r="S14" s="287">
        <v>0</v>
      </c>
      <c r="T14" s="287">
        <v>2000</v>
      </c>
      <c r="U14" s="287">
        <v>0</v>
      </c>
      <c r="V14" s="287">
        <v>2000</v>
      </c>
      <c r="W14" s="287">
        <v>2000</v>
      </c>
      <c r="X14" s="733"/>
      <c r="Y14" s="735" t="s">
        <v>726</v>
      </c>
      <c r="Z14" s="736"/>
      <c r="AA14" s="737"/>
      <c r="AB14" s="347">
        <f>Z21+AC21</f>
        <v>190221</v>
      </c>
      <c r="AC14" s="681">
        <f>AA21+AD21</f>
        <v>1.2864000194764618E-2</v>
      </c>
      <c r="AD14" s="682"/>
      <c r="AE14" s="81"/>
      <c r="AF14" s="650"/>
      <c r="AG14" s="650"/>
      <c r="AH14" s="261" t="s">
        <v>647</v>
      </c>
      <c r="AI14" s="229">
        <v>0</v>
      </c>
    </row>
    <row r="15" spans="1:35" ht="30.9" customHeight="1" thickTop="1" thickBot="1">
      <c r="A15" s="176">
        <v>46126</v>
      </c>
      <c r="B15" s="177" t="s">
        <v>489</v>
      </c>
      <c r="C15" s="183">
        <v>322386</v>
      </c>
      <c r="D15" s="183">
        <v>1492255</v>
      </c>
      <c r="E15" s="183">
        <f t="shared" si="1"/>
        <v>-1169869</v>
      </c>
      <c r="F15" s="183">
        <v>0</v>
      </c>
      <c r="G15" s="221">
        <f t="shared" si="2"/>
        <v>-1849036</v>
      </c>
      <c r="H15" s="710"/>
      <c r="I15" s="339">
        <f t="shared" si="0"/>
        <v>1479026</v>
      </c>
      <c r="J15" s="339">
        <v>8630</v>
      </c>
      <c r="K15" s="339"/>
      <c r="L15" s="339"/>
      <c r="M15" s="339">
        <v>4599</v>
      </c>
      <c r="N15" s="339"/>
      <c r="O15" s="675"/>
      <c r="P15" s="334">
        <f>SUM(P13:P14)</f>
        <v>315000</v>
      </c>
      <c r="Q15" s="234">
        <f t="shared" ref="Q15:W15" si="5">SUM(Q13:Q14)</f>
        <v>57000</v>
      </c>
      <c r="R15" s="234">
        <f t="shared" si="5"/>
        <v>0</v>
      </c>
      <c r="S15" s="234">
        <f t="shared" si="5"/>
        <v>187000</v>
      </c>
      <c r="T15" s="234">
        <f t="shared" si="5"/>
        <v>105400</v>
      </c>
      <c r="U15" s="234">
        <f t="shared" si="5"/>
        <v>120000</v>
      </c>
      <c r="V15" s="234">
        <f t="shared" si="5"/>
        <v>102100</v>
      </c>
      <c r="W15" s="260">
        <f t="shared" si="5"/>
        <v>61400</v>
      </c>
      <c r="X15" s="733"/>
      <c r="Y15" s="719" t="s">
        <v>729</v>
      </c>
      <c r="Z15" s="720"/>
      <c r="AA15" s="720"/>
      <c r="AB15" s="717" t="s">
        <v>730</v>
      </c>
      <c r="AC15" s="717"/>
      <c r="AD15" s="718"/>
      <c r="AE15" s="81"/>
      <c r="AF15" s="650" t="s">
        <v>648</v>
      </c>
      <c r="AG15" s="650" t="s">
        <v>649</v>
      </c>
      <c r="AH15" s="650"/>
      <c r="AI15" s="229">
        <v>0</v>
      </c>
    </row>
    <row r="16" spans="1:35" ht="30.9" customHeight="1" thickTop="1" thickBot="1">
      <c r="A16" s="176">
        <v>46127</v>
      </c>
      <c r="B16" s="177" t="s">
        <v>490</v>
      </c>
      <c r="C16" s="183">
        <v>287744</v>
      </c>
      <c r="D16" s="183">
        <v>1083747</v>
      </c>
      <c r="E16" s="183">
        <f t="shared" si="1"/>
        <v>-796003</v>
      </c>
      <c r="F16" s="183">
        <v>0</v>
      </c>
      <c r="G16" s="221">
        <f t="shared" si="2"/>
        <v>-2645039</v>
      </c>
      <c r="H16" s="710"/>
      <c r="I16" s="339">
        <f t="shared" si="0"/>
        <v>1083427</v>
      </c>
      <c r="J16" s="339"/>
      <c r="K16" s="339"/>
      <c r="L16" s="339"/>
      <c r="M16" s="339">
        <v>320</v>
      </c>
      <c r="N16" s="339"/>
      <c r="O16" s="675"/>
      <c r="P16" s="698" t="s">
        <v>247</v>
      </c>
      <c r="Q16" s="641"/>
      <c r="R16" s="641"/>
      <c r="S16" s="648">
        <f>SUM(Q15:W15)+AG10</f>
        <v>1022900</v>
      </c>
      <c r="T16" s="699"/>
      <c r="U16" s="699"/>
      <c r="V16" s="699"/>
      <c r="W16" s="699"/>
      <c r="X16" s="733"/>
      <c r="Y16" s="324" t="s">
        <v>728</v>
      </c>
      <c r="Z16" s="243">
        <f>S23</f>
        <v>52000</v>
      </c>
      <c r="AA16" s="312">
        <f>Z16/$P$4</f>
        <v>3.5165833957752309E-3</v>
      </c>
      <c r="AB16" s="321" t="s">
        <v>731</v>
      </c>
      <c r="AC16" s="243">
        <f>U4</f>
        <v>26606</v>
      </c>
      <c r="AD16" s="313">
        <f>AC16/$P$4</f>
        <v>1.7992734197691499E-3</v>
      </c>
      <c r="AF16" s="650"/>
      <c r="AG16" s="650" t="s">
        <v>650</v>
      </c>
      <c r="AH16" s="650"/>
      <c r="AI16" s="229">
        <v>0</v>
      </c>
    </row>
    <row r="17" spans="1:35" ht="30.9" customHeight="1" thickTop="1" thickBot="1">
      <c r="A17" s="176">
        <v>46128</v>
      </c>
      <c r="B17" s="177" t="s">
        <v>491</v>
      </c>
      <c r="C17" s="183">
        <v>461494</v>
      </c>
      <c r="D17" s="183">
        <v>278468</v>
      </c>
      <c r="E17" s="183">
        <f t="shared" si="1"/>
        <v>183026</v>
      </c>
      <c r="F17" s="183">
        <v>0</v>
      </c>
      <c r="G17" s="221">
        <f t="shared" si="2"/>
        <v>-2462013</v>
      </c>
      <c r="H17" s="710"/>
      <c r="I17" s="339">
        <f t="shared" si="0"/>
        <v>90768</v>
      </c>
      <c r="J17" s="339"/>
      <c r="K17" s="339"/>
      <c r="L17" s="339"/>
      <c r="M17" s="339"/>
      <c r="N17" s="339">
        <v>187700</v>
      </c>
      <c r="O17" s="675"/>
      <c r="P17" s="688" t="s">
        <v>482</v>
      </c>
      <c r="Q17" s="643"/>
      <c r="R17" s="643"/>
      <c r="S17" s="643"/>
      <c r="T17" s="643"/>
      <c r="U17" s="649"/>
      <c r="V17" s="283"/>
      <c r="W17" s="283"/>
      <c r="X17" s="733"/>
      <c r="Y17" s="324" t="s">
        <v>727</v>
      </c>
      <c r="Z17" s="243">
        <f>T23</f>
        <v>42200</v>
      </c>
      <c r="AA17" s="312">
        <f t="shared" ref="AA17:AA20" si="6">Z17/$P$4</f>
        <v>2.8538426788791297E-3</v>
      </c>
      <c r="AB17" s="321" t="s">
        <v>732</v>
      </c>
      <c r="AC17" s="243">
        <v>939</v>
      </c>
      <c r="AD17" s="313">
        <f t="shared" ref="AD17" si="7">AC17/$P$4</f>
        <v>6.3501380935248881E-5</v>
      </c>
      <c r="AF17" s="261" t="s">
        <v>651</v>
      </c>
      <c r="AG17" s="650" t="s">
        <v>652</v>
      </c>
      <c r="AH17" s="650"/>
      <c r="AI17" s="229">
        <v>0</v>
      </c>
    </row>
    <row r="18" spans="1:35" ht="30.9" customHeight="1" thickTop="1" thickBot="1">
      <c r="A18" s="176">
        <v>46129</v>
      </c>
      <c r="B18" s="178" t="s">
        <v>485</v>
      </c>
      <c r="C18" s="183">
        <v>466516</v>
      </c>
      <c r="D18" s="183">
        <v>405280</v>
      </c>
      <c r="E18" s="183">
        <f t="shared" si="1"/>
        <v>61236</v>
      </c>
      <c r="F18" s="183">
        <v>0</v>
      </c>
      <c r="G18" s="221">
        <f t="shared" si="2"/>
        <v>-2400777</v>
      </c>
      <c r="H18" s="710"/>
      <c r="I18" s="339">
        <f t="shared" si="0"/>
        <v>400558</v>
      </c>
      <c r="J18" s="339">
        <v>4722</v>
      </c>
      <c r="K18" s="339"/>
      <c r="L18" s="339"/>
      <c r="M18" s="339"/>
      <c r="N18" s="339"/>
      <c r="O18" s="675"/>
      <c r="P18" s="284"/>
      <c r="Q18" s="354"/>
      <c r="R18" s="343" t="s">
        <v>760</v>
      </c>
      <c r="S18" s="294" t="s">
        <v>703</v>
      </c>
      <c r="T18" s="236" t="s">
        <v>498</v>
      </c>
      <c r="U18" s="683" t="s">
        <v>247</v>
      </c>
      <c r="V18" s="684"/>
      <c r="W18" s="684"/>
      <c r="X18" s="733"/>
      <c r="Y18" s="324" t="s">
        <v>733</v>
      </c>
      <c r="Z18" s="243">
        <f>R23</f>
        <v>18000</v>
      </c>
      <c r="AA18" s="312">
        <f t="shared" si="6"/>
        <v>1.2172788677683492E-3</v>
      </c>
      <c r="AB18" s="322"/>
      <c r="AC18" s="243"/>
      <c r="AD18" s="313"/>
      <c r="AF18" s="650" t="s">
        <v>777</v>
      </c>
      <c r="AG18" s="650"/>
      <c r="AH18" s="650"/>
      <c r="AI18" s="229">
        <v>0</v>
      </c>
    </row>
    <row r="19" spans="1:35" ht="30.9" customHeight="1" thickTop="1" thickBot="1">
      <c r="A19" s="176">
        <v>46130</v>
      </c>
      <c r="B19" s="178" t="s">
        <v>486</v>
      </c>
      <c r="C19" s="183">
        <v>403315</v>
      </c>
      <c r="D19" s="183">
        <v>288216</v>
      </c>
      <c r="E19" s="183">
        <f t="shared" si="1"/>
        <v>115099</v>
      </c>
      <c r="F19" s="183">
        <v>0</v>
      </c>
      <c r="G19" s="221">
        <f t="shared" si="2"/>
        <v>-2285678</v>
      </c>
      <c r="H19" s="710"/>
      <c r="I19" s="339">
        <f t="shared" si="0"/>
        <v>279771</v>
      </c>
      <c r="J19" s="339"/>
      <c r="K19" s="339"/>
      <c r="L19" s="339"/>
      <c r="M19" s="339">
        <f>7845+600</f>
        <v>8445</v>
      </c>
      <c r="N19" s="339"/>
      <c r="O19" s="675"/>
      <c r="P19" s="335"/>
      <c r="Q19" s="355"/>
      <c r="R19" s="344">
        <f>6500*8+10000</f>
        <v>62000</v>
      </c>
      <c r="S19" s="295">
        <f>39940+7050</f>
        <v>46990</v>
      </c>
      <c r="T19" s="238">
        <f>U23</f>
        <v>162200</v>
      </c>
      <c r="U19" s="685">
        <f>SUM(P19:T19)</f>
        <v>271190</v>
      </c>
      <c r="V19" s="686"/>
      <c r="W19" s="686"/>
      <c r="X19" s="733"/>
      <c r="Y19" s="324" t="s">
        <v>734</v>
      </c>
      <c r="Z19" s="243">
        <f>Q23</f>
        <v>50000</v>
      </c>
      <c r="AA19" s="312">
        <f t="shared" si="6"/>
        <v>3.3813301882454141E-3</v>
      </c>
      <c r="AB19" s="322"/>
      <c r="AC19" s="243"/>
      <c r="AD19" s="313"/>
      <c r="AF19" s="652" t="s">
        <v>654</v>
      </c>
      <c r="AG19" s="652"/>
      <c r="AH19" s="652"/>
      <c r="AI19" s="229">
        <v>7000000</v>
      </c>
    </row>
    <row r="20" spans="1:35" ht="30.9" customHeight="1" thickTop="1" thickBot="1">
      <c r="A20" s="176">
        <v>46131</v>
      </c>
      <c r="B20" s="178" t="s">
        <v>487</v>
      </c>
      <c r="C20" s="183">
        <v>332252</v>
      </c>
      <c r="D20" s="183">
        <v>124996</v>
      </c>
      <c r="E20" s="183">
        <f t="shared" si="1"/>
        <v>207256</v>
      </c>
      <c r="F20" s="183">
        <v>0</v>
      </c>
      <c r="G20" s="221">
        <f t="shared" si="2"/>
        <v>-2078422</v>
      </c>
      <c r="H20" s="710"/>
      <c r="I20" s="339">
        <f t="shared" si="0"/>
        <v>100996</v>
      </c>
      <c r="J20" s="339"/>
      <c r="K20" s="339"/>
      <c r="L20" s="339"/>
      <c r="M20" s="339">
        <v>24000</v>
      </c>
      <c r="N20" s="339"/>
      <c r="O20" s="675"/>
      <c r="P20" s="269"/>
      <c r="Q20" s="232"/>
      <c r="R20" s="232"/>
      <c r="S20" s="232"/>
      <c r="T20" s="232"/>
      <c r="U20" s="232"/>
      <c r="V20" s="310"/>
      <c r="W20" s="310"/>
      <c r="X20" s="733"/>
      <c r="Y20" s="324" t="s">
        <v>746</v>
      </c>
      <c r="Z20" s="243">
        <f>T4</f>
        <v>476</v>
      </c>
      <c r="AA20" s="312">
        <f t="shared" si="6"/>
        <v>3.2190263392096343E-5</v>
      </c>
      <c r="AB20" s="314"/>
      <c r="AC20" s="243"/>
      <c r="AD20" s="313"/>
      <c r="AF20" s="652" t="s">
        <v>655</v>
      </c>
      <c r="AG20" s="652"/>
      <c r="AH20" s="652"/>
      <c r="AI20" s="229">
        <v>6000000</v>
      </c>
    </row>
    <row r="21" spans="1:35" ht="30.9" customHeight="1" thickTop="1" thickBot="1">
      <c r="A21" s="176">
        <v>46132</v>
      </c>
      <c r="B21" s="177" t="s">
        <v>488</v>
      </c>
      <c r="C21" s="183">
        <v>232351</v>
      </c>
      <c r="D21" s="183">
        <v>808555</v>
      </c>
      <c r="E21" s="183">
        <f t="shared" si="1"/>
        <v>-576204</v>
      </c>
      <c r="F21" s="183">
        <v>0</v>
      </c>
      <c r="G21" s="221">
        <f t="shared" si="2"/>
        <v>-2654626</v>
      </c>
      <c r="H21" s="710"/>
      <c r="I21" s="339">
        <f t="shared" si="0"/>
        <v>780924</v>
      </c>
      <c r="J21" s="339">
        <v>9095</v>
      </c>
      <c r="K21" s="339"/>
      <c r="L21" s="339"/>
      <c r="M21" s="339">
        <f>1980+9674+2042+3850+990</f>
        <v>18536</v>
      </c>
      <c r="N21" s="339"/>
      <c r="O21" s="675"/>
      <c r="P21" s="687" t="s">
        <v>772</v>
      </c>
      <c r="Q21" s="687"/>
      <c r="R21" s="687"/>
      <c r="S21" s="687"/>
      <c r="T21" s="687"/>
      <c r="U21" s="687"/>
      <c r="V21" s="687"/>
      <c r="W21" s="687"/>
      <c r="X21" s="733"/>
      <c r="Y21" s="326" t="s">
        <v>709</v>
      </c>
      <c r="Z21" s="318">
        <f>SUM(Z16:Z20)</f>
        <v>162676</v>
      </c>
      <c r="AA21" s="315">
        <f>SUM(AA16:AA20)</f>
        <v>1.100122539406022E-2</v>
      </c>
      <c r="AB21" s="323" t="s">
        <v>709</v>
      </c>
      <c r="AC21" s="318">
        <f>SUM(AC16:AC20)</f>
        <v>27545</v>
      </c>
      <c r="AD21" s="316">
        <f>SUM(AD16:AD20)</f>
        <v>1.8627748007043988E-3</v>
      </c>
      <c r="AF21" s="653" t="s">
        <v>247</v>
      </c>
      <c r="AG21" s="653"/>
      <c r="AH21" s="653"/>
      <c r="AI21" s="270">
        <f>SUM(AI12:AI20)</f>
        <v>13000000</v>
      </c>
    </row>
    <row r="22" spans="1:35" ht="30.9" customHeight="1" thickTop="1" thickBot="1">
      <c r="A22" s="176">
        <v>46133</v>
      </c>
      <c r="B22" s="177" t="s">
        <v>489</v>
      </c>
      <c r="C22" s="183">
        <v>258933</v>
      </c>
      <c r="D22" s="183">
        <v>329381</v>
      </c>
      <c r="E22" s="183">
        <f t="shared" si="1"/>
        <v>-70448</v>
      </c>
      <c r="F22" s="183">
        <v>0</v>
      </c>
      <c r="G22" s="221">
        <f t="shared" si="2"/>
        <v>-2725074</v>
      </c>
      <c r="H22" s="710"/>
      <c r="I22" s="339">
        <f t="shared" si="0"/>
        <v>327580</v>
      </c>
      <c r="J22" s="339"/>
      <c r="K22" s="339"/>
      <c r="L22" s="339"/>
      <c r="M22" s="339">
        <f>1040+761</f>
        <v>1801</v>
      </c>
      <c r="N22" s="339"/>
      <c r="O22" s="675"/>
      <c r="P22" s="336" t="s">
        <v>625</v>
      </c>
      <c r="Q22" s="299" t="s">
        <v>770</v>
      </c>
      <c r="R22" s="299" t="s">
        <v>733</v>
      </c>
      <c r="S22" s="299" t="s">
        <v>728</v>
      </c>
      <c r="T22" s="299" t="s">
        <v>727</v>
      </c>
      <c r="U22" s="690" t="s">
        <v>247</v>
      </c>
      <c r="V22" s="741"/>
      <c r="W22" s="691"/>
      <c r="X22" s="733"/>
      <c r="Y22" s="694" t="s">
        <v>745</v>
      </c>
      <c r="Z22" s="695"/>
      <c r="AA22" s="695"/>
      <c r="AB22" s="695"/>
      <c r="AC22" s="721">
        <f>AC14+AC2</f>
        <v>1.2357882692188045</v>
      </c>
      <c r="AD22" s="721"/>
      <c r="AF22" s="661"/>
      <c r="AG22" s="662"/>
      <c r="AH22" s="662"/>
      <c r="AI22" s="662"/>
    </row>
    <row r="23" spans="1:35" ht="30.9" customHeight="1" thickTop="1" thickBot="1">
      <c r="A23" s="176">
        <v>46134</v>
      </c>
      <c r="B23" s="177" t="s">
        <v>490</v>
      </c>
      <c r="C23" s="183">
        <v>255868</v>
      </c>
      <c r="D23" s="183">
        <v>1091315</v>
      </c>
      <c r="E23" s="183">
        <f t="shared" si="1"/>
        <v>-835447</v>
      </c>
      <c r="F23" s="183">
        <v>0</v>
      </c>
      <c r="G23" s="221">
        <f t="shared" si="2"/>
        <v>-3560521</v>
      </c>
      <c r="H23" s="710"/>
      <c r="I23" s="339">
        <f t="shared" si="0"/>
        <v>1091315</v>
      </c>
      <c r="J23" s="339"/>
      <c r="K23" s="339"/>
      <c r="L23" s="339"/>
      <c r="M23" s="339"/>
      <c r="N23" s="339"/>
      <c r="O23" s="675"/>
      <c r="P23" s="335">
        <v>0</v>
      </c>
      <c r="Q23" s="353">
        <v>50000</v>
      </c>
      <c r="R23" s="298">
        <v>18000</v>
      </c>
      <c r="S23" s="353">
        <v>52000</v>
      </c>
      <c r="T23" s="298">
        <v>42200</v>
      </c>
      <c r="U23" s="692">
        <f>SUM(P23:T23)</f>
        <v>162200</v>
      </c>
      <c r="V23" s="742"/>
      <c r="W23" s="693"/>
      <c r="X23" s="733"/>
      <c r="Y23" s="696"/>
      <c r="Z23" s="697"/>
      <c r="AA23" s="697"/>
      <c r="AB23" s="697"/>
      <c r="AC23" s="722"/>
      <c r="AD23" s="722"/>
      <c r="AF23" s="647" t="s">
        <v>665</v>
      </c>
      <c r="AG23" s="647"/>
      <c r="AH23" s="647"/>
      <c r="AI23" s="647"/>
    </row>
    <row r="24" spans="1:35" ht="30.9" customHeight="1" thickTop="1" thickBot="1">
      <c r="A24" s="176">
        <v>46135</v>
      </c>
      <c r="B24" s="177" t="s">
        <v>491</v>
      </c>
      <c r="C24" s="183">
        <v>339863</v>
      </c>
      <c r="D24" s="183">
        <v>220571</v>
      </c>
      <c r="E24" s="183">
        <f t="shared" si="1"/>
        <v>119292</v>
      </c>
      <c r="F24" s="183">
        <v>0</v>
      </c>
      <c r="G24" s="184">
        <f t="shared" si="2"/>
        <v>-3441229</v>
      </c>
      <c r="H24" s="710"/>
      <c r="I24" s="339">
        <f t="shared" si="0"/>
        <v>158537</v>
      </c>
      <c r="J24" s="339">
        <v>5000</v>
      </c>
      <c r="K24" s="339"/>
      <c r="L24" s="339"/>
      <c r="M24" s="339">
        <f>320+1000</f>
        <v>1320</v>
      </c>
      <c r="N24" s="339">
        <f>6080+49634</f>
        <v>55714</v>
      </c>
      <c r="O24" s="675"/>
      <c r="X24" s="733"/>
      <c r="Y24" s="711" t="s">
        <v>735</v>
      </c>
      <c r="Z24" s="711"/>
      <c r="AA24" s="711"/>
      <c r="AB24" s="711"/>
      <c r="AC24" s="711"/>
      <c r="AD24" s="711"/>
      <c r="AF24" s="656" t="s">
        <v>666</v>
      </c>
      <c r="AG24" s="658"/>
      <c r="AH24" s="657"/>
      <c r="AI24" s="232"/>
    </row>
    <row r="25" spans="1:35" ht="30.9" customHeight="1" thickTop="1" thickBot="1">
      <c r="A25" s="176">
        <v>46136</v>
      </c>
      <c r="B25" s="178" t="s">
        <v>485</v>
      </c>
      <c r="C25" s="183">
        <v>741985</v>
      </c>
      <c r="D25" s="350">
        <v>741969</v>
      </c>
      <c r="E25" s="183">
        <f t="shared" si="1"/>
        <v>16</v>
      </c>
      <c r="F25" s="183">
        <v>0</v>
      </c>
      <c r="G25" s="184">
        <f t="shared" si="2"/>
        <v>-3441213</v>
      </c>
      <c r="H25" s="710"/>
      <c r="I25" s="339">
        <f t="shared" si="0"/>
        <v>721246</v>
      </c>
      <c r="J25" s="339">
        <v>4701</v>
      </c>
      <c r="K25" s="339">
        <v>16022</v>
      </c>
      <c r="L25" s="339"/>
      <c r="M25" s="339"/>
      <c r="N25" s="339"/>
      <c r="O25" s="675"/>
      <c r="P25" s="689" t="s">
        <v>672</v>
      </c>
      <c r="Q25" s="664"/>
      <c r="R25" s="664"/>
      <c r="S25" s="664"/>
      <c r="T25" s="664"/>
      <c r="U25" s="664"/>
      <c r="V25" s="285"/>
      <c r="W25" s="285"/>
      <c r="X25" s="733"/>
      <c r="Y25" s="300"/>
      <c r="Z25" s="712" t="s">
        <v>739</v>
      </c>
      <c r="AA25" s="712"/>
      <c r="AB25" s="301" t="s">
        <v>738</v>
      </c>
      <c r="AC25" s="712" t="s">
        <v>740</v>
      </c>
      <c r="AD25" s="712"/>
      <c r="AF25" s="268"/>
      <c r="AG25" s="656"/>
      <c r="AH25" s="657"/>
      <c r="AI25" s="232"/>
    </row>
    <row r="26" spans="1:35" ht="30.9" customHeight="1" thickTop="1" thickBot="1">
      <c r="A26" s="176">
        <v>46137</v>
      </c>
      <c r="B26" s="178" t="s">
        <v>486</v>
      </c>
      <c r="C26" s="350">
        <v>1598335</v>
      </c>
      <c r="D26" s="350">
        <v>566363</v>
      </c>
      <c r="E26" s="183">
        <f t="shared" si="1"/>
        <v>1031972</v>
      </c>
      <c r="F26" s="183">
        <v>0</v>
      </c>
      <c r="G26" s="184">
        <f t="shared" si="2"/>
        <v>-2409241</v>
      </c>
      <c r="H26" s="710"/>
      <c r="I26" s="339">
        <f t="shared" si="0"/>
        <v>512942</v>
      </c>
      <c r="J26" s="339"/>
      <c r="K26" s="339"/>
      <c r="L26" s="339"/>
      <c r="M26" s="339">
        <f>320+743+16070+3375+16499+3876+548+9240+2750</f>
        <v>53421</v>
      </c>
      <c r="N26" s="339"/>
      <c r="O26" s="675"/>
      <c r="P26" s="337"/>
      <c r="Q26" s="743" t="s">
        <v>962</v>
      </c>
      <c r="R26" s="744"/>
      <c r="S26" s="745"/>
      <c r="T26" s="746">
        <v>430000</v>
      </c>
      <c r="U26" s="747"/>
      <c r="V26" s="286"/>
      <c r="W26" s="286"/>
      <c r="X26" s="733"/>
      <c r="Y26" s="302" t="s">
        <v>736</v>
      </c>
      <c r="Z26" s="303">
        <v>15167731</v>
      </c>
      <c r="AA26" s="305">
        <f>(AB26/Z26)-100%</f>
        <v>-2.5096106991876366E-2</v>
      </c>
      <c r="AB26" s="304">
        <f>C34</f>
        <v>14787080</v>
      </c>
      <c r="AC26" s="303">
        <v>20173970</v>
      </c>
      <c r="AD26" s="305">
        <f>AB26/AC26-100%</f>
        <v>-0.26702181077893938</v>
      </c>
      <c r="AF26" s="268"/>
      <c r="AG26" s="656"/>
      <c r="AH26" s="657"/>
      <c r="AI26" s="232"/>
    </row>
    <row r="27" spans="1:35" ht="30.9" customHeight="1" thickTop="1" thickBot="1">
      <c r="A27" s="176">
        <v>46138</v>
      </c>
      <c r="B27" s="178" t="s">
        <v>487</v>
      </c>
      <c r="C27" s="350">
        <v>535271</v>
      </c>
      <c r="D27" s="350">
        <v>409226</v>
      </c>
      <c r="E27" s="183">
        <f t="shared" si="1"/>
        <v>126045</v>
      </c>
      <c r="F27" s="183">
        <v>0</v>
      </c>
      <c r="G27" s="184">
        <f t="shared" si="2"/>
        <v>-2283196</v>
      </c>
      <c r="H27" s="710"/>
      <c r="I27" s="339">
        <f t="shared" si="0"/>
        <v>385208</v>
      </c>
      <c r="J27" s="339">
        <v>6320</v>
      </c>
      <c r="K27" s="339">
        <v>11220</v>
      </c>
      <c r="L27" s="339"/>
      <c r="M27" s="339">
        <v>6478</v>
      </c>
      <c r="N27" s="339"/>
      <c r="O27" s="675"/>
      <c r="P27" s="282"/>
      <c r="Q27" s="743" t="s">
        <v>963</v>
      </c>
      <c r="R27" s="744"/>
      <c r="S27" s="745"/>
      <c r="T27" s="746">
        <v>187770</v>
      </c>
      <c r="U27" s="747"/>
      <c r="V27" s="286"/>
      <c r="W27" s="286"/>
      <c r="X27" s="733"/>
      <c r="Y27" s="302" t="s">
        <v>510</v>
      </c>
      <c r="Z27" s="303">
        <v>14823124</v>
      </c>
      <c r="AA27" s="305">
        <f>(AB27/Z27)-100%</f>
        <v>0.23764976937385129</v>
      </c>
      <c r="AB27" s="304">
        <f>T8</f>
        <v>18345836</v>
      </c>
      <c r="AC27" s="303">
        <v>19986117</v>
      </c>
      <c r="AD27" s="305">
        <f>AB27/AC27-100%</f>
        <v>-8.2071019598254136E-2</v>
      </c>
      <c r="AF27" s="268"/>
      <c r="AG27" s="656"/>
      <c r="AH27" s="657"/>
      <c r="AI27" s="232"/>
    </row>
    <row r="28" spans="1:35" ht="30.9" customHeight="1" thickTop="1" thickBot="1">
      <c r="A28" s="176">
        <v>46139</v>
      </c>
      <c r="B28" s="177" t="s">
        <v>488</v>
      </c>
      <c r="C28" s="350">
        <v>398762</v>
      </c>
      <c r="D28" s="350">
        <v>593542</v>
      </c>
      <c r="E28" s="183">
        <f t="shared" si="1"/>
        <v>-194780</v>
      </c>
      <c r="F28" s="183">
        <v>0</v>
      </c>
      <c r="G28" s="184">
        <f t="shared" si="2"/>
        <v>-2477976</v>
      </c>
      <c r="H28" s="710"/>
      <c r="I28" s="339">
        <f t="shared" si="0"/>
        <v>543542</v>
      </c>
      <c r="J28" s="339"/>
      <c r="K28" s="339"/>
      <c r="L28" s="339"/>
      <c r="M28" s="339">
        <v>50000</v>
      </c>
      <c r="N28" s="339"/>
      <c r="O28" s="675"/>
      <c r="P28" s="282"/>
      <c r="Q28" s="743" t="s">
        <v>964</v>
      </c>
      <c r="R28" s="744"/>
      <c r="S28" s="745"/>
      <c r="T28" s="746">
        <v>3200000</v>
      </c>
      <c r="U28" s="747"/>
      <c r="V28" s="286"/>
      <c r="W28" s="286"/>
      <c r="X28" s="733"/>
      <c r="Y28" s="302" t="s">
        <v>737</v>
      </c>
      <c r="Z28" s="303">
        <v>344607</v>
      </c>
      <c r="AA28" s="305">
        <f>(AB28/Z28)-100%</f>
        <v>-11.32699858099226</v>
      </c>
      <c r="AB28" s="304">
        <f>AB26-AB27</f>
        <v>-3558756</v>
      </c>
      <c r="AC28" s="303">
        <f>AC26-AC27</f>
        <v>187853</v>
      </c>
      <c r="AD28" s="305">
        <f t="shared" ref="AD28:AD31" si="8">AB28/AC28-100%</f>
        <v>-19.944366073472342</v>
      </c>
      <c r="AF28" s="268"/>
      <c r="AG28" s="656"/>
      <c r="AH28" s="657"/>
      <c r="AI28" s="232"/>
    </row>
    <row r="29" spans="1:35" ht="30.9" customHeight="1" thickTop="1" thickBot="1">
      <c r="A29" s="176">
        <v>46140</v>
      </c>
      <c r="B29" s="177" t="s">
        <v>489</v>
      </c>
      <c r="C29" s="350">
        <v>434102</v>
      </c>
      <c r="D29" s="350">
        <v>683658</v>
      </c>
      <c r="E29" s="183">
        <f t="shared" si="1"/>
        <v>-249556</v>
      </c>
      <c r="F29" s="183">
        <v>0</v>
      </c>
      <c r="G29" s="184">
        <f t="shared" si="2"/>
        <v>-2727532</v>
      </c>
      <c r="H29" s="710"/>
      <c r="I29" s="339">
        <f t="shared" si="0"/>
        <v>399888</v>
      </c>
      <c r="J29" s="339">
        <v>5000</v>
      </c>
      <c r="K29" s="339"/>
      <c r="L29" s="339"/>
      <c r="M29" s="339"/>
      <c r="N29" s="339">
        <f>26055+192550+60165</f>
        <v>278770</v>
      </c>
      <c r="O29" s="675"/>
      <c r="P29" s="282"/>
      <c r="Q29" s="743" t="s">
        <v>965</v>
      </c>
      <c r="R29" s="744"/>
      <c r="S29" s="745"/>
      <c r="T29" s="746">
        <v>399550</v>
      </c>
      <c r="U29" s="747"/>
      <c r="V29" s="286"/>
      <c r="W29" s="286"/>
      <c r="X29" s="733"/>
      <c r="Y29" s="302" t="s">
        <v>757</v>
      </c>
      <c r="Z29" s="341">
        <v>3746</v>
      </c>
      <c r="AA29" s="305">
        <f t="shared" ref="AA29:AA31" si="9">(AB29/Z29)-100%</f>
        <v>0</v>
      </c>
      <c r="AB29" s="342">
        <v>3746</v>
      </c>
      <c r="AC29" s="341">
        <v>3706</v>
      </c>
      <c r="AD29" s="305">
        <f t="shared" si="8"/>
        <v>1.0793308148947744E-2</v>
      </c>
      <c r="AF29" s="658" t="s">
        <v>667</v>
      </c>
      <c r="AG29" s="658"/>
      <c r="AH29" s="657"/>
      <c r="AI29" s="232"/>
    </row>
    <row r="30" spans="1:35" ht="30.9" customHeight="1" thickTop="1" thickBot="1">
      <c r="A30" s="176">
        <v>46141</v>
      </c>
      <c r="B30" s="177" t="s">
        <v>490</v>
      </c>
      <c r="C30" s="350">
        <v>547435</v>
      </c>
      <c r="D30" s="350">
        <v>137713</v>
      </c>
      <c r="E30" s="183">
        <f>C30-D30</f>
        <v>409722</v>
      </c>
      <c r="F30" s="183">
        <v>0</v>
      </c>
      <c r="G30" s="184">
        <f t="shared" si="2"/>
        <v>-2317810</v>
      </c>
      <c r="H30" s="710"/>
      <c r="I30" s="339">
        <f t="shared" si="0"/>
        <v>137713</v>
      </c>
      <c r="J30" s="339"/>
      <c r="K30" s="339"/>
      <c r="L30" s="339"/>
      <c r="M30" s="339"/>
      <c r="N30" s="339"/>
      <c r="O30" s="675"/>
      <c r="P30" s="282"/>
      <c r="Q30" s="739"/>
      <c r="R30" s="740"/>
      <c r="S30" s="740"/>
      <c r="T30" s="740"/>
      <c r="U30" s="740"/>
      <c r="V30" s="349"/>
      <c r="W30" s="286"/>
      <c r="X30" s="733"/>
      <c r="Y30" s="302" t="s">
        <v>758</v>
      </c>
      <c r="Z30" s="303">
        <v>4049.0472504004269</v>
      </c>
      <c r="AA30" s="305">
        <f t="shared" si="9"/>
        <v>-2.5096106991876366E-2</v>
      </c>
      <c r="AB30" s="304">
        <f>AB26/AB29</f>
        <v>3947.4319273892152</v>
      </c>
      <c r="AC30" s="303">
        <f>AC26/AC29</f>
        <v>5443.5968699406367</v>
      </c>
      <c r="AD30" s="305">
        <f t="shared" si="8"/>
        <v>-0.27484859336538958</v>
      </c>
      <c r="AF30" s="268"/>
      <c r="AG30" s="656"/>
      <c r="AH30" s="657"/>
      <c r="AI30" s="232"/>
    </row>
    <row r="31" spans="1:35" ht="30.9" customHeight="1" thickTop="1" thickBot="1">
      <c r="A31" s="176">
        <v>46142</v>
      </c>
      <c r="B31" s="177" t="s">
        <v>491</v>
      </c>
      <c r="C31" s="350">
        <v>588538</v>
      </c>
      <c r="D31" s="350">
        <v>435870</v>
      </c>
      <c r="E31" s="183">
        <f t="shared" ref="E31" si="10">C31-D31</f>
        <v>152668</v>
      </c>
      <c r="F31" s="183">
        <v>0</v>
      </c>
      <c r="G31" s="184">
        <f t="shared" si="2"/>
        <v>-2165142</v>
      </c>
      <c r="H31" s="710"/>
      <c r="I31" s="339">
        <f t="shared" si="0"/>
        <v>435870</v>
      </c>
      <c r="J31" s="339"/>
      <c r="K31" s="339"/>
      <c r="L31" s="339"/>
      <c r="M31" s="339"/>
      <c r="N31" s="339"/>
      <c r="O31" s="675"/>
      <c r="P31" s="282"/>
      <c r="Q31" s="665"/>
      <c r="R31" s="665"/>
      <c r="S31" s="665"/>
      <c r="T31" s="665"/>
      <c r="U31" s="665"/>
      <c r="V31" s="286"/>
      <c r="W31" s="286"/>
      <c r="X31" s="733"/>
      <c r="Y31" s="302" t="s">
        <v>756</v>
      </c>
      <c r="Z31" s="303">
        <v>489281.6451612903</v>
      </c>
      <c r="AA31" s="305">
        <f t="shared" si="9"/>
        <v>-2.5096106991876366E-2</v>
      </c>
      <c r="AB31" s="304">
        <f>AB26/31</f>
        <v>477002.58064516127</v>
      </c>
      <c r="AC31" s="303">
        <f>AC26/31</f>
        <v>650773.22580645164</v>
      </c>
      <c r="AD31" s="305">
        <f t="shared" si="8"/>
        <v>-0.26702181077893949</v>
      </c>
      <c r="AF31" s="269"/>
      <c r="AG31" s="659"/>
      <c r="AH31" s="660"/>
      <c r="AI31" s="232"/>
    </row>
    <row r="32" spans="1:35" ht="30.9" customHeight="1" thickTop="1" thickBot="1">
      <c r="A32" s="176"/>
      <c r="B32" s="177"/>
      <c r="C32" s="350"/>
      <c r="D32" s="350"/>
      <c r="E32" s="183">
        <f>C32-D32</f>
        <v>0</v>
      </c>
      <c r="F32" s="183">
        <v>0</v>
      </c>
      <c r="G32" s="184">
        <f t="shared" si="2"/>
        <v>-2165142</v>
      </c>
      <c r="H32" s="710"/>
      <c r="I32" s="339">
        <f t="shared" si="0"/>
        <v>0</v>
      </c>
      <c r="J32" s="339"/>
      <c r="K32" s="339"/>
      <c r="L32" s="339"/>
      <c r="M32" s="339"/>
      <c r="N32" s="339"/>
      <c r="O32" s="675"/>
      <c r="P32" s="348" t="s">
        <v>778</v>
      </c>
      <c r="Q32" s="665"/>
      <c r="R32" s="665"/>
      <c r="S32" s="665"/>
      <c r="T32" s="665"/>
      <c r="U32" s="665"/>
      <c r="V32" s="286"/>
      <c r="W32" s="286"/>
      <c r="X32" s="733"/>
      <c r="AF32" s="269"/>
      <c r="AG32" s="659"/>
      <c r="AH32" s="660"/>
      <c r="AI32" s="232"/>
    </row>
    <row r="33" spans="1:37" ht="30.9" customHeight="1" thickTop="1">
      <c r="A33" s="264"/>
      <c r="B33" s="265"/>
      <c r="C33" s="183"/>
      <c r="D33" s="293">
        <v>100000</v>
      </c>
      <c r="E33" s="293">
        <f t="shared" si="1"/>
        <v>-100000</v>
      </c>
      <c r="F33" s="183"/>
      <c r="G33" s="184">
        <f t="shared" si="2"/>
        <v>-2265142</v>
      </c>
      <c r="H33" s="710"/>
      <c r="I33" s="339">
        <f t="shared" si="0"/>
        <v>0</v>
      </c>
      <c r="J33" s="339"/>
      <c r="K33" s="339"/>
      <c r="L33" s="339"/>
      <c r="M33" s="339">
        <v>100000</v>
      </c>
      <c r="N33" s="339"/>
      <c r="O33" s="675"/>
      <c r="P33" s="348" t="s">
        <v>775</v>
      </c>
      <c r="Q33" s="665"/>
      <c r="R33" s="665"/>
      <c r="S33" s="665"/>
      <c r="T33" s="665"/>
      <c r="U33" s="665"/>
      <c r="V33" s="286"/>
      <c r="W33" s="286"/>
      <c r="X33" s="733"/>
      <c r="AG33" s="81"/>
      <c r="AH33" s="81"/>
    </row>
    <row r="34" spans="1:37" ht="45" customHeight="1">
      <c r="A34" s="672" t="s">
        <v>247</v>
      </c>
      <c r="B34" s="673"/>
      <c r="C34" s="292">
        <f>SUM(C2:C33)</f>
        <v>14787080</v>
      </c>
      <c r="D34" s="292">
        <f>SUM(D2:D33)</f>
        <v>17051746</v>
      </c>
      <c r="E34" s="292">
        <f>SUM(E2:E33)</f>
        <v>-2264666</v>
      </c>
      <c r="F34" s="292">
        <f>SUM(F2:F33)</f>
        <v>-476</v>
      </c>
      <c r="G34" s="184">
        <f>C34-D34+F34</f>
        <v>-2265142</v>
      </c>
      <c r="H34" s="710"/>
      <c r="I34" s="340">
        <f>SUM(I2:I33)</f>
        <v>15221559</v>
      </c>
      <c r="J34" s="340">
        <f t="shared" ref="J34:N34" si="11">SUM(J2:J33)</f>
        <v>79798</v>
      </c>
      <c r="K34" s="340">
        <f t="shared" si="11"/>
        <v>53694</v>
      </c>
      <c r="L34" s="340">
        <f t="shared" si="11"/>
        <v>3235</v>
      </c>
      <c r="M34" s="340">
        <f t="shared" si="11"/>
        <v>1115502</v>
      </c>
      <c r="N34" s="340">
        <f t="shared" si="11"/>
        <v>577958</v>
      </c>
      <c r="O34" s="675"/>
      <c r="X34" s="733"/>
      <c r="AF34" s="674"/>
      <c r="AG34" s="674"/>
      <c r="AH34" s="674"/>
      <c r="AI34" s="674"/>
      <c r="AJ34" s="674"/>
      <c r="AK34" s="674"/>
    </row>
    <row r="35" spans="1:37">
      <c r="A35" s="69"/>
    </row>
    <row r="36" spans="1:37">
      <c r="A36" s="69"/>
    </row>
    <row r="37" spans="1:37">
      <c r="A37" s="69"/>
    </row>
    <row r="38" spans="1:37">
      <c r="A38" s="69"/>
    </row>
    <row r="39" spans="1:37">
      <c r="A39" s="69"/>
    </row>
    <row r="40" spans="1:37" ht="21" customHeight="1">
      <c r="A40" s="69"/>
    </row>
    <row r="41" spans="1:37" ht="23.1" customHeight="1">
      <c r="A41" s="69"/>
    </row>
    <row r="42" spans="1:37">
      <c r="A42" s="69"/>
    </row>
    <row r="43" spans="1:37" ht="29.1" customHeight="1">
      <c r="A43" s="69"/>
    </row>
    <row r="44" spans="1:37" ht="15" customHeight="1">
      <c r="A44" s="69"/>
    </row>
    <row r="45" spans="1:37">
      <c r="A45" s="69"/>
    </row>
    <row r="46" spans="1:37">
      <c r="A46" s="69"/>
    </row>
    <row r="47" spans="1:37">
      <c r="A47" s="69"/>
    </row>
    <row r="48" spans="1:37">
      <c r="A48" s="69"/>
    </row>
    <row r="49" spans="1:1">
      <c r="A49" s="69"/>
    </row>
    <row r="50" spans="1:1">
      <c r="A50" s="69"/>
    </row>
    <row r="51" spans="1:1" ht="18.899999999999999" customHeight="1">
      <c r="A51" s="69"/>
    </row>
  </sheetData>
  <mergeCells count="79">
    <mergeCell ref="A1:B1"/>
    <mergeCell ref="H1:H34"/>
    <mergeCell ref="O1:O34"/>
    <mergeCell ref="P1:W1"/>
    <mergeCell ref="X1:X34"/>
    <mergeCell ref="P4:Q5"/>
    <mergeCell ref="Q9:W9"/>
    <mergeCell ref="P10:W10"/>
    <mergeCell ref="P11:W11"/>
    <mergeCell ref="T8:W8"/>
    <mergeCell ref="P3:Q3"/>
    <mergeCell ref="U3:W3"/>
    <mergeCell ref="T7:W7"/>
    <mergeCell ref="U18:W18"/>
    <mergeCell ref="P16:R16"/>
    <mergeCell ref="S16:W16"/>
    <mergeCell ref="Y3:AA3"/>
    <mergeCell ref="AB3:AD3"/>
    <mergeCell ref="Y1:AD1"/>
    <mergeCell ref="AF5:AI5"/>
    <mergeCell ref="P6:W6"/>
    <mergeCell ref="AF6:AG6"/>
    <mergeCell ref="AH6:AI6"/>
    <mergeCell ref="AF1:AI1"/>
    <mergeCell ref="P2:W2"/>
    <mergeCell ref="Y2:AA2"/>
    <mergeCell ref="AC2:AD2"/>
    <mergeCell ref="AF2:AI2"/>
    <mergeCell ref="Y15:AA15"/>
    <mergeCell ref="AB15:AD15"/>
    <mergeCell ref="AF15:AF16"/>
    <mergeCell ref="AG15:AH15"/>
    <mergeCell ref="AG16:AH16"/>
    <mergeCell ref="AF11:AI11"/>
    <mergeCell ref="AF12:AH12"/>
    <mergeCell ref="AF13:AG14"/>
    <mergeCell ref="Y14:AA14"/>
    <mergeCell ref="AC14:AD14"/>
    <mergeCell ref="P17:U17"/>
    <mergeCell ref="AG17:AH17"/>
    <mergeCell ref="U22:W22"/>
    <mergeCell ref="Y22:AB23"/>
    <mergeCell ref="AC22:AD23"/>
    <mergeCell ref="AF22:AI22"/>
    <mergeCell ref="U23:W23"/>
    <mergeCell ref="U19:W19"/>
    <mergeCell ref="AF19:AH19"/>
    <mergeCell ref="AF20:AH20"/>
    <mergeCell ref="P21:W21"/>
    <mergeCell ref="AF21:AH21"/>
    <mergeCell ref="AF23:AI23"/>
    <mergeCell ref="AF18:AH18"/>
    <mergeCell ref="Y24:AD24"/>
    <mergeCell ref="AF24:AH24"/>
    <mergeCell ref="P25:U25"/>
    <mergeCell ref="Z25:AA25"/>
    <mergeCell ref="AC25:AD25"/>
    <mergeCell ref="AG25:AH25"/>
    <mergeCell ref="AG26:AH26"/>
    <mergeCell ref="AG27:AH27"/>
    <mergeCell ref="AG28:AH28"/>
    <mergeCell ref="Q26:S26"/>
    <mergeCell ref="Q27:S27"/>
    <mergeCell ref="Q28:S28"/>
    <mergeCell ref="T26:U26"/>
    <mergeCell ref="T27:U27"/>
    <mergeCell ref="T28:U28"/>
    <mergeCell ref="AF29:AH29"/>
    <mergeCell ref="Q30:U30"/>
    <mergeCell ref="AG30:AH30"/>
    <mergeCell ref="Q31:U31"/>
    <mergeCell ref="AG31:AH31"/>
    <mergeCell ref="Q29:S29"/>
    <mergeCell ref="T29:U29"/>
    <mergeCell ref="Q32:U32"/>
    <mergeCell ref="AG32:AH32"/>
    <mergeCell ref="Q33:U33"/>
    <mergeCell ref="A34:B34"/>
    <mergeCell ref="AF34:AK34"/>
  </mergeCells>
  <conditionalFormatting sqref="J2:N32">
    <cfRule type="cellIs" dxfId="27" priority="1" operator="greaterThan">
      <formula>0</formula>
    </cfRule>
    <cfRule type="cellIs" dxfId="26" priority="2" operator="equal">
      <formula>0</formula>
    </cfRule>
    <cfRule type="cellIs" dxfId="25" priority="3" operator="equal">
      <formula>"¥11.055"</formula>
    </cfRule>
    <cfRule type="cellIs" dxfId="24" priority="4" operator="equal">
      <formula>0</formula>
    </cfRule>
  </conditionalFormatting>
  <conditionalFormatting sqref="M33">
    <cfRule type="cellIs" dxfId="23" priority="6" operator="greaterThan">
      <formula>0</formula>
    </cfRule>
    <cfRule type="cellIs" dxfId="22" priority="7" operator="equal">
      <formula>0</formula>
    </cfRule>
    <cfRule type="cellIs" dxfId="21" priority="8" operator="equal">
      <formula>"¥11.055"</formula>
    </cfRule>
    <cfRule type="cellIs" dxfId="20" priority="9" operator="equal">
      <formula>0</formula>
    </cfRule>
  </conditionalFormatting>
  <conditionalFormatting sqref="AI12:AI18">
    <cfRule type="cellIs" dxfId="19" priority="5" operator="greaterThan">
      <formula>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4EDF3-3D51-4CD8-B62E-B85F716B05AD}">
  <dimension ref="A1:O847"/>
  <sheetViews>
    <sheetView workbookViewId="0">
      <selection activeCell="D4" sqref="D4:D16"/>
    </sheetView>
  </sheetViews>
  <sheetFormatPr defaultColWidth="19.36328125" defaultRowHeight="61.2"/>
  <cols>
    <col min="1" max="2" width="13.81640625" style="357" customWidth="1"/>
    <col min="3" max="3" width="41" style="357" customWidth="1"/>
    <col min="4" max="4" width="14.7265625" style="370" customWidth="1"/>
    <col min="5" max="5" width="14.7265625" style="357" customWidth="1"/>
    <col min="6" max="6" width="4.81640625" style="372" customWidth="1"/>
    <col min="7" max="7" width="19.36328125" style="357"/>
    <col min="8" max="8" width="28.7265625" style="357" customWidth="1"/>
    <col min="9" max="9" width="15.26953125" style="357" customWidth="1"/>
    <col min="10" max="11" width="12.90625" style="370" customWidth="1"/>
    <col min="12" max="12" width="12.90625" style="357" customWidth="1"/>
    <col min="13" max="13" width="12.90625" style="371" customWidth="1"/>
    <col min="14" max="14" width="14.7265625" style="370" customWidth="1"/>
    <col min="15" max="15" width="14.7265625" style="357" customWidth="1"/>
    <col min="16" max="16384" width="19.36328125" style="357"/>
  </cols>
  <sheetData>
    <row r="1" spans="1:15" ht="55.2" customHeight="1">
      <c r="A1" s="750" t="s">
        <v>823</v>
      </c>
      <c r="B1" s="750"/>
      <c r="C1" s="750"/>
      <c r="D1" s="750"/>
      <c r="E1" s="750"/>
      <c r="G1" s="751" t="s">
        <v>705</v>
      </c>
      <c r="H1" s="751"/>
      <c r="I1" s="751"/>
      <c r="J1" s="751"/>
      <c r="K1" s="751"/>
      <c r="L1" s="751"/>
      <c r="M1" s="751"/>
      <c r="N1" s="751"/>
      <c r="O1" s="751"/>
    </row>
    <row r="2" spans="1:15" ht="22.8" customHeight="1">
      <c r="A2" s="753" t="s">
        <v>808</v>
      </c>
      <c r="B2" s="753" t="s">
        <v>811</v>
      </c>
      <c r="C2" s="753" t="s">
        <v>809</v>
      </c>
      <c r="D2" s="754" t="s">
        <v>810</v>
      </c>
      <c r="E2" s="356" t="s">
        <v>709</v>
      </c>
      <c r="G2" s="748" t="s">
        <v>808</v>
      </c>
      <c r="H2" s="748" t="s">
        <v>826</v>
      </c>
      <c r="I2" s="748" t="s">
        <v>829</v>
      </c>
      <c r="J2" s="749" t="s">
        <v>827</v>
      </c>
      <c r="K2" s="749" t="s">
        <v>882</v>
      </c>
      <c r="L2" s="748" t="s">
        <v>828</v>
      </c>
      <c r="M2" s="752" t="s">
        <v>744</v>
      </c>
      <c r="N2" s="749" t="s">
        <v>810</v>
      </c>
      <c r="O2" s="362" t="s">
        <v>709</v>
      </c>
    </row>
    <row r="3" spans="1:15" ht="22.8" customHeight="1">
      <c r="A3" s="753"/>
      <c r="B3" s="753"/>
      <c r="C3" s="753"/>
      <c r="D3" s="754"/>
      <c r="E3" s="359">
        <f>SUM(D4:D101)</f>
        <v>1998163</v>
      </c>
      <c r="G3" s="748"/>
      <c r="H3" s="748"/>
      <c r="I3" s="748"/>
      <c r="J3" s="749"/>
      <c r="K3" s="749"/>
      <c r="L3" s="748"/>
      <c r="M3" s="752"/>
      <c r="N3" s="749"/>
      <c r="O3" s="363">
        <f>SUM(N4:N901)</f>
        <v>1424094.42</v>
      </c>
    </row>
    <row r="4" spans="1:15" ht="22.8" customHeight="1">
      <c r="A4" s="358">
        <v>46081</v>
      </c>
      <c r="B4" s="357" t="s">
        <v>812</v>
      </c>
      <c r="C4" s="357" t="s">
        <v>813</v>
      </c>
      <c r="D4" s="360">
        <v>302050</v>
      </c>
      <c r="G4" s="364"/>
      <c r="H4" s="369" t="s">
        <v>832</v>
      </c>
      <c r="I4" s="365" t="s">
        <v>831</v>
      </c>
      <c r="J4" s="366">
        <v>290</v>
      </c>
      <c r="K4" s="366">
        <f>J4/1</f>
        <v>290</v>
      </c>
      <c r="L4" s="365">
        <v>21</v>
      </c>
      <c r="M4" s="367">
        <v>0</v>
      </c>
      <c r="N4" s="368">
        <f>J4*L4*(1+M4)</f>
        <v>6090</v>
      </c>
      <c r="O4" s="365"/>
    </row>
    <row r="5" spans="1:15" ht="22.8" customHeight="1">
      <c r="A5" s="358">
        <v>46097</v>
      </c>
      <c r="B5" s="357" t="s">
        <v>812</v>
      </c>
      <c r="C5" s="357" t="s">
        <v>814</v>
      </c>
      <c r="D5" s="360">
        <v>396000</v>
      </c>
      <c r="G5" s="364"/>
      <c r="H5" s="369" t="s">
        <v>833</v>
      </c>
      <c r="I5" s="365" t="s">
        <v>831</v>
      </c>
      <c r="J5" s="366">
        <v>290</v>
      </c>
      <c r="K5" s="366">
        <f t="shared" ref="K5:K18" si="0">J5/1</f>
        <v>290</v>
      </c>
      <c r="L5" s="365">
        <v>10</v>
      </c>
      <c r="M5" s="367">
        <v>0</v>
      </c>
      <c r="N5" s="368">
        <f t="shared" ref="N5:N90" si="1">J5*L5*(1+M5)</f>
        <v>2900</v>
      </c>
      <c r="O5" s="365"/>
    </row>
    <row r="6" spans="1:15" ht="22.8" customHeight="1">
      <c r="A6" s="358">
        <v>46098</v>
      </c>
      <c r="B6" s="357" t="s">
        <v>815</v>
      </c>
      <c r="C6" s="357" t="s">
        <v>816</v>
      </c>
      <c r="D6" s="360">
        <v>176000</v>
      </c>
      <c r="G6" s="364"/>
      <c r="H6" s="369" t="s">
        <v>834</v>
      </c>
      <c r="I6" s="365" t="s">
        <v>830</v>
      </c>
      <c r="J6" s="366">
        <v>270</v>
      </c>
      <c r="K6" s="366">
        <f t="shared" si="0"/>
        <v>270</v>
      </c>
      <c r="L6" s="365">
        <v>10</v>
      </c>
      <c r="M6" s="367">
        <v>0</v>
      </c>
      <c r="N6" s="368">
        <f t="shared" si="1"/>
        <v>2700</v>
      </c>
      <c r="O6" s="365"/>
    </row>
    <row r="7" spans="1:15" ht="22.8" customHeight="1">
      <c r="A7" s="358">
        <v>46099</v>
      </c>
      <c r="B7" s="357" t="s">
        <v>812</v>
      </c>
      <c r="C7" s="357" t="s">
        <v>817</v>
      </c>
      <c r="D7" s="360">
        <v>60165</v>
      </c>
      <c r="G7" s="364"/>
      <c r="H7" s="369" t="s">
        <v>835</v>
      </c>
      <c r="I7" s="365" t="s">
        <v>830</v>
      </c>
      <c r="J7" s="366">
        <v>275</v>
      </c>
      <c r="K7" s="366">
        <f t="shared" si="0"/>
        <v>275</v>
      </c>
      <c r="L7" s="365">
        <v>10</v>
      </c>
      <c r="M7" s="367">
        <v>0</v>
      </c>
      <c r="N7" s="368">
        <f t="shared" si="1"/>
        <v>2750</v>
      </c>
      <c r="O7" s="365"/>
    </row>
    <row r="8" spans="1:15" ht="22.8" customHeight="1">
      <c r="A8" s="358">
        <v>46100</v>
      </c>
      <c r="B8" s="357" t="s">
        <v>815</v>
      </c>
      <c r="C8" s="357" t="s">
        <v>818</v>
      </c>
      <c r="D8" s="360">
        <v>211575</v>
      </c>
      <c r="G8" s="364"/>
      <c r="H8" s="369" t="s">
        <v>836</v>
      </c>
      <c r="I8" s="365" t="s">
        <v>830</v>
      </c>
      <c r="J8" s="366">
        <v>625</v>
      </c>
      <c r="K8" s="366">
        <f t="shared" si="0"/>
        <v>625</v>
      </c>
      <c r="L8" s="365">
        <v>27</v>
      </c>
      <c r="M8" s="367">
        <v>0</v>
      </c>
      <c r="N8" s="368">
        <f t="shared" si="1"/>
        <v>16875</v>
      </c>
      <c r="O8" s="365"/>
    </row>
    <row r="9" spans="1:15" ht="22.8" customHeight="1">
      <c r="A9" s="358">
        <v>46101</v>
      </c>
      <c r="B9" s="357" t="s">
        <v>819</v>
      </c>
      <c r="C9" s="357" t="s">
        <v>820</v>
      </c>
      <c r="D9" s="360">
        <v>211819</v>
      </c>
      <c r="G9" s="364"/>
      <c r="H9" s="369" t="s">
        <v>837</v>
      </c>
      <c r="I9" s="365" t="s">
        <v>830</v>
      </c>
      <c r="J9" s="366">
        <v>600</v>
      </c>
      <c r="K9" s="366">
        <f t="shared" si="0"/>
        <v>600</v>
      </c>
      <c r="L9" s="365">
        <v>10</v>
      </c>
      <c r="M9" s="367">
        <v>0</v>
      </c>
      <c r="N9" s="368">
        <f t="shared" si="1"/>
        <v>6000</v>
      </c>
      <c r="O9" s="365"/>
    </row>
    <row r="10" spans="1:15" ht="22.8" customHeight="1">
      <c r="A10" s="358">
        <v>46102</v>
      </c>
      <c r="B10" s="357" t="s">
        <v>812</v>
      </c>
      <c r="C10" s="357" t="s">
        <v>821</v>
      </c>
      <c r="D10" s="360">
        <v>59000</v>
      </c>
      <c r="G10" s="364"/>
      <c r="H10" s="369" t="s">
        <v>838</v>
      </c>
      <c r="I10" s="365" t="s">
        <v>830</v>
      </c>
      <c r="J10" s="366">
        <v>230</v>
      </c>
      <c r="K10" s="366">
        <f t="shared" si="0"/>
        <v>230</v>
      </c>
      <c r="L10" s="365">
        <v>10</v>
      </c>
      <c r="M10" s="367">
        <v>0</v>
      </c>
      <c r="N10" s="368">
        <f t="shared" si="1"/>
        <v>2300</v>
      </c>
      <c r="O10" s="365"/>
    </row>
    <row r="11" spans="1:15" ht="22.8" customHeight="1">
      <c r="A11" s="358">
        <v>46115</v>
      </c>
      <c r="B11" s="357" t="s">
        <v>824</v>
      </c>
      <c r="C11" s="357" t="s">
        <v>825</v>
      </c>
      <c r="D11" s="360">
        <v>399000</v>
      </c>
      <c r="G11" s="365"/>
      <c r="H11" s="369" t="s">
        <v>839</v>
      </c>
      <c r="I11" s="365" t="s">
        <v>830</v>
      </c>
      <c r="J11" s="366">
        <v>324</v>
      </c>
      <c r="K11" s="366">
        <f t="shared" si="0"/>
        <v>324</v>
      </c>
      <c r="L11" s="365">
        <v>6</v>
      </c>
      <c r="M11" s="367">
        <v>0</v>
      </c>
      <c r="N11" s="368">
        <f t="shared" si="1"/>
        <v>1944</v>
      </c>
      <c r="O11" s="365"/>
    </row>
    <row r="12" spans="1:15" ht="22.8" customHeight="1">
      <c r="A12" s="358"/>
      <c r="B12" s="357" t="s">
        <v>812</v>
      </c>
      <c r="C12" s="357" t="s">
        <v>883</v>
      </c>
      <c r="D12" s="360">
        <v>50000</v>
      </c>
      <c r="G12" s="365"/>
      <c r="H12" s="369" t="s">
        <v>840</v>
      </c>
      <c r="I12" s="365" t="s">
        <v>830</v>
      </c>
      <c r="J12" s="366">
        <v>115</v>
      </c>
      <c r="K12" s="366">
        <f t="shared" si="0"/>
        <v>115</v>
      </c>
      <c r="L12" s="365">
        <v>48</v>
      </c>
      <c r="M12" s="367">
        <v>0</v>
      </c>
      <c r="N12" s="368">
        <f t="shared" si="1"/>
        <v>5520</v>
      </c>
      <c r="O12" s="365"/>
    </row>
    <row r="13" spans="1:15" ht="22.8" customHeight="1">
      <c r="A13" s="358"/>
      <c r="B13" s="357" t="s">
        <v>812</v>
      </c>
      <c r="C13" s="357" t="s">
        <v>884</v>
      </c>
      <c r="D13" s="360">
        <v>18000</v>
      </c>
      <c r="G13" s="365"/>
      <c r="H13" s="369" t="s">
        <v>841</v>
      </c>
      <c r="I13" s="365" t="s">
        <v>831</v>
      </c>
      <c r="J13" s="366">
        <v>300</v>
      </c>
      <c r="K13" s="366">
        <f t="shared" si="0"/>
        <v>300</v>
      </c>
      <c r="L13" s="365">
        <v>80</v>
      </c>
      <c r="M13" s="367">
        <v>0</v>
      </c>
      <c r="N13" s="368">
        <f t="shared" si="1"/>
        <v>24000</v>
      </c>
      <c r="O13" s="365"/>
    </row>
    <row r="14" spans="1:15" ht="22.8" customHeight="1">
      <c r="A14" s="358"/>
      <c r="B14" s="357" t="s">
        <v>812</v>
      </c>
      <c r="C14" s="357" t="s">
        <v>885</v>
      </c>
      <c r="D14" s="360">
        <v>4554</v>
      </c>
      <c r="G14" s="365"/>
      <c r="H14" s="369" t="s">
        <v>842</v>
      </c>
      <c r="I14" s="365" t="s">
        <v>831</v>
      </c>
      <c r="J14" s="366">
        <v>350</v>
      </c>
      <c r="K14" s="366">
        <f t="shared" si="0"/>
        <v>350</v>
      </c>
      <c r="L14" s="365">
        <v>24</v>
      </c>
      <c r="M14" s="367">
        <v>0</v>
      </c>
      <c r="N14" s="368">
        <f t="shared" si="1"/>
        <v>8400</v>
      </c>
      <c r="O14" s="365"/>
    </row>
    <row r="15" spans="1:15" ht="22.8" customHeight="1">
      <c r="A15" s="358"/>
      <c r="B15" s="357" t="s">
        <v>812</v>
      </c>
      <c r="C15" s="357" t="s">
        <v>960</v>
      </c>
      <c r="D15" s="360">
        <v>30000</v>
      </c>
      <c r="G15" s="365"/>
      <c r="H15" s="369" t="s">
        <v>843</v>
      </c>
      <c r="I15" s="365" t="s">
        <v>831</v>
      </c>
      <c r="J15" s="366">
        <v>340</v>
      </c>
      <c r="K15" s="366">
        <f t="shared" si="0"/>
        <v>340</v>
      </c>
      <c r="L15" s="365">
        <v>24</v>
      </c>
      <c r="M15" s="367">
        <v>0</v>
      </c>
      <c r="N15" s="368">
        <f t="shared" si="1"/>
        <v>8160</v>
      </c>
      <c r="O15" s="365"/>
    </row>
    <row r="16" spans="1:15" ht="22.8" customHeight="1">
      <c r="A16" s="358"/>
      <c r="B16" s="357" t="s">
        <v>812</v>
      </c>
      <c r="C16" s="357" t="s">
        <v>961</v>
      </c>
      <c r="D16" s="360">
        <v>80000</v>
      </c>
      <c r="G16" s="365"/>
      <c r="H16" s="369" t="s">
        <v>844</v>
      </c>
      <c r="I16" s="365" t="s">
        <v>831</v>
      </c>
      <c r="J16" s="366">
        <v>350</v>
      </c>
      <c r="K16" s="366">
        <f t="shared" si="0"/>
        <v>350</v>
      </c>
      <c r="L16" s="365">
        <v>24</v>
      </c>
      <c r="M16" s="367">
        <v>0</v>
      </c>
      <c r="N16" s="368">
        <f t="shared" si="1"/>
        <v>8400</v>
      </c>
      <c r="O16" s="365"/>
    </row>
    <row r="17" spans="1:15" ht="22.8" customHeight="1">
      <c r="A17" s="358"/>
      <c r="D17" s="360"/>
      <c r="G17" s="365"/>
      <c r="H17" s="369" t="s">
        <v>845</v>
      </c>
      <c r="I17" s="365" t="s">
        <v>831</v>
      </c>
      <c r="J17" s="366">
        <v>230</v>
      </c>
      <c r="K17" s="366">
        <f t="shared" si="0"/>
        <v>230</v>
      </c>
      <c r="L17" s="365">
        <v>72</v>
      </c>
      <c r="M17" s="367">
        <v>0</v>
      </c>
      <c r="N17" s="368">
        <f t="shared" si="1"/>
        <v>16560</v>
      </c>
      <c r="O17" s="365"/>
    </row>
    <row r="18" spans="1:15" ht="22.8" customHeight="1">
      <c r="A18" s="358"/>
      <c r="D18" s="360"/>
      <c r="G18" s="365"/>
      <c r="H18" s="369" t="s">
        <v>846</v>
      </c>
      <c r="I18" s="365" t="s">
        <v>831</v>
      </c>
      <c r="J18" s="366">
        <v>230</v>
      </c>
      <c r="K18" s="366">
        <f t="shared" si="0"/>
        <v>230</v>
      </c>
      <c r="L18" s="365">
        <v>72</v>
      </c>
      <c r="M18" s="367">
        <v>0</v>
      </c>
      <c r="N18" s="368">
        <f t="shared" si="1"/>
        <v>16560</v>
      </c>
      <c r="O18" s="365"/>
    </row>
    <row r="19" spans="1:15" ht="22.8" customHeight="1">
      <c r="A19" s="358"/>
      <c r="D19" s="360"/>
      <c r="G19" s="365"/>
      <c r="H19" s="369" t="s">
        <v>847</v>
      </c>
      <c r="I19" s="365" t="s">
        <v>831</v>
      </c>
      <c r="J19" s="366">
        <v>2300</v>
      </c>
      <c r="K19" s="366">
        <f>J19/30</f>
        <v>76.666666666666671</v>
      </c>
      <c r="L19" s="365">
        <v>4</v>
      </c>
      <c r="M19" s="367">
        <v>0</v>
      </c>
      <c r="N19" s="368">
        <f t="shared" si="1"/>
        <v>9200</v>
      </c>
      <c r="O19" s="365"/>
    </row>
    <row r="20" spans="1:15" ht="22.8" customHeight="1">
      <c r="A20" s="358"/>
      <c r="D20" s="360"/>
      <c r="G20" s="365"/>
      <c r="H20" s="369" t="s">
        <v>848</v>
      </c>
      <c r="I20" s="365" t="s">
        <v>831</v>
      </c>
      <c r="J20" s="366">
        <v>1950</v>
      </c>
      <c r="K20" s="366">
        <f t="shared" ref="K20:K23" si="2">J20/30</f>
        <v>65</v>
      </c>
      <c r="L20" s="365">
        <v>4</v>
      </c>
      <c r="M20" s="367">
        <v>0</v>
      </c>
      <c r="N20" s="368">
        <f t="shared" si="1"/>
        <v>7800</v>
      </c>
      <c r="O20" s="365"/>
    </row>
    <row r="21" spans="1:15" ht="22.8" customHeight="1">
      <c r="A21" s="358"/>
      <c r="D21" s="360"/>
      <c r="G21" s="365"/>
      <c r="H21" s="369" t="s">
        <v>849</v>
      </c>
      <c r="I21" s="365" t="s">
        <v>831</v>
      </c>
      <c r="J21" s="366">
        <v>1750</v>
      </c>
      <c r="K21" s="366">
        <f t="shared" si="2"/>
        <v>58.333333333333336</v>
      </c>
      <c r="L21" s="365">
        <v>4</v>
      </c>
      <c r="M21" s="367">
        <v>0</v>
      </c>
      <c r="N21" s="368">
        <f t="shared" si="1"/>
        <v>7000</v>
      </c>
      <c r="O21" s="365"/>
    </row>
    <row r="22" spans="1:15" ht="22.8" customHeight="1">
      <c r="A22" s="358"/>
      <c r="D22" s="360"/>
      <c r="G22" s="365"/>
      <c r="H22" s="369" t="s">
        <v>850</v>
      </c>
      <c r="I22" s="365" t="s">
        <v>831</v>
      </c>
      <c r="J22" s="366">
        <v>1750</v>
      </c>
      <c r="K22" s="366">
        <f t="shared" si="2"/>
        <v>58.333333333333336</v>
      </c>
      <c r="L22" s="365">
        <v>4</v>
      </c>
      <c r="M22" s="367">
        <v>0</v>
      </c>
      <c r="N22" s="368">
        <f t="shared" si="1"/>
        <v>7000</v>
      </c>
      <c r="O22" s="365"/>
    </row>
    <row r="23" spans="1:15" ht="22.8" customHeight="1">
      <c r="A23" s="358"/>
      <c r="D23" s="360"/>
      <c r="G23" s="365"/>
      <c r="H23" s="369" t="s">
        <v>851</v>
      </c>
      <c r="I23" s="365" t="s">
        <v>831</v>
      </c>
      <c r="J23" s="366">
        <v>1800</v>
      </c>
      <c r="K23" s="366">
        <f t="shared" si="2"/>
        <v>60</v>
      </c>
      <c r="L23" s="365">
        <v>4</v>
      </c>
      <c r="M23" s="367">
        <v>0</v>
      </c>
      <c r="N23" s="368">
        <f t="shared" si="1"/>
        <v>7200</v>
      </c>
      <c r="O23" s="365"/>
    </row>
    <row r="24" spans="1:15" ht="22.8" customHeight="1">
      <c r="A24" s="358"/>
      <c r="D24" s="360"/>
      <c r="G24" s="365"/>
      <c r="H24" s="369" t="s">
        <v>852</v>
      </c>
      <c r="I24" s="365" t="s">
        <v>830</v>
      </c>
      <c r="J24" s="366">
        <v>2390</v>
      </c>
      <c r="K24" s="366">
        <f>J24/6</f>
        <v>398.33333333333331</v>
      </c>
      <c r="L24" s="365">
        <v>8</v>
      </c>
      <c r="M24" s="367">
        <v>0</v>
      </c>
      <c r="N24" s="368">
        <f t="shared" si="1"/>
        <v>19120</v>
      </c>
      <c r="O24" s="365"/>
    </row>
    <row r="25" spans="1:15" ht="22.8" customHeight="1">
      <c r="A25" s="358"/>
      <c r="D25" s="360"/>
      <c r="G25" s="365"/>
      <c r="H25" s="369" t="s">
        <v>853</v>
      </c>
      <c r="I25" s="365" t="s">
        <v>830</v>
      </c>
      <c r="J25" s="366">
        <v>2390</v>
      </c>
      <c r="K25" s="366">
        <f t="shared" ref="K25:K26" si="3">J25/6</f>
        <v>398.33333333333331</v>
      </c>
      <c r="L25" s="365">
        <v>4</v>
      </c>
      <c r="M25" s="367">
        <v>0</v>
      </c>
      <c r="N25" s="368">
        <f t="shared" si="1"/>
        <v>9560</v>
      </c>
      <c r="O25" s="365"/>
    </row>
    <row r="26" spans="1:15" ht="22.8" customHeight="1">
      <c r="A26" s="358"/>
      <c r="D26" s="360"/>
      <c r="G26" s="365"/>
      <c r="H26" s="369" t="s">
        <v>854</v>
      </c>
      <c r="I26" s="365" t="s">
        <v>830</v>
      </c>
      <c r="J26" s="366">
        <v>2390</v>
      </c>
      <c r="K26" s="366">
        <f t="shared" si="3"/>
        <v>398.33333333333331</v>
      </c>
      <c r="L26" s="365">
        <v>8</v>
      </c>
      <c r="M26" s="367">
        <v>0</v>
      </c>
      <c r="N26" s="368">
        <f t="shared" si="1"/>
        <v>19120</v>
      </c>
      <c r="O26" s="365"/>
    </row>
    <row r="27" spans="1:15" ht="22.8" customHeight="1">
      <c r="A27" s="358"/>
      <c r="D27" s="360"/>
      <c r="G27" s="365"/>
      <c r="H27" s="369" t="s">
        <v>856</v>
      </c>
      <c r="I27" s="365" t="s">
        <v>830</v>
      </c>
      <c r="J27" s="366">
        <v>445</v>
      </c>
      <c r="K27" s="366"/>
      <c r="L27" s="365">
        <v>216</v>
      </c>
      <c r="M27" s="367">
        <v>0</v>
      </c>
      <c r="N27" s="368">
        <f t="shared" si="1"/>
        <v>96120</v>
      </c>
      <c r="O27" s="365"/>
    </row>
    <row r="28" spans="1:15" ht="22.8" customHeight="1">
      <c r="A28" s="358"/>
      <c r="D28" s="360"/>
      <c r="G28" s="365"/>
      <c r="H28" s="369" t="s">
        <v>855</v>
      </c>
      <c r="I28" s="365" t="s">
        <v>830</v>
      </c>
      <c r="J28" s="366">
        <v>308</v>
      </c>
      <c r="K28" s="366"/>
      <c r="L28" s="365">
        <v>216</v>
      </c>
      <c r="M28" s="367">
        <v>0</v>
      </c>
      <c r="N28" s="368">
        <f t="shared" si="1"/>
        <v>66528</v>
      </c>
      <c r="O28" s="365"/>
    </row>
    <row r="29" spans="1:15" ht="22.8" customHeight="1">
      <c r="A29" s="358"/>
      <c r="D29" s="360"/>
      <c r="G29" s="365"/>
      <c r="H29" s="369" t="s">
        <v>857</v>
      </c>
      <c r="I29" s="365" t="s">
        <v>830</v>
      </c>
      <c r="J29" s="366">
        <v>215</v>
      </c>
      <c r="K29" s="366"/>
      <c r="L29" s="365">
        <v>72</v>
      </c>
      <c r="M29" s="367">
        <v>0</v>
      </c>
      <c r="N29" s="368">
        <f t="shared" si="1"/>
        <v>15480</v>
      </c>
      <c r="O29" s="365"/>
    </row>
    <row r="30" spans="1:15" ht="22.8" customHeight="1">
      <c r="A30" s="358"/>
      <c r="D30" s="360"/>
      <c r="G30" s="365"/>
      <c r="H30" s="369" t="s">
        <v>858</v>
      </c>
      <c r="I30" s="365" t="s">
        <v>830</v>
      </c>
      <c r="J30" s="366">
        <v>265</v>
      </c>
      <c r="K30" s="366"/>
      <c r="L30" s="365">
        <v>48</v>
      </c>
      <c r="M30" s="367">
        <v>0</v>
      </c>
      <c r="N30" s="368">
        <f t="shared" si="1"/>
        <v>12720</v>
      </c>
      <c r="O30" s="365"/>
    </row>
    <row r="31" spans="1:15" ht="22.8" customHeight="1">
      <c r="A31" s="358"/>
      <c r="D31" s="360"/>
      <c r="G31" s="365"/>
      <c r="H31" s="369" t="s">
        <v>859</v>
      </c>
      <c r="I31" s="365" t="s">
        <v>830</v>
      </c>
      <c r="J31" s="366">
        <v>265</v>
      </c>
      <c r="K31" s="366"/>
      <c r="L31" s="365">
        <v>96</v>
      </c>
      <c r="M31" s="367">
        <v>0</v>
      </c>
      <c r="N31" s="368">
        <f t="shared" si="1"/>
        <v>25440</v>
      </c>
      <c r="O31" s="365"/>
    </row>
    <row r="32" spans="1:15" ht="22.8" customHeight="1">
      <c r="A32" s="358"/>
      <c r="D32" s="360"/>
      <c r="G32" s="365"/>
      <c r="H32" s="369" t="s">
        <v>860</v>
      </c>
      <c r="I32" s="365" t="s">
        <v>830</v>
      </c>
      <c r="J32" s="366">
        <f>7267/24</f>
        <v>302.79166666666669</v>
      </c>
      <c r="K32" s="366">
        <f>J32*(1+M32)</f>
        <v>327.01500000000004</v>
      </c>
      <c r="L32" s="365">
        <f>4*24</f>
        <v>96</v>
      </c>
      <c r="M32" s="367">
        <v>0.08</v>
      </c>
      <c r="N32" s="368">
        <f>J32*L32*(1+M32)</f>
        <v>31393.440000000002</v>
      </c>
      <c r="O32" s="365"/>
    </row>
    <row r="33" spans="1:15" ht="22.8" customHeight="1">
      <c r="A33" s="358"/>
      <c r="D33" s="360"/>
      <c r="G33" s="365"/>
      <c r="H33" s="369" t="s">
        <v>861</v>
      </c>
      <c r="I33" s="365" t="s">
        <v>830</v>
      </c>
      <c r="J33" s="366">
        <f>4167/12</f>
        <v>347.25</v>
      </c>
      <c r="K33" s="366">
        <f t="shared" ref="K33:K42" si="4">J33*(1+M33)</f>
        <v>375.03000000000003</v>
      </c>
      <c r="L33" s="365">
        <f>12*4</f>
        <v>48</v>
      </c>
      <c r="M33" s="367">
        <v>0.08</v>
      </c>
      <c r="N33" s="368">
        <f t="shared" si="1"/>
        <v>18001.440000000002</v>
      </c>
      <c r="O33" s="365"/>
    </row>
    <row r="34" spans="1:15" ht="22.8" customHeight="1">
      <c r="A34" s="358"/>
      <c r="D34" s="360"/>
      <c r="G34" s="365"/>
      <c r="H34" s="369" t="s">
        <v>862</v>
      </c>
      <c r="I34" s="365" t="s">
        <v>830</v>
      </c>
      <c r="J34" s="366">
        <f>6945/100</f>
        <v>69.45</v>
      </c>
      <c r="K34" s="366">
        <f t="shared" si="4"/>
        <v>75.006000000000014</v>
      </c>
      <c r="L34" s="365">
        <f>100*2</f>
        <v>200</v>
      </c>
      <c r="M34" s="367">
        <v>0.08</v>
      </c>
      <c r="N34" s="368">
        <f t="shared" si="1"/>
        <v>15001.2</v>
      </c>
      <c r="O34" s="365"/>
    </row>
    <row r="35" spans="1:15" ht="22.8" customHeight="1">
      <c r="A35" s="358"/>
      <c r="D35" s="360"/>
      <c r="G35" s="365"/>
      <c r="H35" s="369" t="s">
        <v>841</v>
      </c>
      <c r="I35" s="365" t="s">
        <v>830</v>
      </c>
      <c r="J35" s="366">
        <f>13149/40</f>
        <v>328.72500000000002</v>
      </c>
      <c r="K35" s="366">
        <f t="shared" si="4"/>
        <v>355.02300000000002</v>
      </c>
      <c r="L35" s="365">
        <v>40</v>
      </c>
      <c r="M35" s="367">
        <v>0.08</v>
      </c>
      <c r="N35" s="368">
        <f t="shared" si="1"/>
        <v>14200.92</v>
      </c>
      <c r="O35" s="365"/>
    </row>
    <row r="36" spans="1:15" ht="22.8" customHeight="1">
      <c r="A36" s="358"/>
      <c r="D36" s="360"/>
      <c r="G36" s="365"/>
      <c r="H36" s="369" t="s">
        <v>863</v>
      </c>
      <c r="I36" s="365" t="s">
        <v>830</v>
      </c>
      <c r="J36" s="366">
        <f>6250/30</f>
        <v>208.33333333333334</v>
      </c>
      <c r="K36" s="366">
        <f t="shared" si="4"/>
        <v>225.00000000000003</v>
      </c>
      <c r="L36" s="365">
        <f>4*30</f>
        <v>120</v>
      </c>
      <c r="M36" s="367">
        <v>0.08</v>
      </c>
      <c r="N36" s="368">
        <f t="shared" si="1"/>
        <v>27000</v>
      </c>
      <c r="O36" s="365"/>
    </row>
    <row r="37" spans="1:15" ht="22.8" customHeight="1">
      <c r="A37" s="358"/>
      <c r="D37" s="360"/>
      <c r="G37" s="365"/>
      <c r="H37" s="369" t="s">
        <v>864</v>
      </c>
      <c r="I37" s="365" t="s">
        <v>830</v>
      </c>
      <c r="J37" s="366">
        <f>7117/14</f>
        <v>508.35714285714283</v>
      </c>
      <c r="K37" s="366">
        <f t="shared" si="4"/>
        <v>549.02571428571434</v>
      </c>
      <c r="L37" s="365">
        <v>14</v>
      </c>
      <c r="M37" s="367">
        <v>0.08</v>
      </c>
      <c r="N37" s="368">
        <f t="shared" si="1"/>
        <v>7686.3600000000006</v>
      </c>
      <c r="O37" s="365"/>
    </row>
    <row r="38" spans="1:15" ht="22.8" customHeight="1">
      <c r="A38" s="358"/>
      <c r="D38" s="360"/>
      <c r="G38" s="365"/>
      <c r="H38" s="369" t="s">
        <v>865</v>
      </c>
      <c r="I38" s="365" t="s">
        <v>830</v>
      </c>
      <c r="J38" s="366">
        <f>4583/50</f>
        <v>91.66</v>
      </c>
      <c r="K38" s="366">
        <f t="shared" si="4"/>
        <v>98.992800000000003</v>
      </c>
      <c r="L38" s="365">
        <v>50</v>
      </c>
      <c r="M38" s="367">
        <v>0.08</v>
      </c>
      <c r="N38" s="368">
        <f t="shared" si="1"/>
        <v>4949.6400000000003</v>
      </c>
      <c r="O38" s="365"/>
    </row>
    <row r="39" spans="1:15" ht="22.8" customHeight="1">
      <c r="A39" s="358"/>
      <c r="D39" s="360"/>
      <c r="G39" s="365"/>
      <c r="H39" s="369" t="s">
        <v>866</v>
      </c>
      <c r="I39" s="365" t="s">
        <v>830</v>
      </c>
      <c r="J39" s="366">
        <f>13889/100</f>
        <v>138.88999999999999</v>
      </c>
      <c r="K39" s="366">
        <f t="shared" si="4"/>
        <v>150.00119999999998</v>
      </c>
      <c r="L39" s="365">
        <f>100*2</f>
        <v>200</v>
      </c>
      <c r="M39" s="367">
        <v>0.08</v>
      </c>
      <c r="N39" s="368">
        <f t="shared" si="1"/>
        <v>30000.239999999998</v>
      </c>
      <c r="O39" s="365"/>
    </row>
    <row r="40" spans="1:15" ht="22.8" customHeight="1">
      <c r="A40" s="358"/>
      <c r="D40" s="360"/>
      <c r="G40" s="365"/>
      <c r="H40" s="369" t="s">
        <v>867</v>
      </c>
      <c r="I40" s="365" t="s">
        <v>830</v>
      </c>
      <c r="J40" s="366">
        <f>3334/16</f>
        <v>208.375</v>
      </c>
      <c r="K40" s="366">
        <f t="shared" si="4"/>
        <v>225.04500000000002</v>
      </c>
      <c r="L40" s="365">
        <f>16*8</f>
        <v>128</v>
      </c>
      <c r="M40" s="367">
        <v>0.08</v>
      </c>
      <c r="N40" s="368">
        <f t="shared" si="1"/>
        <v>28805.760000000002</v>
      </c>
      <c r="O40" s="365"/>
    </row>
    <row r="41" spans="1:15" ht="22.8" customHeight="1">
      <c r="A41" s="358"/>
      <c r="D41" s="360"/>
      <c r="G41" s="365"/>
      <c r="H41" s="369" t="s">
        <v>868</v>
      </c>
      <c r="I41" s="365" t="s">
        <v>830</v>
      </c>
      <c r="J41" s="366">
        <f>3445/24</f>
        <v>143.54166666666666</v>
      </c>
      <c r="K41" s="366">
        <f t="shared" si="4"/>
        <v>155.02500000000001</v>
      </c>
      <c r="L41" s="365">
        <f>24*4</f>
        <v>96</v>
      </c>
      <c r="M41" s="367">
        <v>0.08</v>
      </c>
      <c r="N41" s="368">
        <f t="shared" si="1"/>
        <v>14882.400000000001</v>
      </c>
      <c r="O41" s="365"/>
    </row>
    <row r="42" spans="1:15" ht="22.8" customHeight="1">
      <c r="A42" s="358"/>
      <c r="D42" s="360"/>
      <c r="G42" s="365"/>
      <c r="H42" s="369" t="s">
        <v>869</v>
      </c>
      <c r="I42" s="365" t="s">
        <v>830</v>
      </c>
      <c r="J42" s="366">
        <f>3445/24</f>
        <v>143.54166666666666</v>
      </c>
      <c r="K42" s="366">
        <f t="shared" si="4"/>
        <v>155.02500000000001</v>
      </c>
      <c r="L42" s="365">
        <f>24*4</f>
        <v>96</v>
      </c>
      <c r="M42" s="367">
        <v>0.08</v>
      </c>
      <c r="N42" s="368">
        <f t="shared" si="1"/>
        <v>14882.400000000001</v>
      </c>
      <c r="O42" s="365"/>
    </row>
    <row r="43" spans="1:15" ht="22.8" customHeight="1">
      <c r="A43" s="358"/>
      <c r="D43" s="360"/>
      <c r="G43" s="365"/>
      <c r="H43" s="369" t="s">
        <v>870</v>
      </c>
      <c r="I43" s="365" t="s">
        <v>830</v>
      </c>
      <c r="J43" s="366">
        <v>373</v>
      </c>
      <c r="K43" s="366"/>
      <c r="L43" s="365">
        <v>150</v>
      </c>
      <c r="M43" s="367">
        <v>0</v>
      </c>
      <c r="N43" s="368">
        <f t="shared" si="1"/>
        <v>55950</v>
      </c>
      <c r="O43" s="365"/>
    </row>
    <row r="44" spans="1:15" ht="22.8" customHeight="1">
      <c r="A44" s="358"/>
      <c r="D44" s="360"/>
      <c r="G44" s="365"/>
      <c r="H44" s="369" t="s">
        <v>871</v>
      </c>
      <c r="I44" s="365" t="s">
        <v>830</v>
      </c>
      <c r="J44" s="366">
        <v>145</v>
      </c>
      <c r="K44" s="366"/>
      <c r="L44" s="365">
        <v>72</v>
      </c>
      <c r="M44" s="367">
        <v>0</v>
      </c>
      <c r="N44" s="368">
        <f t="shared" si="1"/>
        <v>10440</v>
      </c>
      <c r="O44" s="365"/>
    </row>
    <row r="45" spans="1:15" ht="22.8" customHeight="1">
      <c r="A45" s="358"/>
      <c r="D45" s="360"/>
      <c r="G45" s="365"/>
      <c r="H45" s="369" t="s">
        <v>872</v>
      </c>
      <c r="I45" s="365" t="s">
        <v>830</v>
      </c>
      <c r="J45" s="366">
        <v>140</v>
      </c>
      <c r="K45" s="366"/>
      <c r="L45" s="365">
        <v>72</v>
      </c>
      <c r="M45" s="367">
        <v>0</v>
      </c>
      <c r="N45" s="368">
        <f t="shared" si="1"/>
        <v>10080</v>
      </c>
      <c r="O45" s="365"/>
    </row>
    <row r="46" spans="1:15" ht="22.8" customHeight="1">
      <c r="A46" s="358"/>
      <c r="D46" s="360"/>
      <c r="G46" s="365"/>
      <c r="H46" s="369" t="s">
        <v>873</v>
      </c>
      <c r="I46" s="365" t="s">
        <v>830</v>
      </c>
      <c r="J46" s="366">
        <v>243</v>
      </c>
      <c r="K46" s="366"/>
      <c r="L46" s="365">
        <v>72</v>
      </c>
      <c r="M46" s="367">
        <v>0</v>
      </c>
      <c r="N46" s="368">
        <f t="shared" si="1"/>
        <v>17496</v>
      </c>
      <c r="O46" s="365"/>
    </row>
    <row r="47" spans="1:15" ht="22.8" customHeight="1">
      <c r="A47" s="358"/>
      <c r="D47" s="360"/>
      <c r="G47" s="365"/>
      <c r="H47" s="369" t="s">
        <v>874</v>
      </c>
      <c r="I47" s="365" t="s">
        <v>830</v>
      </c>
      <c r="J47" s="366">
        <v>186</v>
      </c>
      <c r="K47" s="366"/>
      <c r="L47" s="365">
        <v>72</v>
      </c>
      <c r="M47" s="367">
        <v>0</v>
      </c>
      <c r="N47" s="368">
        <f t="shared" si="1"/>
        <v>13392</v>
      </c>
      <c r="O47" s="365"/>
    </row>
    <row r="48" spans="1:15" ht="22.8" customHeight="1">
      <c r="A48" s="358"/>
      <c r="D48" s="360"/>
      <c r="G48" s="365"/>
      <c r="H48" s="369" t="s">
        <v>875</v>
      </c>
      <c r="I48" s="365" t="s">
        <v>830</v>
      </c>
      <c r="J48" s="366">
        <v>505</v>
      </c>
      <c r="K48" s="366"/>
      <c r="L48" s="365">
        <v>48</v>
      </c>
      <c r="M48" s="367">
        <v>0</v>
      </c>
      <c r="N48" s="368">
        <f t="shared" si="1"/>
        <v>24240</v>
      </c>
      <c r="O48" s="365"/>
    </row>
    <row r="49" spans="1:15" ht="22.8" customHeight="1">
      <c r="A49" s="358"/>
      <c r="D49" s="360"/>
      <c r="G49" s="365"/>
      <c r="H49" s="369" t="s">
        <v>876</v>
      </c>
      <c r="I49" s="365" t="s">
        <v>830</v>
      </c>
      <c r="J49" s="366">
        <v>421</v>
      </c>
      <c r="K49" s="366"/>
      <c r="L49" s="365">
        <v>60</v>
      </c>
      <c r="M49" s="367">
        <v>0</v>
      </c>
      <c r="N49" s="368">
        <f t="shared" si="1"/>
        <v>25260</v>
      </c>
      <c r="O49" s="365"/>
    </row>
    <row r="50" spans="1:15" ht="22.8" customHeight="1">
      <c r="A50" s="358"/>
      <c r="D50" s="360"/>
      <c r="G50" s="365"/>
      <c r="H50" s="369" t="s">
        <v>877</v>
      </c>
      <c r="I50" s="365" t="s">
        <v>830</v>
      </c>
      <c r="J50" s="366">
        <v>220</v>
      </c>
      <c r="K50" s="366"/>
      <c r="L50" s="365">
        <v>48</v>
      </c>
      <c r="M50" s="367">
        <v>0</v>
      </c>
      <c r="N50" s="368">
        <f t="shared" si="1"/>
        <v>10560</v>
      </c>
      <c r="O50" s="365"/>
    </row>
    <row r="51" spans="1:15" ht="22.8" customHeight="1">
      <c r="A51" s="358"/>
      <c r="D51" s="360"/>
      <c r="G51" s="365"/>
      <c r="H51" s="369" t="s">
        <v>878</v>
      </c>
      <c r="I51" s="365" t="s">
        <v>830</v>
      </c>
      <c r="J51" s="366">
        <v>156</v>
      </c>
      <c r="K51" s="366"/>
      <c r="L51" s="365">
        <v>36</v>
      </c>
      <c r="M51" s="367">
        <v>0</v>
      </c>
      <c r="N51" s="368">
        <f t="shared" si="1"/>
        <v>5616</v>
      </c>
      <c r="O51" s="365"/>
    </row>
    <row r="52" spans="1:15" ht="22.8" customHeight="1">
      <c r="A52" s="358"/>
      <c r="D52" s="360"/>
      <c r="G52" s="365"/>
      <c r="H52" s="369" t="s">
        <v>879</v>
      </c>
      <c r="I52" s="365" t="s">
        <v>830</v>
      </c>
      <c r="J52" s="366">
        <v>1900</v>
      </c>
      <c r="K52" s="366"/>
      <c r="L52" s="365">
        <v>10</v>
      </c>
      <c r="M52" s="367">
        <v>0</v>
      </c>
      <c r="N52" s="368">
        <f t="shared" si="1"/>
        <v>19000</v>
      </c>
      <c r="O52" s="365"/>
    </row>
    <row r="53" spans="1:15" ht="22.8" customHeight="1">
      <c r="A53" s="358"/>
      <c r="D53" s="360"/>
      <c r="G53" s="365"/>
      <c r="H53" s="369" t="s">
        <v>880</v>
      </c>
      <c r="I53" s="365" t="s">
        <v>830</v>
      </c>
      <c r="J53" s="366">
        <v>1900</v>
      </c>
      <c r="K53" s="366"/>
      <c r="L53" s="365">
        <v>5</v>
      </c>
      <c r="M53" s="367">
        <v>0</v>
      </c>
      <c r="N53" s="368">
        <f t="shared" si="1"/>
        <v>9500</v>
      </c>
      <c r="O53" s="365"/>
    </row>
    <row r="54" spans="1:15" ht="22.8" customHeight="1">
      <c r="A54" s="358"/>
      <c r="D54" s="360"/>
      <c r="G54" s="365"/>
      <c r="H54" s="369" t="s">
        <v>881</v>
      </c>
      <c r="I54" s="365" t="s">
        <v>830</v>
      </c>
      <c r="J54" s="366">
        <v>1900</v>
      </c>
      <c r="K54" s="366"/>
      <c r="L54" s="365">
        <v>15</v>
      </c>
      <c r="M54" s="367">
        <v>0</v>
      </c>
      <c r="N54" s="368">
        <f t="shared" si="1"/>
        <v>28500</v>
      </c>
      <c r="O54" s="365"/>
    </row>
    <row r="55" spans="1:15" ht="22.8" customHeight="1">
      <c r="A55" s="358"/>
      <c r="D55" s="360"/>
      <c r="G55" s="365"/>
      <c r="H55" s="365" t="s">
        <v>886</v>
      </c>
      <c r="I55" s="365" t="s">
        <v>831</v>
      </c>
      <c r="J55" s="366">
        <v>600</v>
      </c>
      <c r="K55" s="366"/>
      <c r="L55" s="365">
        <v>8</v>
      </c>
      <c r="M55" s="367">
        <v>0</v>
      </c>
      <c r="N55" s="368">
        <f t="shared" si="1"/>
        <v>4800</v>
      </c>
      <c r="O55" s="365"/>
    </row>
    <row r="56" spans="1:15" ht="22.8" customHeight="1">
      <c r="A56" s="358"/>
      <c r="D56" s="360"/>
      <c r="G56" s="365"/>
      <c r="H56" s="365" t="s">
        <v>887</v>
      </c>
      <c r="I56" s="365" t="s">
        <v>831</v>
      </c>
      <c r="J56" s="366">
        <v>600</v>
      </c>
      <c r="K56" s="366"/>
      <c r="L56" s="365">
        <v>8</v>
      </c>
      <c r="M56" s="367">
        <v>0</v>
      </c>
      <c r="N56" s="368">
        <f t="shared" si="1"/>
        <v>4800</v>
      </c>
      <c r="O56" s="365"/>
    </row>
    <row r="57" spans="1:15" ht="22.8" customHeight="1">
      <c r="A57" s="358"/>
      <c r="D57" s="360"/>
      <c r="G57" s="365"/>
      <c r="H57" s="365" t="s">
        <v>888</v>
      </c>
      <c r="I57" s="365" t="s">
        <v>831</v>
      </c>
      <c r="J57" s="366">
        <v>100</v>
      </c>
      <c r="K57" s="366"/>
      <c r="L57" s="365">
        <v>160</v>
      </c>
      <c r="M57" s="367">
        <v>0</v>
      </c>
      <c r="N57" s="368">
        <f t="shared" si="1"/>
        <v>16000</v>
      </c>
      <c r="O57" s="365"/>
    </row>
    <row r="58" spans="1:15" ht="22.8" customHeight="1">
      <c r="A58" s="358"/>
      <c r="D58" s="360"/>
      <c r="G58" s="365"/>
      <c r="H58" s="365" t="s">
        <v>889</v>
      </c>
      <c r="I58" s="365" t="s">
        <v>831</v>
      </c>
      <c r="J58" s="366">
        <v>100</v>
      </c>
      <c r="K58" s="366"/>
      <c r="L58" s="365">
        <v>80</v>
      </c>
      <c r="M58" s="367">
        <v>0</v>
      </c>
      <c r="N58" s="368">
        <f t="shared" si="1"/>
        <v>8000</v>
      </c>
      <c r="O58" s="365"/>
    </row>
    <row r="59" spans="1:15" ht="22.8" customHeight="1">
      <c r="A59" s="358"/>
      <c r="D59" s="360"/>
      <c r="G59" s="365"/>
      <c r="H59" s="365" t="s">
        <v>890</v>
      </c>
      <c r="I59" s="365" t="s">
        <v>831</v>
      </c>
      <c r="J59" s="366">
        <v>60</v>
      </c>
      <c r="K59" s="366"/>
      <c r="L59" s="365">
        <v>48</v>
      </c>
      <c r="M59" s="367">
        <v>0</v>
      </c>
      <c r="N59" s="368">
        <f t="shared" si="1"/>
        <v>2880</v>
      </c>
      <c r="O59" s="365"/>
    </row>
    <row r="60" spans="1:15" ht="22.8" customHeight="1">
      <c r="A60" s="358"/>
      <c r="D60" s="360"/>
      <c r="G60" s="365"/>
      <c r="H60" s="365" t="s">
        <v>891</v>
      </c>
      <c r="I60" s="365" t="s">
        <v>831</v>
      </c>
      <c r="J60" s="366">
        <v>260</v>
      </c>
      <c r="K60" s="366"/>
      <c r="L60" s="365">
        <v>10</v>
      </c>
      <c r="M60" s="367">
        <v>0</v>
      </c>
      <c r="N60" s="368">
        <f t="shared" si="1"/>
        <v>2600</v>
      </c>
      <c r="O60" s="365"/>
    </row>
    <row r="61" spans="1:15" ht="22.8" customHeight="1">
      <c r="A61" s="358"/>
      <c r="D61" s="360"/>
      <c r="G61" s="365"/>
      <c r="H61" s="365" t="s">
        <v>892</v>
      </c>
      <c r="I61" s="365" t="s">
        <v>831</v>
      </c>
      <c r="J61" s="366">
        <v>450</v>
      </c>
      <c r="K61" s="366"/>
      <c r="L61" s="365">
        <v>30</v>
      </c>
      <c r="M61" s="367">
        <v>0</v>
      </c>
      <c r="N61" s="368">
        <f t="shared" si="1"/>
        <v>13500</v>
      </c>
      <c r="O61" s="365"/>
    </row>
    <row r="62" spans="1:15" ht="22.8" customHeight="1">
      <c r="A62" s="358"/>
      <c r="D62" s="360"/>
      <c r="G62" s="365"/>
      <c r="H62" s="365" t="s">
        <v>893</v>
      </c>
      <c r="I62" s="365" t="s">
        <v>831</v>
      </c>
      <c r="J62" s="366">
        <v>293</v>
      </c>
      <c r="K62" s="366"/>
      <c r="L62" s="365">
        <v>10</v>
      </c>
      <c r="M62" s="367">
        <v>0</v>
      </c>
      <c r="N62" s="368">
        <f t="shared" si="1"/>
        <v>2930</v>
      </c>
      <c r="O62" s="365"/>
    </row>
    <row r="63" spans="1:15" ht="22.8" customHeight="1">
      <c r="A63" s="358"/>
      <c r="D63" s="360"/>
      <c r="G63" s="365"/>
      <c r="H63" s="365" t="s">
        <v>894</v>
      </c>
      <c r="I63" s="365" t="s">
        <v>831</v>
      </c>
      <c r="J63" s="366">
        <v>294</v>
      </c>
      <c r="K63" s="366"/>
      <c r="L63" s="365">
        <v>10</v>
      </c>
      <c r="M63" s="367">
        <v>0</v>
      </c>
      <c r="N63" s="368">
        <f t="shared" si="1"/>
        <v>2940</v>
      </c>
      <c r="O63" s="365"/>
    </row>
    <row r="64" spans="1:15" ht="22.8" customHeight="1">
      <c r="A64" s="358"/>
      <c r="D64" s="360"/>
      <c r="G64" s="365"/>
      <c r="H64" s="365" t="s">
        <v>895</v>
      </c>
      <c r="I64" s="365" t="s">
        <v>831</v>
      </c>
      <c r="J64" s="366">
        <v>105</v>
      </c>
      <c r="K64" s="366"/>
      <c r="L64" s="365">
        <v>25</v>
      </c>
      <c r="M64" s="367">
        <v>0</v>
      </c>
      <c r="N64" s="368">
        <f t="shared" si="1"/>
        <v>2625</v>
      </c>
      <c r="O64" s="365"/>
    </row>
    <row r="65" spans="1:15" ht="22.8" customHeight="1">
      <c r="A65" s="358"/>
      <c r="D65" s="360"/>
      <c r="G65" s="365"/>
      <c r="H65" s="365" t="s">
        <v>896</v>
      </c>
      <c r="I65" s="365" t="s">
        <v>831</v>
      </c>
      <c r="J65" s="366">
        <v>390</v>
      </c>
      <c r="K65" s="366"/>
      <c r="L65" s="365">
        <v>10</v>
      </c>
      <c r="M65" s="367">
        <v>0</v>
      </c>
      <c r="N65" s="368">
        <f t="shared" si="1"/>
        <v>3900</v>
      </c>
      <c r="O65" s="365"/>
    </row>
    <row r="66" spans="1:15" ht="22.8" customHeight="1">
      <c r="A66" s="358"/>
      <c r="D66" s="360"/>
      <c r="G66" s="365"/>
      <c r="H66" s="365" t="s">
        <v>897</v>
      </c>
      <c r="I66" s="365" t="s">
        <v>831</v>
      </c>
      <c r="J66" s="366">
        <v>230</v>
      </c>
      <c r="K66" s="366"/>
      <c r="L66" s="365">
        <v>10</v>
      </c>
      <c r="M66" s="367">
        <v>0</v>
      </c>
      <c r="N66" s="368">
        <f t="shared" si="1"/>
        <v>2300</v>
      </c>
      <c r="O66" s="365"/>
    </row>
    <row r="67" spans="1:15" ht="22.8" customHeight="1">
      <c r="A67" s="358"/>
      <c r="D67" s="360"/>
      <c r="G67" s="365"/>
      <c r="H67" s="365" t="s">
        <v>898</v>
      </c>
      <c r="I67" s="365" t="s">
        <v>831</v>
      </c>
      <c r="J67" s="366">
        <v>119.79</v>
      </c>
      <c r="K67" s="366"/>
      <c r="L67" s="365">
        <v>192</v>
      </c>
      <c r="M67" s="367">
        <v>0</v>
      </c>
      <c r="N67" s="368">
        <f t="shared" si="1"/>
        <v>22999.68</v>
      </c>
      <c r="O67" s="365"/>
    </row>
    <row r="68" spans="1:15" ht="22.8" customHeight="1">
      <c r="A68" s="358"/>
      <c r="D68" s="360"/>
      <c r="G68" s="365"/>
      <c r="H68" s="365" t="s">
        <v>899</v>
      </c>
      <c r="I68" s="365" t="s">
        <v>831</v>
      </c>
      <c r="J68" s="366">
        <v>60</v>
      </c>
      <c r="K68" s="366"/>
      <c r="L68" s="365">
        <v>36</v>
      </c>
      <c r="M68" s="367">
        <v>0</v>
      </c>
      <c r="N68" s="368">
        <f t="shared" si="1"/>
        <v>2160</v>
      </c>
      <c r="O68" s="365"/>
    </row>
    <row r="69" spans="1:15" ht="22.8" customHeight="1">
      <c r="A69" s="358"/>
      <c r="D69" s="360"/>
      <c r="G69" s="365"/>
      <c r="H69" s="365" t="s">
        <v>900</v>
      </c>
      <c r="I69" s="365" t="s">
        <v>831</v>
      </c>
      <c r="J69" s="366">
        <v>60</v>
      </c>
      <c r="K69" s="366"/>
      <c r="L69" s="365">
        <v>36</v>
      </c>
      <c r="M69" s="367">
        <v>0</v>
      </c>
      <c r="N69" s="368">
        <f t="shared" si="1"/>
        <v>2160</v>
      </c>
      <c r="O69" s="365"/>
    </row>
    <row r="70" spans="1:15" ht="22.8" customHeight="1">
      <c r="A70" s="358"/>
      <c r="D70" s="360"/>
      <c r="G70" s="365"/>
      <c r="H70" s="365" t="s">
        <v>901</v>
      </c>
      <c r="I70" s="365" t="s">
        <v>831</v>
      </c>
      <c r="J70" s="366">
        <v>4560</v>
      </c>
      <c r="K70" s="366"/>
      <c r="L70" s="365">
        <v>1</v>
      </c>
      <c r="M70" s="367">
        <v>0</v>
      </c>
      <c r="N70" s="368">
        <f t="shared" si="1"/>
        <v>4560</v>
      </c>
      <c r="O70" s="365"/>
    </row>
    <row r="71" spans="1:15" ht="22.8" customHeight="1">
      <c r="A71" s="358"/>
      <c r="D71" s="360"/>
      <c r="G71" s="365"/>
      <c r="H71" s="365" t="s">
        <v>902</v>
      </c>
      <c r="I71" s="365" t="s">
        <v>831</v>
      </c>
      <c r="J71" s="366">
        <v>4560</v>
      </c>
      <c r="K71" s="366"/>
      <c r="L71" s="365">
        <v>1</v>
      </c>
      <c r="M71" s="367">
        <v>0</v>
      </c>
      <c r="N71" s="368">
        <f t="shared" si="1"/>
        <v>4560</v>
      </c>
      <c r="O71" s="365"/>
    </row>
    <row r="72" spans="1:15" ht="22.8" customHeight="1">
      <c r="A72" s="358"/>
      <c r="D72" s="360"/>
      <c r="G72" s="365"/>
      <c r="H72" s="365" t="s">
        <v>903</v>
      </c>
      <c r="I72" s="365" t="s">
        <v>831</v>
      </c>
      <c r="J72" s="366">
        <v>80</v>
      </c>
      <c r="K72" s="366"/>
      <c r="L72" s="365">
        <v>60</v>
      </c>
      <c r="M72" s="367">
        <v>0</v>
      </c>
      <c r="N72" s="368">
        <f t="shared" si="1"/>
        <v>4800</v>
      </c>
      <c r="O72" s="365"/>
    </row>
    <row r="73" spans="1:15" ht="22.8" customHeight="1">
      <c r="A73" s="358"/>
      <c r="D73" s="360"/>
      <c r="G73" s="365"/>
      <c r="H73" s="365" t="s">
        <v>904</v>
      </c>
      <c r="I73" s="365" t="s">
        <v>831</v>
      </c>
      <c r="J73" s="366">
        <v>85</v>
      </c>
      <c r="K73" s="366"/>
      <c r="L73" s="365">
        <v>36</v>
      </c>
      <c r="M73" s="367">
        <v>0</v>
      </c>
      <c r="N73" s="368">
        <f t="shared" si="1"/>
        <v>3060</v>
      </c>
      <c r="O73" s="365"/>
    </row>
    <row r="74" spans="1:15" ht="22.8" customHeight="1">
      <c r="A74" s="358"/>
      <c r="D74" s="360"/>
      <c r="G74" s="365"/>
      <c r="H74" s="365" t="s">
        <v>905</v>
      </c>
      <c r="I74" s="365" t="s">
        <v>831</v>
      </c>
      <c r="J74" s="366">
        <v>85</v>
      </c>
      <c r="K74" s="366"/>
      <c r="L74" s="365">
        <v>36</v>
      </c>
      <c r="M74" s="367">
        <v>0</v>
      </c>
      <c r="N74" s="368">
        <f t="shared" si="1"/>
        <v>3060</v>
      </c>
      <c r="O74" s="365"/>
    </row>
    <row r="75" spans="1:15" ht="22.8" customHeight="1">
      <c r="A75" s="358"/>
      <c r="D75" s="360"/>
      <c r="G75" s="365"/>
      <c r="H75" s="365" t="s">
        <v>906</v>
      </c>
      <c r="I75" s="365" t="s">
        <v>831</v>
      </c>
      <c r="J75" s="366">
        <v>285</v>
      </c>
      <c r="K75" s="366"/>
      <c r="L75" s="365">
        <v>24</v>
      </c>
      <c r="M75" s="367">
        <v>0</v>
      </c>
      <c r="N75" s="368">
        <f t="shared" si="1"/>
        <v>6840</v>
      </c>
      <c r="O75" s="365"/>
    </row>
    <row r="76" spans="1:15" ht="22.8" customHeight="1">
      <c r="A76" s="358"/>
      <c r="D76" s="360"/>
      <c r="G76" s="365"/>
      <c r="H76" s="365" t="s">
        <v>907</v>
      </c>
      <c r="I76" s="365" t="s">
        <v>831</v>
      </c>
      <c r="J76" s="366">
        <v>383</v>
      </c>
      <c r="K76" s="366"/>
      <c r="L76" s="365">
        <v>5</v>
      </c>
      <c r="M76" s="367">
        <v>0</v>
      </c>
      <c r="N76" s="368">
        <f t="shared" si="1"/>
        <v>1915</v>
      </c>
      <c r="O76" s="365"/>
    </row>
    <row r="77" spans="1:15" ht="22.8" customHeight="1">
      <c r="A77" s="358"/>
      <c r="D77" s="360"/>
      <c r="G77" s="365"/>
      <c r="H77" s="365" t="s">
        <v>908</v>
      </c>
      <c r="I77" s="365" t="s">
        <v>831</v>
      </c>
      <c r="J77" s="366">
        <v>126</v>
      </c>
      <c r="K77" s="366"/>
      <c r="L77" s="365">
        <v>20</v>
      </c>
      <c r="M77" s="367">
        <v>0</v>
      </c>
      <c r="N77" s="368">
        <f t="shared" si="1"/>
        <v>2520</v>
      </c>
      <c r="O77" s="365"/>
    </row>
    <row r="78" spans="1:15" ht="22.8" customHeight="1">
      <c r="A78" s="358"/>
      <c r="D78" s="360"/>
      <c r="G78" s="365"/>
      <c r="H78" s="365" t="s">
        <v>909</v>
      </c>
      <c r="I78" s="365" t="s">
        <v>831</v>
      </c>
      <c r="J78" s="366">
        <v>353</v>
      </c>
      <c r="K78" s="366"/>
      <c r="L78" s="365">
        <v>10</v>
      </c>
      <c r="M78" s="367">
        <v>0</v>
      </c>
      <c r="N78" s="368">
        <f t="shared" si="1"/>
        <v>3530</v>
      </c>
      <c r="O78" s="365"/>
    </row>
    <row r="79" spans="1:15" ht="22.8" customHeight="1">
      <c r="A79" s="358"/>
      <c r="D79" s="360"/>
      <c r="G79" s="365"/>
      <c r="H79" s="365" t="s">
        <v>910</v>
      </c>
      <c r="I79" s="365" t="s">
        <v>831</v>
      </c>
      <c r="J79" s="366">
        <v>210</v>
      </c>
      <c r="K79" s="366"/>
      <c r="L79" s="365">
        <v>5</v>
      </c>
      <c r="M79" s="367">
        <v>0</v>
      </c>
      <c r="N79" s="368">
        <f t="shared" si="1"/>
        <v>1050</v>
      </c>
      <c r="O79" s="365"/>
    </row>
    <row r="80" spans="1:15" ht="22.8" customHeight="1">
      <c r="A80" s="358"/>
      <c r="D80" s="360"/>
      <c r="G80" s="365"/>
      <c r="H80" s="365" t="s">
        <v>911</v>
      </c>
      <c r="I80" s="365" t="s">
        <v>831</v>
      </c>
      <c r="J80" s="366">
        <v>350</v>
      </c>
      <c r="K80" s="366"/>
      <c r="L80" s="365">
        <v>24</v>
      </c>
      <c r="M80" s="367">
        <v>0</v>
      </c>
      <c r="N80" s="368">
        <f t="shared" si="1"/>
        <v>8400</v>
      </c>
      <c r="O80" s="365"/>
    </row>
    <row r="81" spans="1:15" ht="22.8" customHeight="1">
      <c r="A81" s="358"/>
      <c r="D81" s="360"/>
      <c r="G81" s="365"/>
      <c r="H81" s="365" t="s">
        <v>912</v>
      </c>
      <c r="I81" s="365" t="s">
        <v>831</v>
      </c>
      <c r="J81" s="366">
        <v>71</v>
      </c>
      <c r="K81" s="366"/>
      <c r="L81" s="365">
        <v>10</v>
      </c>
      <c r="M81" s="367">
        <v>0</v>
      </c>
      <c r="N81" s="368">
        <f t="shared" si="1"/>
        <v>710</v>
      </c>
      <c r="O81" s="365"/>
    </row>
    <row r="82" spans="1:15" ht="22.8" customHeight="1">
      <c r="A82" s="358"/>
      <c r="D82" s="360"/>
      <c r="G82" s="365"/>
      <c r="H82" s="365" t="s">
        <v>913</v>
      </c>
      <c r="I82" s="365" t="s">
        <v>831</v>
      </c>
      <c r="J82" s="366">
        <v>140</v>
      </c>
      <c r="K82" s="366"/>
      <c r="L82" s="365">
        <v>15</v>
      </c>
      <c r="M82" s="367">
        <v>0</v>
      </c>
      <c r="N82" s="368">
        <f t="shared" si="1"/>
        <v>2100</v>
      </c>
      <c r="O82" s="365"/>
    </row>
    <row r="83" spans="1:15" ht="22.8" customHeight="1">
      <c r="A83" s="358"/>
      <c r="D83" s="360"/>
      <c r="G83" s="365"/>
      <c r="H83" s="365" t="s">
        <v>914</v>
      </c>
      <c r="I83" s="365" t="s">
        <v>831</v>
      </c>
      <c r="J83" s="366">
        <v>260</v>
      </c>
      <c r="K83" s="366"/>
      <c r="L83" s="365">
        <v>10</v>
      </c>
      <c r="M83" s="367">
        <v>0</v>
      </c>
      <c r="N83" s="368">
        <f t="shared" si="1"/>
        <v>2600</v>
      </c>
      <c r="O83" s="365"/>
    </row>
    <row r="84" spans="1:15" ht="22.8" customHeight="1">
      <c r="A84" s="358"/>
      <c r="D84" s="360"/>
      <c r="G84" s="365"/>
      <c r="H84" s="365" t="s">
        <v>915</v>
      </c>
      <c r="I84" s="365" t="s">
        <v>831</v>
      </c>
      <c r="J84" s="366">
        <v>4320</v>
      </c>
      <c r="K84" s="366"/>
      <c r="L84" s="365">
        <v>4</v>
      </c>
      <c r="M84" s="367">
        <v>0</v>
      </c>
      <c r="N84" s="368">
        <f t="shared" si="1"/>
        <v>17280</v>
      </c>
      <c r="O84" s="365"/>
    </row>
    <row r="85" spans="1:15" ht="22.8" customHeight="1">
      <c r="D85" s="360"/>
      <c r="G85" s="365"/>
      <c r="H85" s="365" t="s">
        <v>916</v>
      </c>
      <c r="I85" s="365" t="s">
        <v>831</v>
      </c>
      <c r="J85" s="366">
        <v>4320</v>
      </c>
      <c r="K85" s="366"/>
      <c r="L85" s="365">
        <v>4</v>
      </c>
      <c r="M85" s="367">
        <v>0</v>
      </c>
      <c r="N85" s="368">
        <f t="shared" si="1"/>
        <v>17280</v>
      </c>
      <c r="O85" s="365"/>
    </row>
    <row r="86" spans="1:15" ht="22.8" customHeight="1">
      <c r="D86" s="360"/>
      <c r="G86" s="365"/>
      <c r="H86" s="365" t="s">
        <v>917</v>
      </c>
      <c r="I86" s="365" t="s">
        <v>831</v>
      </c>
      <c r="J86" s="366">
        <v>4800</v>
      </c>
      <c r="K86" s="366"/>
      <c r="L86" s="365">
        <v>1</v>
      </c>
      <c r="M86" s="367">
        <v>0</v>
      </c>
      <c r="N86" s="368">
        <f t="shared" si="1"/>
        <v>4800</v>
      </c>
      <c r="O86" s="365"/>
    </row>
    <row r="87" spans="1:15" ht="22.8" customHeight="1">
      <c r="D87" s="360"/>
      <c r="G87" s="365"/>
      <c r="H87" s="365" t="s">
        <v>918</v>
      </c>
      <c r="I87" s="365" t="s">
        <v>831</v>
      </c>
      <c r="J87" s="366">
        <v>4800</v>
      </c>
      <c r="K87" s="366"/>
      <c r="L87" s="365">
        <v>1</v>
      </c>
      <c r="M87" s="367">
        <v>0</v>
      </c>
      <c r="N87" s="368">
        <f t="shared" si="1"/>
        <v>4800</v>
      </c>
      <c r="O87" s="365"/>
    </row>
    <row r="88" spans="1:15" ht="22.8" customHeight="1">
      <c r="D88" s="360"/>
      <c r="G88" s="365"/>
      <c r="H88" s="365" t="s">
        <v>919</v>
      </c>
      <c r="I88" s="365" t="s">
        <v>831</v>
      </c>
      <c r="J88" s="366">
        <v>2400</v>
      </c>
      <c r="K88" s="366"/>
      <c r="L88" s="365">
        <v>2</v>
      </c>
      <c r="M88" s="367">
        <v>0</v>
      </c>
      <c r="N88" s="368">
        <f t="shared" si="1"/>
        <v>4800</v>
      </c>
      <c r="O88" s="365"/>
    </row>
    <row r="89" spans="1:15" ht="22.8" customHeight="1">
      <c r="D89" s="360"/>
      <c r="G89" s="365"/>
      <c r="H89" s="365" t="s">
        <v>920</v>
      </c>
      <c r="I89" s="365" t="s">
        <v>831</v>
      </c>
      <c r="J89" s="366">
        <v>225</v>
      </c>
      <c r="K89" s="366"/>
      <c r="L89" s="365">
        <v>24</v>
      </c>
      <c r="M89" s="367">
        <v>0</v>
      </c>
      <c r="N89" s="368">
        <f t="shared" si="1"/>
        <v>5400</v>
      </c>
      <c r="O89" s="365"/>
    </row>
    <row r="90" spans="1:15" ht="22.8" customHeight="1">
      <c r="D90" s="360"/>
      <c r="G90" s="365"/>
      <c r="H90" s="365" t="s">
        <v>921</v>
      </c>
      <c r="I90" s="365" t="s">
        <v>831</v>
      </c>
      <c r="J90" s="366">
        <v>499.8</v>
      </c>
      <c r="K90" s="366"/>
      <c r="L90" s="365">
        <v>10</v>
      </c>
      <c r="M90" s="367">
        <v>0</v>
      </c>
      <c r="N90" s="368">
        <f t="shared" si="1"/>
        <v>4998</v>
      </c>
      <c r="O90" s="365"/>
    </row>
    <row r="91" spans="1:15" ht="22.8" customHeight="1">
      <c r="D91" s="360"/>
      <c r="G91" s="365"/>
      <c r="H91" s="365" t="s">
        <v>922</v>
      </c>
      <c r="I91" s="365" t="s">
        <v>831</v>
      </c>
      <c r="J91" s="366">
        <v>4560</v>
      </c>
      <c r="K91" s="366"/>
      <c r="L91" s="365">
        <v>4</v>
      </c>
      <c r="M91" s="367">
        <v>0</v>
      </c>
      <c r="N91" s="368">
        <f t="shared" ref="N91:N128" si="5">J91*L91*(1+M91)</f>
        <v>18240</v>
      </c>
      <c r="O91" s="365"/>
    </row>
    <row r="92" spans="1:15" ht="22.8" customHeight="1">
      <c r="D92" s="360"/>
      <c r="G92" s="365"/>
      <c r="H92" s="365" t="s">
        <v>923</v>
      </c>
      <c r="I92" s="365" t="s">
        <v>831</v>
      </c>
      <c r="J92" s="366">
        <v>219.98</v>
      </c>
      <c r="K92" s="366"/>
      <c r="L92" s="365">
        <v>30</v>
      </c>
      <c r="M92" s="367">
        <v>0</v>
      </c>
      <c r="N92" s="368">
        <f t="shared" si="5"/>
        <v>6599.4</v>
      </c>
      <c r="O92" s="365"/>
    </row>
    <row r="93" spans="1:15" ht="22.8" customHeight="1">
      <c r="D93" s="360"/>
      <c r="G93" s="365"/>
      <c r="H93" s="365" t="s">
        <v>924</v>
      </c>
      <c r="I93" s="365" t="s">
        <v>831</v>
      </c>
      <c r="J93" s="366">
        <v>90</v>
      </c>
      <c r="K93" s="366"/>
      <c r="L93" s="365">
        <v>36</v>
      </c>
      <c r="M93" s="367">
        <v>0</v>
      </c>
      <c r="N93" s="368">
        <f t="shared" si="5"/>
        <v>3240</v>
      </c>
      <c r="O93" s="365"/>
    </row>
    <row r="94" spans="1:15" ht="22.8" customHeight="1">
      <c r="D94" s="360"/>
      <c r="G94" s="365"/>
      <c r="H94" s="365" t="s">
        <v>925</v>
      </c>
      <c r="I94" s="365" t="s">
        <v>831</v>
      </c>
      <c r="J94" s="366">
        <v>95</v>
      </c>
      <c r="K94" s="366"/>
      <c r="L94" s="365">
        <v>30</v>
      </c>
      <c r="M94" s="367">
        <v>0</v>
      </c>
      <c r="N94" s="368">
        <f t="shared" si="5"/>
        <v>2850</v>
      </c>
      <c r="O94" s="365"/>
    </row>
    <row r="95" spans="1:15" ht="22.8" customHeight="1">
      <c r="D95" s="360"/>
      <c r="G95" s="365"/>
      <c r="H95" s="365" t="s">
        <v>926</v>
      </c>
      <c r="I95" s="365" t="s">
        <v>831</v>
      </c>
      <c r="J95" s="366">
        <v>185</v>
      </c>
      <c r="K95" s="366"/>
      <c r="L95" s="365">
        <v>20</v>
      </c>
      <c r="M95" s="367">
        <v>0</v>
      </c>
      <c r="N95" s="368">
        <f t="shared" si="5"/>
        <v>3700</v>
      </c>
      <c r="O95" s="365"/>
    </row>
    <row r="96" spans="1:15" ht="22.8" customHeight="1">
      <c r="D96" s="360"/>
      <c r="G96" s="365"/>
      <c r="H96" s="365" t="s">
        <v>927</v>
      </c>
      <c r="I96" s="365" t="s">
        <v>831</v>
      </c>
      <c r="J96" s="366">
        <v>4320</v>
      </c>
      <c r="K96" s="366"/>
      <c r="L96" s="365">
        <v>1</v>
      </c>
      <c r="M96" s="367">
        <v>0</v>
      </c>
      <c r="N96" s="368">
        <f t="shared" si="5"/>
        <v>4320</v>
      </c>
      <c r="O96" s="365"/>
    </row>
    <row r="97" spans="4:15" ht="22.8" customHeight="1">
      <c r="D97" s="360"/>
      <c r="G97" s="365"/>
      <c r="H97" s="365" t="s">
        <v>928</v>
      </c>
      <c r="I97" s="365" t="s">
        <v>831</v>
      </c>
      <c r="J97" s="366">
        <v>4320</v>
      </c>
      <c r="K97" s="366"/>
      <c r="L97" s="365">
        <v>1</v>
      </c>
      <c r="M97" s="367">
        <v>0</v>
      </c>
      <c r="N97" s="368">
        <f t="shared" si="5"/>
        <v>4320</v>
      </c>
      <c r="O97" s="365"/>
    </row>
    <row r="98" spans="4:15" ht="22.8" customHeight="1">
      <c r="D98" s="360"/>
      <c r="G98" s="365"/>
      <c r="H98" s="365" t="s">
        <v>929</v>
      </c>
      <c r="I98" s="365" t="s">
        <v>831</v>
      </c>
      <c r="J98" s="366">
        <v>4320</v>
      </c>
      <c r="K98" s="366"/>
      <c r="L98" s="365">
        <v>1</v>
      </c>
      <c r="M98" s="367">
        <v>0</v>
      </c>
      <c r="N98" s="368">
        <f t="shared" si="5"/>
        <v>4320</v>
      </c>
      <c r="O98" s="365"/>
    </row>
    <row r="99" spans="4:15" ht="22.8" customHeight="1">
      <c r="D99" s="360"/>
      <c r="G99" s="365"/>
      <c r="H99" s="365" t="s">
        <v>930</v>
      </c>
      <c r="I99" s="365" t="s">
        <v>831</v>
      </c>
      <c r="J99" s="366">
        <v>4560</v>
      </c>
      <c r="K99" s="366"/>
      <c r="L99" s="365">
        <v>1</v>
      </c>
      <c r="M99" s="367">
        <v>0</v>
      </c>
      <c r="N99" s="368">
        <f t="shared" si="5"/>
        <v>4560</v>
      </c>
      <c r="O99" s="365"/>
    </row>
    <row r="100" spans="4:15" ht="22.8" customHeight="1">
      <c r="H100" s="357" t="s">
        <v>931</v>
      </c>
      <c r="I100" s="365" t="s">
        <v>831</v>
      </c>
      <c r="J100" s="370">
        <v>2300</v>
      </c>
      <c r="L100" s="357">
        <v>5</v>
      </c>
      <c r="M100" s="367">
        <v>0</v>
      </c>
      <c r="N100" s="368">
        <f t="shared" si="5"/>
        <v>11500</v>
      </c>
    </row>
    <row r="101" spans="4:15" ht="22.8" customHeight="1">
      <c r="H101" s="357" t="s">
        <v>932</v>
      </c>
      <c r="I101" s="365" t="s">
        <v>831</v>
      </c>
      <c r="J101" s="370">
        <v>225</v>
      </c>
      <c r="L101" s="357">
        <v>48</v>
      </c>
      <c r="M101" s="367">
        <v>0</v>
      </c>
      <c r="N101" s="368">
        <f t="shared" si="5"/>
        <v>10800</v>
      </c>
    </row>
    <row r="102" spans="4:15" ht="22.8" customHeight="1">
      <c r="H102" s="357" t="s">
        <v>933</v>
      </c>
      <c r="I102" s="365" t="s">
        <v>831</v>
      </c>
      <c r="J102" s="370">
        <v>390</v>
      </c>
      <c r="L102" s="357">
        <v>24</v>
      </c>
      <c r="M102" s="367">
        <v>0</v>
      </c>
      <c r="N102" s="368">
        <f t="shared" si="5"/>
        <v>9360</v>
      </c>
    </row>
    <row r="103" spans="4:15" ht="22.8" customHeight="1">
      <c r="H103" s="357" t="s">
        <v>934</v>
      </c>
      <c r="I103" s="365" t="s">
        <v>831</v>
      </c>
      <c r="J103" s="370">
        <v>290</v>
      </c>
      <c r="L103" s="357">
        <v>16</v>
      </c>
      <c r="M103" s="367">
        <v>0</v>
      </c>
      <c r="N103" s="368">
        <f t="shared" si="5"/>
        <v>4640</v>
      </c>
    </row>
    <row r="104" spans="4:15" ht="22.8" customHeight="1">
      <c r="H104" s="357" t="s">
        <v>935</v>
      </c>
      <c r="I104" s="365" t="s">
        <v>831</v>
      </c>
      <c r="J104" s="370">
        <v>324</v>
      </c>
      <c r="L104" s="357">
        <v>16</v>
      </c>
      <c r="M104" s="367">
        <v>0</v>
      </c>
      <c r="N104" s="368">
        <f t="shared" si="5"/>
        <v>5184</v>
      </c>
    </row>
    <row r="105" spans="4:15" ht="22.8" customHeight="1">
      <c r="H105" s="357" t="s">
        <v>936</v>
      </c>
      <c r="I105" s="365" t="s">
        <v>831</v>
      </c>
      <c r="J105" s="370">
        <v>265.56</v>
      </c>
      <c r="L105" s="357">
        <v>72</v>
      </c>
      <c r="M105" s="367">
        <v>0</v>
      </c>
      <c r="N105" s="368">
        <f t="shared" si="5"/>
        <v>19120.32</v>
      </c>
    </row>
    <row r="106" spans="4:15" ht="22.8" customHeight="1">
      <c r="H106" s="357" t="s">
        <v>937</v>
      </c>
      <c r="I106" s="365" t="s">
        <v>831</v>
      </c>
      <c r="J106" s="370">
        <v>445</v>
      </c>
      <c r="L106" s="357">
        <v>48</v>
      </c>
      <c r="M106" s="367">
        <v>0</v>
      </c>
      <c r="N106" s="368">
        <f t="shared" si="5"/>
        <v>21360</v>
      </c>
    </row>
    <row r="107" spans="4:15" ht="22.8" customHeight="1">
      <c r="H107" s="357" t="s">
        <v>938</v>
      </c>
      <c r="I107" s="365" t="s">
        <v>831</v>
      </c>
      <c r="J107" s="370">
        <v>2389.98</v>
      </c>
      <c r="L107" s="357">
        <v>4</v>
      </c>
      <c r="M107" s="367">
        <v>0</v>
      </c>
      <c r="N107" s="368">
        <f t="shared" si="5"/>
        <v>9559.92</v>
      </c>
    </row>
    <row r="108" spans="4:15" ht="22.8" customHeight="1">
      <c r="H108" s="357" t="s">
        <v>939</v>
      </c>
      <c r="I108" s="365" t="s">
        <v>831</v>
      </c>
      <c r="J108" s="370">
        <v>1050</v>
      </c>
      <c r="L108" s="357">
        <v>5</v>
      </c>
      <c r="M108" s="367">
        <v>0</v>
      </c>
      <c r="N108" s="368">
        <f t="shared" si="5"/>
        <v>5250</v>
      </c>
    </row>
    <row r="109" spans="4:15" ht="22.8" customHeight="1">
      <c r="H109" s="357" t="s">
        <v>940</v>
      </c>
      <c r="I109" s="365" t="s">
        <v>831</v>
      </c>
      <c r="J109" s="370">
        <v>4050</v>
      </c>
      <c r="L109" s="357">
        <v>4</v>
      </c>
      <c r="M109" s="367">
        <v>0</v>
      </c>
      <c r="N109" s="368">
        <f t="shared" si="5"/>
        <v>16200</v>
      </c>
    </row>
    <row r="110" spans="4:15" ht="22.8" customHeight="1">
      <c r="H110" s="357" t="s">
        <v>941</v>
      </c>
      <c r="I110" s="365" t="s">
        <v>831</v>
      </c>
      <c r="J110" s="370">
        <v>1650</v>
      </c>
      <c r="L110" s="357">
        <v>10</v>
      </c>
      <c r="M110" s="367">
        <v>0</v>
      </c>
      <c r="N110" s="368">
        <f t="shared" si="5"/>
        <v>16500</v>
      </c>
    </row>
    <row r="111" spans="4:15" ht="22.8" customHeight="1">
      <c r="H111" s="357" t="s">
        <v>942</v>
      </c>
      <c r="I111" s="365" t="s">
        <v>831</v>
      </c>
      <c r="J111" s="370">
        <v>900</v>
      </c>
      <c r="L111" s="357">
        <v>5</v>
      </c>
      <c r="M111" s="367">
        <v>0</v>
      </c>
      <c r="N111" s="368">
        <f t="shared" si="5"/>
        <v>4500</v>
      </c>
    </row>
    <row r="112" spans="4:15" ht="22.8" customHeight="1">
      <c r="H112" s="357" t="s">
        <v>943</v>
      </c>
      <c r="I112" s="365" t="s">
        <v>831</v>
      </c>
      <c r="J112" s="370">
        <v>2295</v>
      </c>
      <c r="L112" s="357">
        <v>7</v>
      </c>
      <c r="M112" s="367">
        <v>0</v>
      </c>
      <c r="N112" s="368">
        <f t="shared" si="5"/>
        <v>16065</v>
      </c>
    </row>
    <row r="113" spans="8:14" ht="22.8" customHeight="1">
      <c r="H113" s="357" t="s">
        <v>944</v>
      </c>
      <c r="I113" s="365" t="s">
        <v>831</v>
      </c>
      <c r="J113" s="370">
        <v>1449.9</v>
      </c>
      <c r="L113" s="357">
        <v>10</v>
      </c>
      <c r="M113" s="367">
        <v>0</v>
      </c>
      <c r="N113" s="368">
        <f t="shared" si="5"/>
        <v>14499</v>
      </c>
    </row>
    <row r="114" spans="8:14" ht="22.8" customHeight="1">
      <c r="H114" s="357" t="s">
        <v>945</v>
      </c>
      <c r="I114" s="365" t="s">
        <v>831</v>
      </c>
      <c r="J114" s="370">
        <v>420</v>
      </c>
      <c r="L114" s="357">
        <v>30</v>
      </c>
      <c r="M114" s="367">
        <v>0</v>
      </c>
      <c r="N114" s="368">
        <f t="shared" si="5"/>
        <v>12600</v>
      </c>
    </row>
    <row r="115" spans="8:14" ht="22.8" customHeight="1">
      <c r="H115" s="357" t="s">
        <v>946</v>
      </c>
      <c r="I115" s="365" t="s">
        <v>831</v>
      </c>
      <c r="J115" s="370">
        <v>3200</v>
      </c>
      <c r="L115" s="357">
        <v>3</v>
      </c>
      <c r="M115" s="367">
        <v>0</v>
      </c>
      <c r="N115" s="368">
        <f t="shared" si="5"/>
        <v>9600</v>
      </c>
    </row>
    <row r="116" spans="8:14" ht="22.8" customHeight="1">
      <c r="H116" s="357" t="s">
        <v>947</v>
      </c>
      <c r="I116" s="365" t="s">
        <v>831</v>
      </c>
      <c r="J116" s="370">
        <v>2880</v>
      </c>
      <c r="L116" s="357">
        <v>3</v>
      </c>
      <c r="M116" s="367">
        <v>0</v>
      </c>
      <c r="N116" s="368">
        <f t="shared" si="5"/>
        <v>8640</v>
      </c>
    </row>
    <row r="117" spans="8:14" ht="22.8" customHeight="1">
      <c r="H117" s="357" t="s">
        <v>948</v>
      </c>
      <c r="I117" s="365" t="s">
        <v>831</v>
      </c>
      <c r="J117" s="370">
        <v>4909</v>
      </c>
      <c r="L117" s="357">
        <v>3</v>
      </c>
      <c r="M117" s="367">
        <v>0</v>
      </c>
      <c r="N117" s="368">
        <f t="shared" si="5"/>
        <v>14727</v>
      </c>
    </row>
    <row r="118" spans="8:14" ht="22.8" customHeight="1">
      <c r="H118" s="357" t="s">
        <v>949</v>
      </c>
      <c r="I118" s="365" t="s">
        <v>831</v>
      </c>
      <c r="J118" s="370">
        <v>5672.4</v>
      </c>
      <c r="L118" s="357">
        <v>2</v>
      </c>
      <c r="M118" s="367">
        <v>0</v>
      </c>
      <c r="N118" s="368">
        <f t="shared" si="5"/>
        <v>11344.8</v>
      </c>
    </row>
    <row r="119" spans="8:14" ht="22.8" customHeight="1">
      <c r="H119" s="357" t="s">
        <v>950</v>
      </c>
      <c r="I119" s="365" t="s">
        <v>831</v>
      </c>
      <c r="J119" s="370">
        <v>1850.1</v>
      </c>
      <c r="L119" s="357">
        <v>10</v>
      </c>
      <c r="M119" s="367">
        <v>0</v>
      </c>
      <c r="N119" s="368">
        <f t="shared" si="5"/>
        <v>18501</v>
      </c>
    </row>
    <row r="120" spans="8:14" ht="22.8" customHeight="1">
      <c r="H120" s="357" t="s">
        <v>951</v>
      </c>
      <c r="I120" s="365" t="s">
        <v>831</v>
      </c>
      <c r="J120" s="370">
        <v>1850.1</v>
      </c>
      <c r="L120" s="357">
        <v>10</v>
      </c>
      <c r="M120" s="367">
        <v>0</v>
      </c>
      <c r="N120" s="368">
        <f t="shared" si="5"/>
        <v>18501</v>
      </c>
    </row>
    <row r="121" spans="8:14" ht="22.8" customHeight="1">
      <c r="H121" s="357" t="s">
        <v>952</v>
      </c>
      <c r="I121" s="365" t="s">
        <v>831</v>
      </c>
      <c r="J121" s="370">
        <v>1850.1</v>
      </c>
      <c r="L121" s="357">
        <v>5</v>
      </c>
      <c r="M121" s="367">
        <v>0</v>
      </c>
      <c r="N121" s="368">
        <f t="shared" si="5"/>
        <v>9250.5</v>
      </c>
    </row>
    <row r="122" spans="8:14" ht="22.8" customHeight="1">
      <c r="H122" s="357" t="s">
        <v>953</v>
      </c>
      <c r="I122" s="365" t="s">
        <v>830</v>
      </c>
      <c r="J122" s="370">
        <v>150</v>
      </c>
      <c r="L122" s="357">
        <v>10</v>
      </c>
      <c r="M122" s="367">
        <v>0</v>
      </c>
      <c r="N122" s="368">
        <f t="shared" si="5"/>
        <v>1500</v>
      </c>
    </row>
    <row r="123" spans="8:14" ht="22.8" customHeight="1">
      <c r="H123" s="357" t="s">
        <v>954</v>
      </c>
      <c r="I123" s="365" t="s">
        <v>830</v>
      </c>
      <c r="J123" s="370">
        <v>60</v>
      </c>
      <c r="L123" s="357">
        <v>20</v>
      </c>
      <c r="M123" s="367">
        <v>0</v>
      </c>
      <c r="N123" s="368">
        <f t="shared" si="5"/>
        <v>1200</v>
      </c>
    </row>
    <row r="124" spans="8:14" ht="22.8" customHeight="1">
      <c r="H124" s="357" t="s">
        <v>955</v>
      </c>
      <c r="I124" s="365" t="s">
        <v>830</v>
      </c>
      <c r="J124" s="370">
        <v>150</v>
      </c>
      <c r="L124" s="357">
        <v>15</v>
      </c>
      <c r="M124" s="367">
        <v>0</v>
      </c>
      <c r="N124" s="368">
        <f t="shared" si="5"/>
        <v>2250</v>
      </c>
    </row>
    <row r="125" spans="8:14" ht="22.8" customHeight="1">
      <c r="H125" s="357" t="s">
        <v>956</v>
      </c>
      <c r="I125" s="365" t="s">
        <v>830</v>
      </c>
      <c r="J125" s="370">
        <v>150</v>
      </c>
      <c r="L125" s="357">
        <v>15</v>
      </c>
      <c r="M125" s="367">
        <v>0</v>
      </c>
      <c r="N125" s="368">
        <f t="shared" si="5"/>
        <v>2250</v>
      </c>
    </row>
    <row r="126" spans="8:14" ht="22.8" customHeight="1">
      <c r="H126" s="357" t="s">
        <v>957</v>
      </c>
      <c r="I126" s="365" t="s">
        <v>830</v>
      </c>
      <c r="J126" s="370">
        <v>150</v>
      </c>
      <c r="L126" s="357">
        <v>15</v>
      </c>
      <c r="M126" s="367">
        <v>0</v>
      </c>
      <c r="N126" s="368">
        <f t="shared" si="5"/>
        <v>2250</v>
      </c>
    </row>
    <row r="127" spans="8:14" ht="22.8" customHeight="1">
      <c r="H127" s="357" t="s">
        <v>958</v>
      </c>
      <c r="I127" s="365" t="s">
        <v>830</v>
      </c>
      <c r="J127" s="370">
        <v>400</v>
      </c>
      <c r="L127" s="357">
        <v>29</v>
      </c>
      <c r="M127" s="367">
        <v>0</v>
      </c>
      <c r="N127" s="368">
        <f t="shared" si="5"/>
        <v>11600</v>
      </c>
    </row>
    <row r="128" spans="8:14" ht="22.8" customHeight="1">
      <c r="H128" s="357" t="s">
        <v>959</v>
      </c>
      <c r="I128" s="365" t="s">
        <v>830</v>
      </c>
      <c r="J128" s="370">
        <v>750</v>
      </c>
      <c r="L128" s="357">
        <v>15</v>
      </c>
      <c r="M128" s="367">
        <v>0</v>
      </c>
      <c r="N128" s="368">
        <f t="shared" si="5"/>
        <v>11250</v>
      </c>
    </row>
    <row r="129" spans="9:14" ht="22.8" customHeight="1">
      <c r="I129" s="365"/>
      <c r="M129" s="367"/>
      <c r="N129" s="368"/>
    </row>
    <row r="130" spans="9:14" ht="22.8" customHeight="1">
      <c r="I130" s="365"/>
      <c r="M130" s="367"/>
      <c r="N130" s="368"/>
    </row>
    <row r="131" spans="9:14" ht="22.8" customHeight="1">
      <c r="I131" s="365"/>
      <c r="M131" s="367"/>
      <c r="N131" s="368"/>
    </row>
    <row r="132" spans="9:14" ht="22.8" customHeight="1">
      <c r="I132" s="365"/>
      <c r="M132" s="367"/>
      <c r="N132" s="368"/>
    </row>
    <row r="133" spans="9:14" ht="22.8" customHeight="1">
      <c r="I133" s="365"/>
      <c r="M133" s="367"/>
      <c r="N133" s="368"/>
    </row>
    <row r="134" spans="9:14" ht="22.8" customHeight="1">
      <c r="I134" s="365"/>
      <c r="M134" s="367"/>
      <c r="N134" s="368"/>
    </row>
    <row r="135" spans="9:14" ht="22.8" customHeight="1">
      <c r="I135" s="365"/>
      <c r="M135" s="367"/>
      <c r="N135" s="368"/>
    </row>
    <row r="136" spans="9:14" ht="22.8" customHeight="1">
      <c r="I136" s="365"/>
      <c r="M136" s="367"/>
      <c r="N136" s="368"/>
    </row>
    <row r="137" spans="9:14" ht="22.8" customHeight="1">
      <c r="I137" s="365"/>
      <c r="M137" s="367"/>
      <c r="N137" s="368"/>
    </row>
    <row r="138" spans="9:14" ht="22.8" customHeight="1">
      <c r="I138" s="365"/>
      <c r="M138" s="367"/>
      <c r="N138" s="368"/>
    </row>
    <row r="139" spans="9:14" ht="22.8" customHeight="1">
      <c r="I139" s="365"/>
      <c r="M139" s="367"/>
      <c r="N139" s="368"/>
    </row>
    <row r="140" spans="9:14" ht="22.8" customHeight="1">
      <c r="I140" s="365"/>
      <c r="M140" s="367"/>
      <c r="N140" s="368"/>
    </row>
    <row r="141" spans="9:14" ht="22.8" customHeight="1">
      <c r="I141" s="365"/>
      <c r="M141" s="367"/>
      <c r="N141" s="368"/>
    </row>
    <row r="142" spans="9:14" ht="22.8" customHeight="1">
      <c r="I142" s="365"/>
      <c r="M142" s="367"/>
      <c r="N142" s="368"/>
    </row>
    <row r="143" spans="9:14" ht="22.8" customHeight="1">
      <c r="I143" s="365"/>
      <c r="M143" s="367"/>
      <c r="N143" s="368"/>
    </row>
    <row r="144" spans="9:14" ht="22.8" customHeight="1">
      <c r="I144" s="365"/>
      <c r="M144" s="367"/>
      <c r="N144" s="368"/>
    </row>
    <row r="145" spans="9:14" ht="22.8" customHeight="1">
      <c r="I145" s="365"/>
      <c r="M145" s="367"/>
      <c r="N145" s="368"/>
    </row>
    <row r="146" spans="9:14" ht="22.8" customHeight="1">
      <c r="I146" s="365"/>
      <c r="M146" s="367"/>
      <c r="N146" s="368"/>
    </row>
    <row r="147" spans="9:14" ht="22.8" customHeight="1">
      <c r="I147" s="365"/>
      <c r="M147" s="367"/>
      <c r="N147" s="368"/>
    </row>
    <row r="148" spans="9:14" ht="22.8" customHeight="1">
      <c r="I148" s="365"/>
      <c r="M148" s="367"/>
      <c r="N148" s="368"/>
    </row>
    <row r="149" spans="9:14" ht="22.8" customHeight="1">
      <c r="I149" s="365"/>
      <c r="M149" s="367"/>
      <c r="N149" s="368"/>
    </row>
    <row r="150" spans="9:14" ht="22.8" customHeight="1">
      <c r="I150" s="365"/>
      <c r="M150" s="367"/>
      <c r="N150" s="368"/>
    </row>
    <row r="151" spans="9:14" ht="22.8" customHeight="1">
      <c r="I151" s="365"/>
      <c r="M151" s="367"/>
      <c r="N151" s="368"/>
    </row>
    <row r="152" spans="9:14" ht="22.8" customHeight="1">
      <c r="I152" s="365"/>
      <c r="M152" s="367"/>
      <c r="N152" s="368"/>
    </row>
    <row r="153" spans="9:14" ht="22.8" customHeight="1">
      <c r="I153" s="365"/>
      <c r="M153" s="367"/>
      <c r="N153" s="368"/>
    </row>
    <row r="154" spans="9:14" ht="22.8" customHeight="1">
      <c r="I154" s="365"/>
      <c r="M154" s="367"/>
      <c r="N154" s="368"/>
    </row>
    <row r="155" spans="9:14" ht="22.8" customHeight="1">
      <c r="I155" s="365"/>
      <c r="M155" s="367"/>
      <c r="N155" s="368"/>
    </row>
    <row r="156" spans="9:14" ht="22.8" customHeight="1">
      <c r="I156" s="365"/>
      <c r="M156" s="367"/>
      <c r="N156" s="368"/>
    </row>
    <row r="157" spans="9:14" ht="22.8" customHeight="1">
      <c r="I157" s="365"/>
      <c r="M157" s="367"/>
      <c r="N157" s="368"/>
    </row>
    <row r="158" spans="9:14" ht="22.8" customHeight="1">
      <c r="I158" s="365"/>
      <c r="M158" s="367"/>
      <c r="N158" s="368"/>
    </row>
    <row r="159" spans="9:14" ht="22.8" customHeight="1">
      <c r="I159" s="365"/>
      <c r="M159" s="367"/>
      <c r="N159" s="368"/>
    </row>
    <row r="160" spans="9:14" ht="22.8" customHeight="1">
      <c r="I160" s="365"/>
      <c r="M160" s="367"/>
      <c r="N160" s="368"/>
    </row>
    <row r="161" spans="9:14" ht="22.8" customHeight="1">
      <c r="I161" s="365"/>
      <c r="M161" s="367"/>
      <c r="N161" s="368"/>
    </row>
    <row r="162" spans="9:14" ht="22.8" customHeight="1">
      <c r="I162" s="365"/>
      <c r="M162" s="367"/>
      <c r="N162" s="368"/>
    </row>
    <row r="163" spans="9:14" ht="22.8" customHeight="1">
      <c r="I163" s="365"/>
      <c r="M163" s="367"/>
      <c r="N163" s="368"/>
    </row>
    <row r="164" spans="9:14" ht="22.8" customHeight="1">
      <c r="I164" s="365"/>
      <c r="M164" s="367"/>
      <c r="N164" s="368"/>
    </row>
    <row r="165" spans="9:14" ht="22.8" customHeight="1">
      <c r="I165" s="365"/>
      <c r="M165" s="367"/>
      <c r="N165" s="368"/>
    </row>
    <row r="166" spans="9:14" ht="22.8" customHeight="1">
      <c r="I166" s="365"/>
      <c r="M166" s="367"/>
      <c r="N166" s="368"/>
    </row>
    <row r="167" spans="9:14" ht="22.8" customHeight="1">
      <c r="I167" s="365"/>
      <c r="M167" s="367"/>
      <c r="N167" s="368"/>
    </row>
    <row r="168" spans="9:14" ht="22.8" customHeight="1">
      <c r="I168" s="365"/>
      <c r="M168" s="367"/>
      <c r="N168" s="368"/>
    </row>
    <row r="169" spans="9:14" ht="22.8" customHeight="1">
      <c r="I169" s="365"/>
      <c r="M169" s="367"/>
      <c r="N169" s="368"/>
    </row>
    <row r="170" spans="9:14" ht="22.8" customHeight="1">
      <c r="I170" s="365"/>
      <c r="M170" s="367"/>
      <c r="N170" s="368"/>
    </row>
    <row r="171" spans="9:14" ht="22.8" customHeight="1">
      <c r="I171" s="365"/>
      <c r="M171" s="367"/>
      <c r="N171" s="368"/>
    </row>
    <row r="172" spans="9:14" ht="22.8" customHeight="1">
      <c r="I172" s="365"/>
      <c r="M172" s="367"/>
      <c r="N172" s="368"/>
    </row>
    <row r="173" spans="9:14" ht="22.8" customHeight="1">
      <c r="I173" s="365"/>
      <c r="M173" s="367"/>
      <c r="N173" s="368"/>
    </row>
    <row r="174" spans="9:14" ht="22.8" customHeight="1">
      <c r="I174" s="365"/>
      <c r="M174" s="367"/>
      <c r="N174" s="368"/>
    </row>
    <row r="175" spans="9:14" ht="22.8" customHeight="1">
      <c r="I175" s="365"/>
      <c r="M175" s="367"/>
      <c r="N175" s="368"/>
    </row>
    <row r="176" spans="9:14" ht="22.8" customHeight="1">
      <c r="I176" s="365"/>
      <c r="M176" s="367"/>
      <c r="N176" s="368"/>
    </row>
    <row r="177" spans="9:14" ht="22.8" customHeight="1">
      <c r="I177" s="365"/>
      <c r="M177" s="367"/>
      <c r="N177" s="368"/>
    </row>
    <row r="178" spans="9:14" ht="22.8" customHeight="1">
      <c r="I178" s="365"/>
      <c r="M178" s="367"/>
      <c r="N178" s="368"/>
    </row>
    <row r="179" spans="9:14" ht="22.8" customHeight="1">
      <c r="I179" s="365"/>
      <c r="M179" s="367"/>
      <c r="N179" s="368"/>
    </row>
    <row r="180" spans="9:14" ht="22.8" customHeight="1">
      <c r="I180" s="365"/>
      <c r="M180" s="367"/>
      <c r="N180" s="368"/>
    </row>
    <row r="181" spans="9:14" ht="22.8" customHeight="1">
      <c r="I181" s="365"/>
      <c r="M181" s="367"/>
      <c r="N181" s="368"/>
    </row>
    <row r="182" spans="9:14" ht="22.8" customHeight="1">
      <c r="I182" s="365"/>
      <c r="M182" s="367"/>
      <c r="N182" s="368"/>
    </row>
    <row r="183" spans="9:14" ht="22.8" customHeight="1">
      <c r="I183" s="365"/>
      <c r="M183" s="367"/>
      <c r="N183" s="368"/>
    </row>
    <row r="184" spans="9:14" ht="22.8" customHeight="1">
      <c r="I184" s="365"/>
      <c r="M184" s="367"/>
      <c r="N184" s="368"/>
    </row>
    <row r="185" spans="9:14" ht="22.8" customHeight="1">
      <c r="I185" s="365"/>
      <c r="M185" s="367"/>
      <c r="N185" s="368"/>
    </row>
    <row r="186" spans="9:14" ht="22.8" customHeight="1">
      <c r="I186" s="365"/>
      <c r="M186" s="367"/>
      <c r="N186" s="368"/>
    </row>
    <row r="187" spans="9:14" ht="22.8" customHeight="1">
      <c r="I187" s="365"/>
      <c r="M187" s="367"/>
      <c r="N187" s="368"/>
    </row>
    <row r="188" spans="9:14" ht="22.8" customHeight="1">
      <c r="I188" s="365"/>
      <c r="M188" s="367"/>
      <c r="N188" s="368"/>
    </row>
    <row r="189" spans="9:14" ht="22.8" customHeight="1">
      <c r="I189" s="365"/>
      <c r="M189" s="367"/>
      <c r="N189" s="368"/>
    </row>
    <row r="190" spans="9:14" ht="22.8" customHeight="1">
      <c r="I190" s="365"/>
      <c r="M190" s="367"/>
      <c r="N190" s="368"/>
    </row>
    <row r="191" spans="9:14" ht="22.8" customHeight="1">
      <c r="I191" s="365"/>
      <c r="M191" s="367"/>
      <c r="N191" s="368"/>
    </row>
    <row r="192" spans="9:14" ht="22.8" customHeight="1">
      <c r="I192" s="365"/>
      <c r="M192" s="367"/>
      <c r="N192" s="368"/>
    </row>
    <row r="193" spans="9:14" ht="22.8" customHeight="1">
      <c r="I193" s="365"/>
      <c r="M193" s="367"/>
      <c r="N193" s="368"/>
    </row>
    <row r="194" spans="9:14" ht="22.8" customHeight="1">
      <c r="I194" s="365"/>
      <c r="M194" s="367"/>
      <c r="N194" s="368"/>
    </row>
    <row r="195" spans="9:14" ht="22.8" customHeight="1">
      <c r="I195" s="365"/>
      <c r="M195" s="367"/>
      <c r="N195" s="368"/>
    </row>
    <row r="196" spans="9:14" ht="22.8" customHeight="1">
      <c r="I196" s="365"/>
      <c r="M196" s="367"/>
      <c r="N196" s="368"/>
    </row>
    <row r="197" spans="9:14" ht="22.8" customHeight="1">
      <c r="I197" s="365"/>
      <c r="M197" s="367"/>
      <c r="N197" s="368"/>
    </row>
    <row r="198" spans="9:14" ht="22.8" customHeight="1">
      <c r="I198" s="365"/>
      <c r="M198" s="367"/>
      <c r="N198" s="368"/>
    </row>
    <row r="199" spans="9:14" ht="22.8" customHeight="1">
      <c r="I199" s="365"/>
      <c r="M199" s="367"/>
      <c r="N199" s="368"/>
    </row>
    <row r="200" spans="9:14" ht="22.8" customHeight="1">
      <c r="I200" s="365"/>
      <c r="M200" s="367"/>
      <c r="N200" s="368"/>
    </row>
    <row r="201" spans="9:14" ht="22.8" customHeight="1">
      <c r="I201" s="365"/>
      <c r="M201" s="367"/>
      <c r="N201" s="368"/>
    </row>
    <row r="202" spans="9:14" ht="22.8" customHeight="1">
      <c r="I202" s="365"/>
      <c r="M202" s="367"/>
      <c r="N202" s="368"/>
    </row>
    <row r="203" spans="9:14" ht="22.8" customHeight="1">
      <c r="I203" s="365"/>
      <c r="M203" s="367"/>
      <c r="N203" s="368"/>
    </row>
    <row r="204" spans="9:14" ht="22.8" customHeight="1">
      <c r="I204" s="365"/>
      <c r="M204" s="367"/>
      <c r="N204" s="368"/>
    </row>
    <row r="205" spans="9:14" ht="22.8" customHeight="1">
      <c r="I205" s="365"/>
      <c r="M205" s="367"/>
      <c r="N205" s="368"/>
    </row>
    <row r="206" spans="9:14" ht="22.8" customHeight="1">
      <c r="I206" s="365"/>
      <c r="M206" s="367"/>
      <c r="N206" s="368"/>
    </row>
    <row r="207" spans="9:14" ht="22.8" customHeight="1">
      <c r="I207" s="365"/>
      <c r="M207" s="367"/>
      <c r="N207" s="368"/>
    </row>
    <row r="208" spans="9:14" ht="22.8" customHeight="1">
      <c r="I208" s="365"/>
      <c r="M208" s="367"/>
      <c r="N208" s="368"/>
    </row>
    <row r="209" spans="9:14" ht="22.8" customHeight="1">
      <c r="I209" s="365"/>
      <c r="M209" s="367"/>
      <c r="N209" s="368"/>
    </row>
    <row r="210" spans="9:14" ht="22.8" customHeight="1">
      <c r="I210" s="365"/>
      <c r="M210" s="367"/>
      <c r="N210" s="368"/>
    </row>
    <row r="211" spans="9:14" ht="22.8" customHeight="1">
      <c r="I211" s="365"/>
      <c r="M211" s="367"/>
      <c r="N211" s="368"/>
    </row>
    <row r="212" spans="9:14" ht="22.8" customHeight="1">
      <c r="I212" s="365"/>
      <c r="M212" s="367"/>
      <c r="N212" s="368"/>
    </row>
    <row r="213" spans="9:14" ht="22.8" customHeight="1">
      <c r="I213" s="365"/>
      <c r="M213" s="367"/>
      <c r="N213" s="368"/>
    </row>
    <row r="214" spans="9:14" ht="22.8" customHeight="1">
      <c r="I214" s="365"/>
      <c r="M214" s="367"/>
      <c r="N214" s="368"/>
    </row>
    <row r="215" spans="9:14" ht="22.8" customHeight="1">
      <c r="I215" s="365"/>
      <c r="M215" s="367"/>
      <c r="N215" s="368"/>
    </row>
    <row r="216" spans="9:14" ht="22.8" customHeight="1">
      <c r="I216" s="365"/>
      <c r="M216" s="367"/>
      <c r="N216" s="368"/>
    </row>
    <row r="217" spans="9:14" ht="22.8" customHeight="1">
      <c r="I217" s="365"/>
      <c r="M217" s="367"/>
      <c r="N217" s="368"/>
    </row>
    <row r="218" spans="9:14" ht="22.8" customHeight="1">
      <c r="I218" s="365"/>
      <c r="M218" s="367"/>
      <c r="N218" s="368"/>
    </row>
    <row r="219" spans="9:14" ht="22.8" customHeight="1">
      <c r="I219" s="365"/>
      <c r="M219" s="367"/>
      <c r="N219" s="368"/>
    </row>
    <row r="220" spans="9:14" ht="22.8" customHeight="1">
      <c r="I220" s="365"/>
      <c r="M220" s="367"/>
      <c r="N220" s="368"/>
    </row>
    <row r="221" spans="9:14" ht="22.8" customHeight="1">
      <c r="I221" s="365"/>
      <c r="M221" s="367"/>
      <c r="N221" s="368"/>
    </row>
    <row r="222" spans="9:14" ht="22.8" customHeight="1">
      <c r="I222" s="365"/>
      <c r="M222" s="367"/>
      <c r="N222" s="368"/>
    </row>
    <row r="223" spans="9:14" ht="22.8" customHeight="1">
      <c r="I223" s="365"/>
      <c r="M223" s="367"/>
      <c r="N223" s="368"/>
    </row>
    <row r="224" spans="9:14" ht="22.8" customHeight="1">
      <c r="I224" s="365"/>
      <c r="M224" s="367"/>
      <c r="N224" s="368"/>
    </row>
    <row r="225" spans="9:14" ht="22.8" customHeight="1">
      <c r="I225" s="365"/>
      <c r="M225" s="367"/>
      <c r="N225" s="368"/>
    </row>
    <row r="226" spans="9:14" ht="22.8" customHeight="1">
      <c r="I226" s="365"/>
      <c r="M226" s="367"/>
      <c r="N226" s="368"/>
    </row>
    <row r="227" spans="9:14" ht="22.8" customHeight="1">
      <c r="I227" s="365"/>
      <c r="M227" s="367"/>
      <c r="N227" s="368"/>
    </row>
    <row r="228" spans="9:14" ht="22.8" customHeight="1">
      <c r="I228" s="365"/>
      <c r="M228" s="367"/>
      <c r="N228" s="368"/>
    </row>
    <row r="229" spans="9:14" ht="22.8" customHeight="1">
      <c r="I229" s="365"/>
      <c r="M229" s="367"/>
      <c r="N229" s="368"/>
    </row>
    <row r="230" spans="9:14" ht="22.8" customHeight="1">
      <c r="I230" s="365"/>
      <c r="M230" s="367"/>
      <c r="N230" s="368"/>
    </row>
    <row r="231" spans="9:14" ht="22.8" customHeight="1">
      <c r="I231" s="365"/>
      <c r="M231" s="367"/>
      <c r="N231" s="368"/>
    </row>
    <row r="232" spans="9:14" ht="22.8" customHeight="1">
      <c r="I232" s="365"/>
      <c r="M232" s="367"/>
      <c r="N232" s="368"/>
    </row>
    <row r="233" spans="9:14" ht="22.8" customHeight="1">
      <c r="I233" s="365"/>
      <c r="M233" s="367"/>
      <c r="N233" s="368"/>
    </row>
    <row r="234" spans="9:14" ht="22.8" customHeight="1">
      <c r="I234" s="365"/>
      <c r="M234" s="367"/>
      <c r="N234" s="368"/>
    </row>
    <row r="235" spans="9:14" ht="22.8" customHeight="1">
      <c r="I235" s="365"/>
      <c r="M235" s="367"/>
      <c r="N235" s="368"/>
    </row>
    <row r="236" spans="9:14" ht="22.8" customHeight="1">
      <c r="I236" s="365"/>
      <c r="M236" s="367"/>
      <c r="N236" s="368"/>
    </row>
    <row r="237" spans="9:14" ht="22.8" customHeight="1">
      <c r="I237" s="365"/>
      <c r="M237" s="367"/>
      <c r="N237" s="368"/>
    </row>
    <row r="238" spans="9:14" ht="22.8" customHeight="1">
      <c r="I238" s="365"/>
      <c r="M238" s="367"/>
      <c r="N238" s="368"/>
    </row>
    <row r="239" spans="9:14" ht="22.8" customHeight="1">
      <c r="I239" s="365"/>
      <c r="M239" s="367"/>
      <c r="N239" s="368"/>
    </row>
    <row r="240" spans="9:14" ht="22.8" customHeight="1">
      <c r="I240" s="365"/>
      <c r="M240" s="367"/>
      <c r="N240" s="368"/>
    </row>
    <row r="241" spans="9:14" ht="22.8" customHeight="1">
      <c r="I241" s="365"/>
      <c r="M241" s="367"/>
      <c r="N241" s="368"/>
    </row>
    <row r="242" spans="9:14" ht="22.8" customHeight="1">
      <c r="I242" s="365"/>
      <c r="M242" s="367"/>
      <c r="N242" s="368"/>
    </row>
    <row r="243" spans="9:14" ht="22.8" customHeight="1">
      <c r="I243" s="365"/>
      <c r="M243" s="367"/>
      <c r="N243" s="368"/>
    </row>
    <row r="244" spans="9:14" ht="22.8" customHeight="1">
      <c r="I244" s="365"/>
      <c r="M244" s="367"/>
      <c r="N244" s="368"/>
    </row>
    <row r="245" spans="9:14" ht="22.8" customHeight="1">
      <c r="I245" s="365"/>
      <c r="M245" s="367"/>
      <c r="N245" s="368"/>
    </row>
    <row r="246" spans="9:14" ht="22.8" customHeight="1">
      <c r="I246" s="365"/>
      <c r="M246" s="367"/>
      <c r="N246" s="368"/>
    </row>
    <row r="247" spans="9:14" ht="22.8" customHeight="1">
      <c r="I247" s="365"/>
      <c r="M247" s="367"/>
      <c r="N247" s="368"/>
    </row>
    <row r="248" spans="9:14" ht="22.8" customHeight="1">
      <c r="I248" s="365"/>
      <c r="M248" s="367"/>
      <c r="N248" s="368"/>
    </row>
    <row r="249" spans="9:14" ht="22.8" customHeight="1">
      <c r="I249" s="365"/>
      <c r="M249" s="367"/>
      <c r="N249" s="368"/>
    </row>
    <row r="250" spans="9:14" ht="22.8" customHeight="1">
      <c r="I250" s="365"/>
      <c r="M250" s="367"/>
      <c r="N250" s="368"/>
    </row>
    <row r="251" spans="9:14" ht="22.8" customHeight="1">
      <c r="I251" s="365"/>
      <c r="M251" s="367"/>
      <c r="N251" s="368"/>
    </row>
    <row r="252" spans="9:14" ht="22.8" customHeight="1">
      <c r="I252" s="365"/>
      <c r="M252" s="367"/>
      <c r="N252" s="368"/>
    </row>
    <row r="253" spans="9:14" ht="22.8" customHeight="1">
      <c r="I253" s="365"/>
      <c r="M253" s="367"/>
      <c r="N253" s="368"/>
    </row>
    <row r="254" spans="9:14" ht="22.8" customHeight="1">
      <c r="I254" s="365"/>
      <c r="M254" s="367"/>
      <c r="N254" s="368"/>
    </row>
    <row r="255" spans="9:14" ht="22.8" customHeight="1">
      <c r="I255" s="365"/>
      <c r="M255" s="367"/>
      <c r="N255" s="368"/>
    </row>
    <row r="256" spans="9:14" ht="22.8" customHeight="1">
      <c r="I256" s="365"/>
      <c r="M256" s="367"/>
      <c r="N256" s="368"/>
    </row>
    <row r="257" spans="9:14" ht="22.8" customHeight="1">
      <c r="I257" s="365"/>
      <c r="M257" s="367"/>
      <c r="N257" s="368"/>
    </row>
    <row r="258" spans="9:14" ht="22.8" customHeight="1">
      <c r="I258" s="365"/>
      <c r="M258" s="367"/>
      <c r="N258" s="368"/>
    </row>
    <row r="259" spans="9:14" ht="22.8" customHeight="1">
      <c r="I259" s="365"/>
      <c r="M259" s="367"/>
      <c r="N259" s="368"/>
    </row>
    <row r="260" spans="9:14" ht="22.8" customHeight="1">
      <c r="I260" s="365"/>
      <c r="M260" s="367"/>
      <c r="N260" s="368"/>
    </row>
    <row r="261" spans="9:14" ht="22.8" customHeight="1">
      <c r="I261" s="365"/>
      <c r="M261" s="367"/>
      <c r="N261" s="368"/>
    </row>
    <row r="262" spans="9:14" ht="22.8" customHeight="1">
      <c r="I262" s="365"/>
      <c r="M262" s="367"/>
      <c r="N262" s="368"/>
    </row>
    <row r="263" spans="9:14" ht="22.8" customHeight="1">
      <c r="I263" s="365"/>
      <c r="M263" s="367"/>
      <c r="N263" s="368"/>
    </row>
    <row r="264" spans="9:14" ht="22.8" customHeight="1">
      <c r="I264" s="365"/>
      <c r="M264" s="367"/>
      <c r="N264" s="368"/>
    </row>
    <row r="265" spans="9:14" ht="22.8" customHeight="1">
      <c r="I265" s="365"/>
      <c r="M265" s="367"/>
      <c r="N265" s="368"/>
    </row>
    <row r="266" spans="9:14" ht="22.8" customHeight="1">
      <c r="I266" s="365"/>
      <c r="M266" s="367"/>
      <c r="N266" s="368"/>
    </row>
    <row r="267" spans="9:14" ht="22.8" customHeight="1">
      <c r="I267" s="365"/>
      <c r="M267" s="367"/>
      <c r="N267" s="368"/>
    </row>
    <row r="268" spans="9:14" ht="22.8" customHeight="1">
      <c r="I268" s="365"/>
      <c r="M268" s="367"/>
      <c r="N268" s="368"/>
    </row>
    <row r="269" spans="9:14" ht="22.8" customHeight="1">
      <c r="I269" s="365"/>
      <c r="M269" s="367"/>
      <c r="N269" s="368"/>
    </row>
    <row r="270" spans="9:14" ht="22.8" customHeight="1">
      <c r="I270" s="365"/>
      <c r="M270" s="367"/>
      <c r="N270" s="368"/>
    </row>
    <row r="271" spans="9:14" ht="22.8" customHeight="1">
      <c r="I271" s="365"/>
      <c r="M271" s="367"/>
      <c r="N271" s="368"/>
    </row>
    <row r="272" spans="9:14" ht="22.8" customHeight="1">
      <c r="I272" s="365"/>
      <c r="M272" s="367"/>
      <c r="N272" s="368"/>
    </row>
    <row r="273" spans="9:14" ht="22.8" customHeight="1">
      <c r="I273" s="365"/>
      <c r="M273" s="367"/>
      <c r="N273" s="368"/>
    </row>
    <row r="274" spans="9:14" ht="22.8" customHeight="1">
      <c r="I274" s="365"/>
      <c r="M274" s="367"/>
      <c r="N274" s="368"/>
    </row>
    <row r="275" spans="9:14" ht="22.8" customHeight="1">
      <c r="I275" s="365"/>
      <c r="M275" s="367"/>
      <c r="N275" s="368"/>
    </row>
    <row r="276" spans="9:14" ht="22.8" customHeight="1">
      <c r="I276" s="365"/>
      <c r="M276" s="367"/>
      <c r="N276" s="368"/>
    </row>
    <row r="277" spans="9:14" ht="22.8" customHeight="1">
      <c r="I277" s="365"/>
      <c r="M277" s="367"/>
      <c r="N277" s="368"/>
    </row>
    <row r="278" spans="9:14" ht="22.8" customHeight="1">
      <c r="I278" s="365"/>
      <c r="M278" s="367"/>
      <c r="N278" s="368"/>
    </row>
    <row r="279" spans="9:14" ht="22.8" customHeight="1">
      <c r="I279" s="365"/>
      <c r="M279" s="367"/>
      <c r="N279" s="368"/>
    </row>
    <row r="280" spans="9:14" ht="22.8" customHeight="1">
      <c r="I280" s="365"/>
      <c r="M280" s="367"/>
      <c r="N280" s="368"/>
    </row>
    <row r="281" spans="9:14" ht="22.8" customHeight="1">
      <c r="I281" s="365"/>
      <c r="M281" s="367"/>
      <c r="N281" s="368"/>
    </row>
    <row r="282" spans="9:14" ht="22.8" customHeight="1">
      <c r="I282" s="365"/>
      <c r="M282" s="367"/>
      <c r="N282" s="368"/>
    </row>
    <row r="283" spans="9:14" ht="22.8" customHeight="1">
      <c r="I283" s="365"/>
      <c r="M283" s="367"/>
      <c r="N283" s="368"/>
    </row>
    <row r="284" spans="9:14" ht="22.8" customHeight="1">
      <c r="I284" s="365"/>
      <c r="M284" s="367"/>
      <c r="N284" s="368"/>
    </row>
    <row r="285" spans="9:14" ht="22.8" customHeight="1">
      <c r="I285" s="365"/>
      <c r="M285" s="367"/>
      <c r="N285" s="368"/>
    </row>
    <row r="286" spans="9:14" ht="22.8" customHeight="1">
      <c r="I286" s="365"/>
      <c r="M286" s="367"/>
      <c r="N286" s="368"/>
    </row>
    <row r="287" spans="9:14" ht="22.8" customHeight="1">
      <c r="I287" s="365"/>
      <c r="M287" s="367"/>
      <c r="N287" s="368"/>
    </row>
    <row r="288" spans="9:14" ht="22.8" customHeight="1">
      <c r="I288" s="365"/>
      <c r="M288" s="367"/>
      <c r="N288" s="368"/>
    </row>
    <row r="289" spans="9:14" ht="22.8" customHeight="1">
      <c r="I289" s="365"/>
      <c r="M289" s="367"/>
      <c r="N289" s="368"/>
    </row>
    <row r="290" spans="9:14" ht="22.8" customHeight="1">
      <c r="I290" s="365"/>
      <c r="M290" s="367"/>
      <c r="N290" s="368"/>
    </row>
    <row r="291" spans="9:14" ht="22.8" customHeight="1">
      <c r="I291" s="365"/>
      <c r="M291" s="367"/>
      <c r="N291" s="368"/>
    </row>
    <row r="292" spans="9:14" ht="22.8" customHeight="1">
      <c r="I292" s="365"/>
      <c r="M292" s="367"/>
      <c r="N292" s="368"/>
    </row>
    <row r="293" spans="9:14" ht="22.8" customHeight="1">
      <c r="I293" s="365"/>
      <c r="M293" s="367"/>
      <c r="N293" s="368"/>
    </row>
    <row r="294" spans="9:14" ht="22.8" customHeight="1">
      <c r="I294" s="365"/>
      <c r="M294" s="367"/>
      <c r="N294" s="368"/>
    </row>
    <row r="295" spans="9:14" ht="22.8" customHeight="1">
      <c r="I295" s="365"/>
      <c r="M295" s="367"/>
      <c r="N295" s="368"/>
    </row>
    <row r="296" spans="9:14" ht="22.8" customHeight="1">
      <c r="I296" s="365"/>
      <c r="M296" s="367"/>
      <c r="N296" s="368"/>
    </row>
    <row r="297" spans="9:14" ht="22.8" customHeight="1">
      <c r="I297" s="365"/>
      <c r="M297" s="367"/>
      <c r="N297" s="368"/>
    </row>
    <row r="298" spans="9:14" ht="22.8" customHeight="1">
      <c r="I298" s="365"/>
      <c r="M298" s="367"/>
      <c r="N298" s="368"/>
    </row>
    <row r="299" spans="9:14" ht="22.8" customHeight="1">
      <c r="I299" s="365"/>
      <c r="M299" s="367"/>
      <c r="N299" s="368"/>
    </row>
    <row r="300" spans="9:14" ht="22.8" customHeight="1">
      <c r="I300" s="365"/>
      <c r="M300" s="367"/>
      <c r="N300" s="368"/>
    </row>
    <row r="301" spans="9:14" ht="22.8" customHeight="1">
      <c r="I301" s="365"/>
      <c r="M301" s="367"/>
      <c r="N301" s="368"/>
    </row>
    <row r="302" spans="9:14" ht="22.8" customHeight="1">
      <c r="I302" s="365"/>
      <c r="M302" s="367"/>
      <c r="N302" s="368"/>
    </row>
    <row r="303" spans="9:14" ht="22.8" customHeight="1">
      <c r="I303" s="365"/>
      <c r="M303" s="367"/>
      <c r="N303" s="368"/>
    </row>
    <row r="304" spans="9:14" ht="22.8" customHeight="1">
      <c r="I304" s="365"/>
      <c r="M304" s="367"/>
      <c r="N304" s="368"/>
    </row>
    <row r="305" spans="9:14" ht="22.8" customHeight="1">
      <c r="I305" s="365"/>
      <c r="M305" s="367"/>
      <c r="N305" s="368"/>
    </row>
    <row r="306" spans="9:14" ht="22.8" customHeight="1">
      <c r="I306" s="365"/>
      <c r="M306" s="367"/>
      <c r="N306" s="368"/>
    </row>
    <row r="307" spans="9:14" ht="22.8" customHeight="1">
      <c r="I307" s="365"/>
      <c r="M307" s="367"/>
      <c r="N307" s="368"/>
    </row>
    <row r="308" spans="9:14" ht="22.8" customHeight="1">
      <c r="I308" s="365"/>
      <c r="M308" s="367"/>
      <c r="N308" s="368"/>
    </row>
    <row r="309" spans="9:14" ht="22.8" customHeight="1">
      <c r="I309" s="365"/>
      <c r="M309" s="367"/>
      <c r="N309" s="368"/>
    </row>
    <row r="310" spans="9:14" ht="22.8" customHeight="1">
      <c r="I310" s="365"/>
      <c r="M310" s="367"/>
      <c r="N310" s="368"/>
    </row>
    <row r="311" spans="9:14" ht="22.8" customHeight="1">
      <c r="I311" s="365"/>
      <c r="M311" s="367"/>
      <c r="N311" s="368"/>
    </row>
    <row r="312" spans="9:14" ht="22.8" customHeight="1">
      <c r="I312" s="365"/>
      <c r="M312" s="367"/>
      <c r="N312" s="368"/>
    </row>
    <row r="313" spans="9:14" ht="22.8" customHeight="1">
      <c r="I313" s="365"/>
      <c r="M313" s="367"/>
      <c r="N313" s="368"/>
    </row>
    <row r="314" spans="9:14" ht="22.8" customHeight="1">
      <c r="I314" s="365"/>
      <c r="M314" s="367"/>
      <c r="N314" s="368"/>
    </row>
    <row r="315" spans="9:14" ht="22.8" customHeight="1">
      <c r="I315" s="365"/>
      <c r="M315" s="367"/>
      <c r="N315" s="368"/>
    </row>
    <row r="316" spans="9:14" ht="22.8" customHeight="1">
      <c r="I316" s="365"/>
      <c r="M316" s="367"/>
      <c r="N316" s="368"/>
    </row>
    <row r="317" spans="9:14" ht="22.8" customHeight="1">
      <c r="I317" s="365"/>
      <c r="M317" s="367"/>
      <c r="N317" s="368"/>
    </row>
    <row r="318" spans="9:14" ht="22.8" customHeight="1">
      <c r="I318" s="365"/>
      <c r="M318" s="367"/>
      <c r="N318" s="368"/>
    </row>
    <row r="319" spans="9:14" ht="22.8" customHeight="1">
      <c r="I319" s="365"/>
      <c r="M319" s="367"/>
      <c r="N319" s="368"/>
    </row>
    <row r="320" spans="9:14" ht="22.8" customHeight="1">
      <c r="I320" s="365"/>
      <c r="M320" s="367"/>
      <c r="N320" s="368"/>
    </row>
    <row r="321" spans="9:14" ht="22.8" customHeight="1">
      <c r="I321" s="365"/>
      <c r="M321" s="367"/>
      <c r="N321" s="368"/>
    </row>
    <row r="322" spans="9:14" ht="22.8" customHeight="1">
      <c r="I322" s="365"/>
      <c r="M322" s="367"/>
      <c r="N322" s="368"/>
    </row>
    <row r="323" spans="9:14" ht="22.8" customHeight="1">
      <c r="I323" s="365"/>
      <c r="M323" s="367"/>
      <c r="N323" s="368"/>
    </row>
    <row r="324" spans="9:14" ht="22.8" customHeight="1">
      <c r="I324" s="365"/>
      <c r="M324" s="367"/>
      <c r="N324" s="368"/>
    </row>
    <row r="325" spans="9:14" ht="22.8" customHeight="1">
      <c r="I325" s="365"/>
      <c r="M325" s="367"/>
      <c r="N325" s="368"/>
    </row>
    <row r="326" spans="9:14" ht="22.8" customHeight="1">
      <c r="I326" s="365"/>
      <c r="M326" s="367"/>
      <c r="N326" s="368"/>
    </row>
    <row r="327" spans="9:14" ht="22.8" customHeight="1">
      <c r="I327" s="365"/>
      <c r="M327" s="367"/>
      <c r="N327" s="368"/>
    </row>
    <row r="328" spans="9:14" ht="22.8" customHeight="1">
      <c r="I328" s="365"/>
      <c r="M328" s="367"/>
      <c r="N328" s="368"/>
    </row>
    <row r="329" spans="9:14" ht="22.8" customHeight="1">
      <c r="I329" s="365"/>
      <c r="M329" s="367"/>
      <c r="N329" s="368"/>
    </row>
    <row r="330" spans="9:14" ht="22.8" customHeight="1">
      <c r="I330" s="365"/>
      <c r="M330" s="367"/>
      <c r="N330" s="368"/>
    </row>
    <row r="331" spans="9:14" ht="22.8" customHeight="1">
      <c r="I331" s="365"/>
      <c r="M331" s="367"/>
      <c r="N331" s="368"/>
    </row>
    <row r="332" spans="9:14" ht="22.8" customHeight="1">
      <c r="I332" s="365"/>
      <c r="M332" s="367"/>
      <c r="N332" s="368"/>
    </row>
    <row r="333" spans="9:14" ht="22.8" customHeight="1">
      <c r="I333" s="365"/>
      <c r="M333" s="367"/>
      <c r="N333" s="368"/>
    </row>
    <row r="334" spans="9:14" ht="22.8" customHeight="1">
      <c r="I334" s="365"/>
      <c r="M334" s="367"/>
      <c r="N334" s="368"/>
    </row>
    <row r="335" spans="9:14" ht="22.8" customHeight="1">
      <c r="I335" s="365"/>
      <c r="M335" s="367"/>
      <c r="N335" s="368"/>
    </row>
    <row r="336" spans="9:14" ht="22.8" customHeight="1">
      <c r="I336" s="365"/>
      <c r="M336" s="367"/>
      <c r="N336" s="368"/>
    </row>
    <row r="337" spans="9:14" ht="22.8" customHeight="1">
      <c r="I337" s="365"/>
      <c r="M337" s="367"/>
      <c r="N337" s="368"/>
    </row>
    <row r="338" spans="9:14" ht="22.8" customHeight="1">
      <c r="I338" s="365"/>
      <c r="M338" s="367"/>
      <c r="N338" s="368"/>
    </row>
    <row r="339" spans="9:14" ht="22.8" customHeight="1">
      <c r="I339" s="365"/>
      <c r="M339" s="367"/>
      <c r="N339" s="368"/>
    </row>
    <row r="340" spans="9:14" ht="22.8" customHeight="1">
      <c r="I340" s="365"/>
      <c r="M340" s="367"/>
      <c r="N340" s="368"/>
    </row>
    <row r="341" spans="9:14" ht="22.8" customHeight="1">
      <c r="I341" s="365"/>
      <c r="M341" s="367"/>
      <c r="N341" s="368"/>
    </row>
    <row r="342" spans="9:14" ht="22.8" customHeight="1">
      <c r="I342" s="365"/>
      <c r="M342" s="367"/>
      <c r="N342" s="368"/>
    </row>
    <row r="343" spans="9:14" ht="22.8" customHeight="1">
      <c r="I343" s="365"/>
      <c r="M343" s="367"/>
      <c r="N343" s="368"/>
    </row>
    <row r="344" spans="9:14" ht="22.8" customHeight="1">
      <c r="I344" s="365"/>
      <c r="M344" s="367"/>
      <c r="N344" s="368"/>
    </row>
    <row r="345" spans="9:14" ht="22.8" customHeight="1">
      <c r="I345" s="365"/>
      <c r="M345" s="367"/>
      <c r="N345" s="368"/>
    </row>
    <row r="346" spans="9:14" ht="22.8" customHeight="1">
      <c r="I346" s="365"/>
      <c r="M346" s="367"/>
      <c r="N346" s="368"/>
    </row>
    <row r="347" spans="9:14" ht="22.8" customHeight="1">
      <c r="I347" s="365"/>
      <c r="M347" s="367"/>
      <c r="N347" s="368"/>
    </row>
    <row r="348" spans="9:14" ht="22.8" customHeight="1">
      <c r="I348" s="365"/>
      <c r="M348" s="367"/>
      <c r="N348" s="368"/>
    </row>
    <row r="349" spans="9:14" ht="22.8" customHeight="1">
      <c r="I349" s="365"/>
      <c r="M349" s="367"/>
      <c r="N349" s="368"/>
    </row>
    <row r="350" spans="9:14" ht="22.8" customHeight="1">
      <c r="I350" s="365"/>
      <c r="M350" s="367"/>
      <c r="N350" s="368"/>
    </row>
    <row r="351" spans="9:14" ht="22.8" customHeight="1">
      <c r="I351" s="365"/>
      <c r="M351" s="367"/>
      <c r="N351" s="368"/>
    </row>
    <row r="352" spans="9:14" ht="22.8" customHeight="1">
      <c r="I352" s="365"/>
      <c r="M352" s="367"/>
      <c r="N352" s="368"/>
    </row>
    <row r="353" spans="9:14" ht="22.8" customHeight="1">
      <c r="I353" s="365"/>
      <c r="M353" s="367"/>
      <c r="N353" s="368"/>
    </row>
    <row r="354" spans="9:14" ht="22.8" customHeight="1">
      <c r="I354" s="365"/>
      <c r="M354" s="367"/>
      <c r="N354" s="368"/>
    </row>
    <row r="355" spans="9:14" ht="22.8" customHeight="1">
      <c r="I355" s="365"/>
      <c r="M355" s="367"/>
      <c r="N355" s="368"/>
    </row>
    <row r="356" spans="9:14" ht="22.8" customHeight="1">
      <c r="I356" s="365"/>
      <c r="M356" s="367"/>
      <c r="N356" s="368"/>
    </row>
    <row r="357" spans="9:14" ht="22.8" customHeight="1">
      <c r="I357" s="365"/>
      <c r="M357" s="367"/>
      <c r="N357" s="368"/>
    </row>
    <row r="358" spans="9:14" ht="22.8" customHeight="1">
      <c r="I358" s="365"/>
      <c r="M358" s="367"/>
      <c r="N358" s="368"/>
    </row>
    <row r="359" spans="9:14" ht="22.8" customHeight="1">
      <c r="I359" s="365"/>
      <c r="M359" s="367"/>
      <c r="N359" s="368"/>
    </row>
    <row r="360" spans="9:14" ht="22.8" customHeight="1">
      <c r="I360" s="365"/>
      <c r="M360" s="367"/>
      <c r="N360" s="368"/>
    </row>
    <row r="361" spans="9:14" ht="22.8" customHeight="1">
      <c r="I361" s="365"/>
      <c r="M361" s="367"/>
      <c r="N361" s="368"/>
    </row>
    <row r="362" spans="9:14" ht="22.8" customHeight="1">
      <c r="I362" s="365"/>
      <c r="M362" s="367"/>
      <c r="N362" s="368"/>
    </row>
    <row r="363" spans="9:14" ht="22.8" customHeight="1">
      <c r="I363" s="365"/>
      <c r="M363" s="367"/>
      <c r="N363" s="368"/>
    </row>
    <row r="364" spans="9:14" ht="22.8" customHeight="1">
      <c r="I364" s="365"/>
      <c r="M364" s="367"/>
      <c r="N364" s="368"/>
    </row>
    <row r="365" spans="9:14" ht="22.8" customHeight="1">
      <c r="I365" s="365"/>
      <c r="M365" s="367"/>
      <c r="N365" s="368"/>
    </row>
    <row r="366" spans="9:14" ht="22.8" customHeight="1">
      <c r="I366" s="365"/>
      <c r="M366" s="367"/>
      <c r="N366" s="368"/>
    </row>
    <row r="367" spans="9:14" ht="22.8" customHeight="1">
      <c r="I367" s="365"/>
      <c r="M367" s="367"/>
      <c r="N367" s="368"/>
    </row>
    <row r="368" spans="9:14" ht="22.8" customHeight="1">
      <c r="I368" s="365"/>
      <c r="M368" s="367"/>
      <c r="N368" s="368"/>
    </row>
    <row r="369" spans="9:14" ht="22.8" customHeight="1">
      <c r="I369" s="365"/>
      <c r="M369" s="367"/>
      <c r="N369" s="368"/>
    </row>
    <row r="370" spans="9:14" ht="22.8" customHeight="1">
      <c r="I370" s="365"/>
      <c r="M370" s="367"/>
      <c r="N370" s="368"/>
    </row>
    <row r="371" spans="9:14" ht="22.8" customHeight="1">
      <c r="I371" s="365"/>
      <c r="M371" s="367"/>
      <c r="N371" s="368"/>
    </row>
    <row r="372" spans="9:14" ht="22.8" customHeight="1">
      <c r="I372" s="365"/>
      <c r="M372" s="367"/>
      <c r="N372" s="368"/>
    </row>
    <row r="373" spans="9:14" ht="22.8" customHeight="1">
      <c r="I373" s="365"/>
      <c r="M373" s="367"/>
      <c r="N373" s="368"/>
    </row>
    <row r="374" spans="9:14" ht="22.8" customHeight="1">
      <c r="I374" s="365"/>
      <c r="M374" s="367"/>
      <c r="N374" s="368"/>
    </row>
    <row r="375" spans="9:14" ht="22.8" customHeight="1">
      <c r="I375" s="365"/>
      <c r="M375" s="367"/>
      <c r="N375" s="368"/>
    </row>
    <row r="376" spans="9:14" ht="22.8" customHeight="1">
      <c r="I376" s="365"/>
      <c r="M376" s="367"/>
      <c r="N376" s="368"/>
    </row>
    <row r="377" spans="9:14" ht="22.8" customHeight="1">
      <c r="I377" s="365"/>
      <c r="M377" s="367"/>
      <c r="N377" s="368"/>
    </row>
    <row r="378" spans="9:14" ht="22.8" customHeight="1">
      <c r="I378" s="365"/>
      <c r="M378" s="367"/>
      <c r="N378" s="368"/>
    </row>
    <row r="379" spans="9:14" ht="22.8" customHeight="1">
      <c r="I379" s="365"/>
      <c r="M379" s="367"/>
      <c r="N379" s="368"/>
    </row>
    <row r="380" spans="9:14" ht="22.8" customHeight="1">
      <c r="I380" s="365"/>
      <c r="M380" s="367"/>
      <c r="N380" s="368"/>
    </row>
    <row r="381" spans="9:14" ht="22.8" customHeight="1">
      <c r="I381" s="365"/>
      <c r="M381" s="367"/>
      <c r="N381" s="368"/>
    </row>
    <row r="382" spans="9:14" ht="22.8" customHeight="1">
      <c r="I382" s="365"/>
      <c r="M382" s="367"/>
      <c r="N382" s="368"/>
    </row>
    <row r="383" spans="9:14" ht="22.8" customHeight="1">
      <c r="I383" s="365"/>
      <c r="M383" s="367"/>
      <c r="N383" s="368"/>
    </row>
    <row r="384" spans="9:14" ht="22.8" customHeight="1">
      <c r="I384" s="365"/>
      <c r="M384" s="367"/>
      <c r="N384" s="368"/>
    </row>
    <row r="385" spans="9:14" ht="22.8" customHeight="1">
      <c r="I385" s="365"/>
      <c r="M385" s="367"/>
      <c r="N385" s="368"/>
    </row>
    <row r="386" spans="9:14" ht="22.8" customHeight="1">
      <c r="I386" s="365"/>
      <c r="M386" s="367"/>
      <c r="N386" s="368"/>
    </row>
    <row r="387" spans="9:14" ht="22.8" customHeight="1">
      <c r="I387" s="365"/>
      <c r="M387" s="367"/>
      <c r="N387" s="368"/>
    </row>
    <row r="388" spans="9:14" ht="22.8" customHeight="1">
      <c r="I388" s="365"/>
      <c r="M388" s="367"/>
      <c r="N388" s="368"/>
    </row>
    <row r="389" spans="9:14" ht="22.8" customHeight="1">
      <c r="I389" s="365"/>
      <c r="M389" s="367"/>
      <c r="N389" s="368"/>
    </row>
    <row r="390" spans="9:14" ht="22.8" customHeight="1">
      <c r="I390" s="365"/>
      <c r="M390" s="367"/>
      <c r="N390" s="368"/>
    </row>
    <row r="391" spans="9:14" ht="22.8" customHeight="1">
      <c r="I391" s="365"/>
      <c r="M391" s="367"/>
      <c r="N391" s="368"/>
    </row>
    <row r="392" spans="9:14" ht="22.8" customHeight="1">
      <c r="I392" s="365"/>
      <c r="M392" s="367"/>
      <c r="N392" s="368"/>
    </row>
    <row r="393" spans="9:14" ht="22.8" customHeight="1">
      <c r="I393" s="365"/>
      <c r="M393" s="367"/>
      <c r="N393" s="368"/>
    </row>
    <row r="394" spans="9:14" ht="22.8" customHeight="1">
      <c r="I394" s="365"/>
      <c r="M394" s="367"/>
      <c r="N394" s="368"/>
    </row>
    <row r="395" spans="9:14" ht="22.8" customHeight="1">
      <c r="I395" s="365"/>
      <c r="M395" s="367"/>
      <c r="N395" s="368"/>
    </row>
    <row r="396" spans="9:14" ht="22.8" customHeight="1">
      <c r="I396" s="365"/>
      <c r="M396" s="367"/>
      <c r="N396" s="368"/>
    </row>
    <row r="397" spans="9:14" ht="22.8" customHeight="1">
      <c r="I397" s="365"/>
      <c r="M397" s="367"/>
      <c r="N397" s="368"/>
    </row>
    <row r="398" spans="9:14" ht="22.8" customHeight="1">
      <c r="I398" s="365"/>
      <c r="M398" s="367"/>
      <c r="N398" s="368"/>
    </row>
    <row r="399" spans="9:14" ht="22.8" customHeight="1">
      <c r="I399" s="365"/>
      <c r="M399" s="367"/>
      <c r="N399" s="368"/>
    </row>
    <row r="400" spans="9:14" ht="22.8" customHeight="1">
      <c r="I400" s="365"/>
      <c r="M400" s="367"/>
      <c r="N400" s="368"/>
    </row>
    <row r="401" spans="9:14" ht="22.8" customHeight="1">
      <c r="I401" s="365"/>
      <c r="M401" s="367"/>
      <c r="N401" s="368"/>
    </row>
    <row r="402" spans="9:14" ht="22.8" customHeight="1">
      <c r="I402" s="365"/>
      <c r="M402" s="367"/>
      <c r="N402" s="368"/>
    </row>
    <row r="403" spans="9:14" ht="22.8" customHeight="1">
      <c r="I403" s="365"/>
      <c r="M403" s="367"/>
      <c r="N403" s="368"/>
    </row>
    <row r="404" spans="9:14" ht="22.8" customHeight="1">
      <c r="I404" s="365"/>
      <c r="M404" s="367"/>
      <c r="N404" s="368"/>
    </row>
    <row r="405" spans="9:14" ht="22.8" customHeight="1">
      <c r="I405" s="365"/>
      <c r="M405" s="367"/>
      <c r="N405" s="368"/>
    </row>
    <row r="406" spans="9:14" ht="22.8" customHeight="1">
      <c r="I406" s="365"/>
      <c r="M406" s="367"/>
      <c r="N406" s="368"/>
    </row>
    <row r="407" spans="9:14" ht="22.8" customHeight="1">
      <c r="I407" s="365"/>
      <c r="M407" s="367"/>
      <c r="N407" s="368"/>
    </row>
    <row r="408" spans="9:14" ht="22.8" customHeight="1">
      <c r="I408" s="365"/>
      <c r="M408" s="367"/>
      <c r="N408" s="368"/>
    </row>
    <row r="409" spans="9:14" ht="22.8" customHeight="1">
      <c r="I409" s="365"/>
      <c r="M409" s="367"/>
      <c r="N409" s="368"/>
    </row>
    <row r="410" spans="9:14" ht="22.8" customHeight="1">
      <c r="I410" s="365"/>
      <c r="M410" s="367"/>
      <c r="N410" s="368"/>
    </row>
    <row r="411" spans="9:14" ht="22.8" customHeight="1">
      <c r="I411" s="365"/>
      <c r="M411" s="367"/>
      <c r="N411" s="368"/>
    </row>
    <row r="412" spans="9:14" ht="22.8" customHeight="1">
      <c r="I412" s="365"/>
      <c r="M412" s="367"/>
      <c r="N412" s="368"/>
    </row>
    <row r="413" spans="9:14" ht="22.8" customHeight="1">
      <c r="I413" s="365"/>
      <c r="M413" s="367"/>
      <c r="N413" s="368"/>
    </row>
    <row r="414" spans="9:14" ht="22.8" customHeight="1">
      <c r="I414" s="365"/>
      <c r="M414" s="367"/>
      <c r="N414" s="368"/>
    </row>
    <row r="415" spans="9:14" ht="22.8" customHeight="1">
      <c r="I415" s="365"/>
      <c r="M415" s="367"/>
      <c r="N415" s="368"/>
    </row>
    <row r="416" spans="9:14" ht="22.8" customHeight="1">
      <c r="I416" s="365"/>
      <c r="M416" s="367"/>
      <c r="N416" s="368"/>
    </row>
    <row r="417" spans="9:14" ht="22.8" customHeight="1">
      <c r="I417" s="365"/>
      <c r="M417" s="367"/>
      <c r="N417" s="368"/>
    </row>
    <row r="418" spans="9:14" ht="22.8" customHeight="1">
      <c r="I418" s="365"/>
      <c r="M418" s="367"/>
      <c r="N418" s="368"/>
    </row>
    <row r="419" spans="9:14" ht="22.8" customHeight="1">
      <c r="I419" s="365"/>
      <c r="M419" s="367"/>
      <c r="N419" s="368"/>
    </row>
    <row r="420" spans="9:14" ht="22.8" customHeight="1">
      <c r="I420" s="365"/>
      <c r="M420" s="367"/>
      <c r="N420" s="368"/>
    </row>
    <row r="421" spans="9:14" ht="22.8" customHeight="1">
      <c r="I421" s="365"/>
      <c r="M421" s="367"/>
      <c r="N421" s="368"/>
    </row>
    <row r="422" spans="9:14" ht="22.8" customHeight="1">
      <c r="I422" s="365"/>
      <c r="M422" s="367"/>
      <c r="N422" s="368"/>
    </row>
    <row r="423" spans="9:14" ht="22.8" customHeight="1">
      <c r="I423" s="365"/>
      <c r="M423" s="367"/>
      <c r="N423" s="368"/>
    </row>
    <row r="424" spans="9:14" ht="22.8" customHeight="1">
      <c r="I424" s="365"/>
      <c r="M424" s="367"/>
      <c r="N424" s="368"/>
    </row>
    <row r="425" spans="9:14" ht="22.8" customHeight="1">
      <c r="I425" s="365"/>
      <c r="M425" s="367"/>
      <c r="N425" s="368"/>
    </row>
    <row r="426" spans="9:14" ht="22.8" customHeight="1">
      <c r="I426" s="365"/>
      <c r="M426" s="367"/>
      <c r="N426" s="368"/>
    </row>
    <row r="427" spans="9:14" ht="22.8" customHeight="1">
      <c r="I427" s="365"/>
      <c r="M427" s="367"/>
      <c r="N427" s="368"/>
    </row>
    <row r="428" spans="9:14" ht="22.8" customHeight="1">
      <c r="I428" s="365"/>
      <c r="M428" s="367"/>
      <c r="N428" s="368"/>
    </row>
    <row r="429" spans="9:14" ht="22.8" customHeight="1">
      <c r="I429" s="365"/>
      <c r="M429" s="367"/>
      <c r="N429" s="368"/>
    </row>
    <row r="430" spans="9:14" ht="22.8" customHeight="1">
      <c r="I430" s="365"/>
      <c r="M430" s="367"/>
      <c r="N430" s="368"/>
    </row>
    <row r="431" spans="9:14" ht="22.8" customHeight="1">
      <c r="I431" s="365"/>
      <c r="M431" s="367"/>
      <c r="N431" s="368"/>
    </row>
    <row r="432" spans="9:14" ht="22.8" customHeight="1">
      <c r="I432" s="365"/>
      <c r="M432" s="367"/>
      <c r="N432" s="368"/>
    </row>
    <row r="433" spans="9:14" ht="22.8" customHeight="1">
      <c r="I433" s="365"/>
      <c r="M433" s="367"/>
      <c r="N433" s="368"/>
    </row>
    <row r="434" spans="9:14" ht="22.8" customHeight="1">
      <c r="I434" s="365"/>
      <c r="M434" s="367"/>
      <c r="N434" s="368"/>
    </row>
    <row r="435" spans="9:14" ht="22.8" customHeight="1">
      <c r="I435" s="365"/>
      <c r="M435" s="367"/>
      <c r="N435" s="368"/>
    </row>
    <row r="436" spans="9:14" ht="22.8" customHeight="1">
      <c r="I436" s="365"/>
      <c r="M436" s="367"/>
      <c r="N436" s="368"/>
    </row>
    <row r="437" spans="9:14" ht="22.8" customHeight="1">
      <c r="I437" s="365"/>
      <c r="M437" s="367"/>
      <c r="N437" s="368"/>
    </row>
    <row r="438" spans="9:14" ht="22.8" customHeight="1">
      <c r="I438" s="365"/>
      <c r="M438" s="367"/>
      <c r="N438" s="368"/>
    </row>
    <row r="439" spans="9:14" ht="22.8" customHeight="1">
      <c r="I439" s="365"/>
      <c r="M439" s="367"/>
      <c r="N439" s="368"/>
    </row>
    <row r="440" spans="9:14" ht="22.8" customHeight="1">
      <c r="I440" s="365"/>
      <c r="M440" s="367"/>
      <c r="N440" s="368"/>
    </row>
    <row r="441" spans="9:14" ht="22.8" customHeight="1">
      <c r="I441" s="365"/>
      <c r="M441" s="367"/>
      <c r="N441" s="368"/>
    </row>
    <row r="442" spans="9:14" ht="22.8" customHeight="1">
      <c r="I442" s="365"/>
      <c r="M442" s="367"/>
      <c r="N442" s="368"/>
    </row>
    <row r="443" spans="9:14" ht="22.8" customHeight="1">
      <c r="I443" s="365"/>
      <c r="M443" s="367"/>
      <c r="N443" s="368"/>
    </row>
    <row r="444" spans="9:14" ht="22.8" customHeight="1">
      <c r="I444" s="365"/>
      <c r="M444" s="367"/>
      <c r="N444" s="368"/>
    </row>
    <row r="445" spans="9:14" ht="22.8" customHeight="1">
      <c r="I445" s="365"/>
      <c r="M445" s="367"/>
      <c r="N445" s="368"/>
    </row>
    <row r="446" spans="9:14" ht="22.8" customHeight="1">
      <c r="I446" s="365"/>
      <c r="M446" s="367"/>
      <c r="N446" s="368"/>
    </row>
    <row r="447" spans="9:14" ht="22.8" customHeight="1">
      <c r="I447" s="365"/>
      <c r="M447" s="367"/>
      <c r="N447" s="368"/>
    </row>
    <row r="448" spans="9:14" ht="22.8" customHeight="1">
      <c r="I448" s="365"/>
      <c r="M448" s="367"/>
      <c r="N448" s="368"/>
    </row>
    <row r="449" spans="9:14" ht="22.8" customHeight="1">
      <c r="I449" s="365"/>
      <c r="M449" s="367"/>
      <c r="N449" s="368"/>
    </row>
    <row r="450" spans="9:14" ht="22.8" customHeight="1">
      <c r="I450" s="365"/>
      <c r="M450" s="367"/>
      <c r="N450" s="368"/>
    </row>
    <row r="451" spans="9:14" ht="22.8" customHeight="1">
      <c r="I451" s="365"/>
      <c r="M451" s="367"/>
      <c r="N451" s="368"/>
    </row>
    <row r="452" spans="9:14" ht="22.8" customHeight="1">
      <c r="I452" s="365"/>
      <c r="M452" s="367"/>
      <c r="N452" s="368"/>
    </row>
    <row r="453" spans="9:14" ht="22.8" customHeight="1">
      <c r="I453" s="365"/>
      <c r="M453" s="367"/>
      <c r="N453" s="368"/>
    </row>
    <row r="454" spans="9:14" ht="22.8" customHeight="1">
      <c r="I454" s="365"/>
      <c r="M454" s="367"/>
      <c r="N454" s="368"/>
    </row>
    <row r="455" spans="9:14" ht="22.8" customHeight="1">
      <c r="I455" s="365"/>
      <c r="M455" s="367"/>
      <c r="N455" s="368"/>
    </row>
    <row r="456" spans="9:14" ht="22.8" customHeight="1">
      <c r="I456" s="365"/>
      <c r="M456" s="367"/>
      <c r="N456" s="368"/>
    </row>
    <row r="457" spans="9:14" ht="22.8" customHeight="1">
      <c r="I457" s="365"/>
      <c r="M457" s="367"/>
      <c r="N457" s="368"/>
    </row>
    <row r="458" spans="9:14" ht="22.8" customHeight="1">
      <c r="I458" s="365"/>
      <c r="M458" s="367"/>
      <c r="N458" s="368"/>
    </row>
    <row r="459" spans="9:14" ht="22.8" customHeight="1">
      <c r="I459" s="365"/>
      <c r="M459" s="367"/>
      <c r="N459" s="368"/>
    </row>
    <row r="460" spans="9:14" ht="22.8" customHeight="1">
      <c r="I460" s="365"/>
      <c r="M460" s="367"/>
      <c r="N460" s="368"/>
    </row>
    <row r="461" spans="9:14" ht="22.8" customHeight="1">
      <c r="I461" s="365"/>
      <c r="M461" s="367"/>
      <c r="N461" s="368"/>
    </row>
    <row r="462" spans="9:14" ht="22.8" customHeight="1">
      <c r="I462" s="365"/>
      <c r="M462" s="367"/>
      <c r="N462" s="368"/>
    </row>
    <row r="463" spans="9:14" ht="22.8" customHeight="1">
      <c r="I463" s="365"/>
      <c r="M463" s="367"/>
      <c r="N463" s="368"/>
    </row>
    <row r="464" spans="9:14" ht="22.8" customHeight="1">
      <c r="I464" s="365"/>
      <c r="M464" s="367"/>
      <c r="N464" s="368"/>
    </row>
    <row r="465" spans="9:14" ht="22.8" customHeight="1">
      <c r="I465" s="365"/>
      <c r="M465" s="367"/>
      <c r="N465" s="368"/>
    </row>
    <row r="466" spans="9:14" ht="22.8" customHeight="1">
      <c r="I466" s="365"/>
      <c r="M466" s="367"/>
      <c r="N466" s="368"/>
    </row>
    <row r="467" spans="9:14" ht="22.8" customHeight="1">
      <c r="I467" s="365"/>
      <c r="M467" s="367"/>
      <c r="N467" s="368"/>
    </row>
    <row r="468" spans="9:14" ht="22.8" customHeight="1">
      <c r="I468" s="365"/>
      <c r="M468" s="367"/>
      <c r="N468" s="368"/>
    </row>
    <row r="469" spans="9:14" ht="22.8" customHeight="1">
      <c r="I469" s="365"/>
      <c r="M469" s="367"/>
      <c r="N469" s="368"/>
    </row>
    <row r="470" spans="9:14" ht="22.8" customHeight="1">
      <c r="I470" s="365"/>
      <c r="M470" s="367"/>
      <c r="N470" s="368"/>
    </row>
    <row r="471" spans="9:14" ht="22.8" customHeight="1">
      <c r="I471" s="365"/>
      <c r="M471" s="367"/>
      <c r="N471" s="368"/>
    </row>
    <row r="472" spans="9:14" ht="22.8" customHeight="1">
      <c r="I472" s="365"/>
      <c r="M472" s="367"/>
      <c r="N472" s="368"/>
    </row>
    <row r="473" spans="9:14" ht="22.8" customHeight="1">
      <c r="I473" s="365"/>
      <c r="M473" s="367"/>
      <c r="N473" s="368"/>
    </row>
    <row r="474" spans="9:14" ht="22.8" customHeight="1">
      <c r="I474" s="365"/>
      <c r="M474" s="367"/>
      <c r="N474" s="368"/>
    </row>
    <row r="475" spans="9:14" ht="22.8" customHeight="1">
      <c r="I475" s="365"/>
      <c r="M475" s="367"/>
      <c r="N475" s="368"/>
    </row>
    <row r="476" spans="9:14" ht="22.8" customHeight="1">
      <c r="I476" s="365"/>
      <c r="M476" s="367"/>
      <c r="N476" s="368"/>
    </row>
    <row r="477" spans="9:14" ht="22.8" customHeight="1">
      <c r="I477" s="365"/>
      <c r="M477" s="367"/>
      <c r="N477" s="368"/>
    </row>
    <row r="478" spans="9:14" ht="22.8" customHeight="1">
      <c r="I478" s="365"/>
      <c r="M478" s="367"/>
      <c r="N478" s="368"/>
    </row>
    <row r="479" spans="9:14" ht="22.8" customHeight="1">
      <c r="I479" s="365"/>
      <c r="M479" s="367"/>
      <c r="N479" s="368"/>
    </row>
    <row r="480" spans="9:14" ht="22.8" customHeight="1">
      <c r="I480" s="365"/>
      <c r="M480" s="367"/>
      <c r="N480" s="368"/>
    </row>
    <row r="481" spans="9:14" ht="22.8" customHeight="1">
      <c r="I481" s="365"/>
      <c r="M481" s="367"/>
      <c r="N481" s="368"/>
    </row>
    <row r="482" spans="9:14" ht="22.8" customHeight="1">
      <c r="I482" s="365"/>
      <c r="M482" s="367"/>
      <c r="N482" s="368"/>
    </row>
    <row r="483" spans="9:14" ht="22.8" customHeight="1">
      <c r="I483" s="365"/>
      <c r="M483" s="367"/>
      <c r="N483" s="368"/>
    </row>
    <row r="484" spans="9:14" ht="22.8" customHeight="1">
      <c r="I484" s="365"/>
      <c r="M484" s="367"/>
      <c r="N484" s="368"/>
    </row>
    <row r="485" spans="9:14" ht="22.8" customHeight="1">
      <c r="I485" s="365"/>
      <c r="M485" s="367"/>
      <c r="N485" s="368"/>
    </row>
    <row r="486" spans="9:14" ht="22.8" customHeight="1">
      <c r="I486" s="365"/>
      <c r="M486" s="367"/>
      <c r="N486" s="368"/>
    </row>
    <row r="487" spans="9:14" ht="22.8" customHeight="1">
      <c r="I487" s="365"/>
      <c r="M487" s="367"/>
      <c r="N487" s="368"/>
    </row>
    <row r="488" spans="9:14" ht="22.8" customHeight="1">
      <c r="I488" s="365"/>
      <c r="M488" s="367"/>
      <c r="N488" s="368"/>
    </row>
    <row r="489" spans="9:14" ht="22.8" customHeight="1">
      <c r="I489" s="365"/>
      <c r="M489" s="367"/>
      <c r="N489" s="368"/>
    </row>
    <row r="490" spans="9:14" ht="22.8" customHeight="1">
      <c r="I490" s="365"/>
      <c r="M490" s="367"/>
      <c r="N490" s="368"/>
    </row>
    <row r="491" spans="9:14" ht="22.8" customHeight="1">
      <c r="I491" s="365"/>
      <c r="M491" s="367"/>
      <c r="N491" s="368"/>
    </row>
    <row r="492" spans="9:14" ht="22.8" customHeight="1">
      <c r="I492" s="365"/>
      <c r="M492" s="367"/>
      <c r="N492" s="368"/>
    </row>
    <row r="493" spans="9:14" ht="22.8" customHeight="1">
      <c r="I493" s="365"/>
      <c r="M493" s="367"/>
      <c r="N493" s="368"/>
    </row>
    <row r="494" spans="9:14" ht="22.8" customHeight="1">
      <c r="I494" s="365"/>
      <c r="M494" s="367"/>
      <c r="N494" s="368"/>
    </row>
    <row r="495" spans="9:14" ht="22.8" customHeight="1">
      <c r="I495" s="365"/>
      <c r="M495" s="367"/>
      <c r="N495" s="368"/>
    </row>
    <row r="496" spans="9:14" ht="22.8" customHeight="1">
      <c r="I496" s="365"/>
      <c r="M496" s="367"/>
      <c r="N496" s="368"/>
    </row>
    <row r="497" spans="9:14" ht="22.8" customHeight="1">
      <c r="I497" s="365"/>
      <c r="M497" s="367"/>
      <c r="N497" s="368"/>
    </row>
    <row r="498" spans="9:14" ht="22.8" customHeight="1">
      <c r="I498" s="365"/>
      <c r="M498" s="367"/>
      <c r="N498" s="368"/>
    </row>
    <row r="499" spans="9:14" ht="22.8" customHeight="1">
      <c r="I499" s="365"/>
      <c r="M499" s="367"/>
      <c r="N499" s="368"/>
    </row>
    <row r="500" spans="9:14" ht="22.8" customHeight="1">
      <c r="I500" s="365"/>
      <c r="M500" s="367"/>
      <c r="N500" s="368"/>
    </row>
    <row r="501" spans="9:14" ht="22.8" customHeight="1">
      <c r="I501" s="365"/>
      <c r="M501" s="367"/>
      <c r="N501" s="368"/>
    </row>
    <row r="502" spans="9:14" ht="22.8" customHeight="1">
      <c r="I502" s="365"/>
      <c r="M502" s="367"/>
      <c r="N502" s="368"/>
    </row>
    <row r="503" spans="9:14" ht="22.8" customHeight="1">
      <c r="I503" s="365"/>
      <c r="M503" s="367"/>
      <c r="N503" s="368"/>
    </row>
    <row r="504" spans="9:14" ht="22.8" customHeight="1">
      <c r="I504" s="365"/>
      <c r="M504" s="367"/>
      <c r="N504" s="368"/>
    </row>
    <row r="505" spans="9:14" ht="22.8" customHeight="1">
      <c r="I505" s="365"/>
      <c r="M505" s="367"/>
      <c r="N505" s="368"/>
    </row>
    <row r="506" spans="9:14" ht="22.8" customHeight="1">
      <c r="I506" s="365"/>
      <c r="M506" s="367"/>
      <c r="N506" s="368"/>
    </row>
    <row r="507" spans="9:14" ht="22.8" customHeight="1">
      <c r="I507" s="365"/>
      <c r="M507" s="367"/>
      <c r="N507" s="368"/>
    </row>
    <row r="508" spans="9:14" ht="22.8" customHeight="1">
      <c r="I508" s="365"/>
      <c r="M508" s="367"/>
      <c r="N508" s="368"/>
    </row>
    <row r="509" spans="9:14" ht="22.8" customHeight="1">
      <c r="I509" s="365"/>
      <c r="M509" s="367"/>
      <c r="N509" s="368"/>
    </row>
    <row r="510" spans="9:14" ht="22.8" customHeight="1">
      <c r="I510" s="365"/>
      <c r="M510" s="367"/>
      <c r="N510" s="368"/>
    </row>
    <row r="511" spans="9:14" ht="22.8" customHeight="1">
      <c r="I511" s="365"/>
      <c r="M511" s="367"/>
      <c r="N511" s="368"/>
    </row>
    <row r="512" spans="9:14" ht="22.8" customHeight="1">
      <c r="I512" s="365"/>
      <c r="M512" s="367"/>
      <c r="N512" s="368"/>
    </row>
    <row r="513" spans="9:14" ht="22.8" customHeight="1">
      <c r="I513" s="365"/>
      <c r="M513" s="367"/>
      <c r="N513" s="368"/>
    </row>
    <row r="514" spans="9:14" ht="22.8" customHeight="1">
      <c r="I514" s="365"/>
      <c r="M514" s="367"/>
      <c r="N514" s="368"/>
    </row>
    <row r="515" spans="9:14" ht="22.8" customHeight="1">
      <c r="I515" s="365"/>
      <c r="M515" s="367"/>
      <c r="N515" s="368"/>
    </row>
    <row r="516" spans="9:14" ht="22.8" customHeight="1">
      <c r="I516" s="365"/>
      <c r="M516" s="367"/>
      <c r="N516" s="368"/>
    </row>
    <row r="517" spans="9:14" ht="22.8" customHeight="1">
      <c r="I517" s="365"/>
      <c r="M517" s="367"/>
      <c r="N517" s="368"/>
    </row>
    <row r="518" spans="9:14" ht="22.8" customHeight="1">
      <c r="I518" s="365"/>
      <c r="M518" s="367"/>
      <c r="N518" s="368"/>
    </row>
    <row r="519" spans="9:14" ht="22.8" customHeight="1">
      <c r="I519" s="365"/>
      <c r="M519" s="367"/>
      <c r="N519" s="368"/>
    </row>
    <row r="520" spans="9:14" ht="22.8" customHeight="1">
      <c r="I520" s="365"/>
      <c r="M520" s="367"/>
      <c r="N520" s="368"/>
    </row>
    <row r="521" spans="9:14" ht="22.8" customHeight="1">
      <c r="I521" s="365"/>
      <c r="M521" s="367"/>
      <c r="N521" s="368"/>
    </row>
    <row r="522" spans="9:14" ht="22.8" customHeight="1">
      <c r="I522" s="365"/>
      <c r="M522" s="367"/>
      <c r="N522" s="368"/>
    </row>
    <row r="523" spans="9:14" ht="22.8" customHeight="1">
      <c r="I523" s="365"/>
      <c r="M523" s="367"/>
      <c r="N523" s="368"/>
    </row>
    <row r="524" spans="9:14" ht="22.8" customHeight="1">
      <c r="I524" s="365"/>
      <c r="M524" s="367"/>
      <c r="N524" s="368"/>
    </row>
    <row r="525" spans="9:14" ht="22.8" customHeight="1">
      <c r="I525" s="365"/>
      <c r="M525" s="367"/>
      <c r="N525" s="368"/>
    </row>
    <row r="526" spans="9:14" ht="22.8" customHeight="1">
      <c r="I526" s="365"/>
      <c r="M526" s="367"/>
      <c r="N526" s="368"/>
    </row>
    <row r="527" spans="9:14" ht="22.8" customHeight="1">
      <c r="I527" s="365"/>
      <c r="M527" s="367"/>
      <c r="N527" s="368"/>
    </row>
    <row r="528" spans="9:14" ht="22.8" customHeight="1">
      <c r="I528" s="365"/>
      <c r="M528" s="367"/>
      <c r="N528" s="368"/>
    </row>
    <row r="529" spans="9:14" ht="22.8" customHeight="1">
      <c r="I529" s="365"/>
      <c r="M529" s="367"/>
      <c r="N529" s="368"/>
    </row>
    <row r="530" spans="9:14" ht="22.8" customHeight="1">
      <c r="I530" s="365"/>
      <c r="M530" s="367"/>
      <c r="N530" s="368"/>
    </row>
    <row r="531" spans="9:14" ht="22.8" customHeight="1">
      <c r="I531" s="365"/>
      <c r="M531" s="367"/>
      <c r="N531" s="368"/>
    </row>
    <row r="532" spans="9:14" ht="22.8" customHeight="1">
      <c r="I532" s="365"/>
      <c r="M532" s="367"/>
      <c r="N532" s="368"/>
    </row>
    <row r="533" spans="9:14" ht="22.8" customHeight="1">
      <c r="I533" s="365"/>
      <c r="M533" s="367"/>
      <c r="N533" s="368"/>
    </row>
    <row r="534" spans="9:14" ht="22.8" customHeight="1">
      <c r="I534" s="365"/>
      <c r="M534" s="367"/>
      <c r="N534" s="368"/>
    </row>
    <row r="535" spans="9:14" ht="22.8" customHeight="1">
      <c r="I535" s="365"/>
      <c r="M535" s="367"/>
      <c r="N535" s="368"/>
    </row>
    <row r="536" spans="9:14" ht="22.8" customHeight="1">
      <c r="I536" s="365"/>
      <c r="M536" s="367"/>
      <c r="N536" s="368"/>
    </row>
    <row r="537" spans="9:14" ht="22.8" customHeight="1">
      <c r="I537" s="365"/>
      <c r="M537" s="367"/>
      <c r="N537" s="368"/>
    </row>
    <row r="538" spans="9:14" ht="22.8" customHeight="1">
      <c r="I538" s="365"/>
      <c r="M538" s="367"/>
      <c r="N538" s="368"/>
    </row>
    <row r="539" spans="9:14" ht="22.8" customHeight="1">
      <c r="I539" s="365"/>
      <c r="M539" s="367"/>
      <c r="N539" s="368"/>
    </row>
    <row r="540" spans="9:14" ht="22.8" customHeight="1">
      <c r="I540" s="365"/>
      <c r="M540" s="367"/>
      <c r="N540" s="368"/>
    </row>
    <row r="541" spans="9:14" ht="22.8" customHeight="1">
      <c r="I541" s="365"/>
      <c r="M541" s="367"/>
      <c r="N541" s="368"/>
    </row>
    <row r="542" spans="9:14" ht="22.8" customHeight="1">
      <c r="I542" s="365"/>
      <c r="M542" s="367"/>
      <c r="N542" s="368"/>
    </row>
    <row r="543" spans="9:14" ht="22.8" customHeight="1">
      <c r="I543" s="365"/>
      <c r="M543" s="367"/>
      <c r="N543" s="368"/>
    </row>
    <row r="544" spans="9:14" ht="22.8" customHeight="1">
      <c r="I544" s="365"/>
      <c r="M544" s="367"/>
      <c r="N544" s="368"/>
    </row>
    <row r="545" spans="9:14" ht="22.8" customHeight="1">
      <c r="I545" s="365"/>
      <c r="M545" s="367"/>
      <c r="N545" s="368"/>
    </row>
    <row r="546" spans="9:14" ht="22.8" customHeight="1">
      <c r="I546" s="365"/>
      <c r="M546" s="367"/>
      <c r="N546" s="368"/>
    </row>
    <row r="547" spans="9:14" ht="22.8" customHeight="1">
      <c r="I547" s="365"/>
      <c r="M547" s="367"/>
      <c r="N547" s="368"/>
    </row>
    <row r="548" spans="9:14" ht="22.8" customHeight="1">
      <c r="I548" s="365"/>
      <c r="M548" s="367"/>
      <c r="N548" s="368"/>
    </row>
    <row r="549" spans="9:14" ht="22.8" customHeight="1">
      <c r="I549" s="365"/>
      <c r="M549" s="367"/>
      <c r="N549" s="368"/>
    </row>
    <row r="550" spans="9:14" ht="22.8" customHeight="1">
      <c r="I550" s="365"/>
      <c r="M550" s="367"/>
      <c r="N550" s="368"/>
    </row>
    <row r="551" spans="9:14" ht="22.8" customHeight="1">
      <c r="I551" s="365"/>
      <c r="M551" s="367"/>
      <c r="N551" s="368"/>
    </row>
    <row r="552" spans="9:14" ht="22.8" customHeight="1">
      <c r="I552" s="365"/>
      <c r="M552" s="367"/>
      <c r="N552" s="368"/>
    </row>
    <row r="553" spans="9:14" ht="22.8" customHeight="1">
      <c r="I553" s="365"/>
      <c r="M553" s="367"/>
      <c r="N553" s="368"/>
    </row>
    <row r="554" spans="9:14" ht="22.8" customHeight="1">
      <c r="I554" s="365"/>
      <c r="M554" s="367"/>
      <c r="N554" s="368"/>
    </row>
    <row r="555" spans="9:14" ht="22.8" customHeight="1">
      <c r="I555" s="365"/>
      <c r="M555" s="367"/>
      <c r="N555" s="368"/>
    </row>
    <row r="556" spans="9:14" ht="22.8" customHeight="1">
      <c r="I556" s="365"/>
      <c r="M556" s="367"/>
      <c r="N556" s="368"/>
    </row>
    <row r="557" spans="9:14" ht="22.8" customHeight="1">
      <c r="I557" s="365"/>
      <c r="M557" s="367"/>
      <c r="N557" s="368"/>
    </row>
    <row r="558" spans="9:14" ht="22.8" customHeight="1">
      <c r="I558" s="365"/>
      <c r="M558" s="367"/>
      <c r="N558" s="368"/>
    </row>
    <row r="559" spans="9:14" ht="22.8" customHeight="1">
      <c r="I559" s="365"/>
      <c r="M559" s="367"/>
      <c r="N559" s="368"/>
    </row>
    <row r="560" spans="9:14" ht="22.8" customHeight="1">
      <c r="I560" s="365"/>
      <c r="M560" s="367"/>
      <c r="N560" s="368"/>
    </row>
    <row r="561" spans="9:14" ht="22.8" customHeight="1">
      <c r="I561" s="365"/>
      <c r="M561" s="367"/>
      <c r="N561" s="368"/>
    </row>
    <row r="562" spans="9:14" ht="22.8" customHeight="1">
      <c r="I562" s="365"/>
      <c r="M562" s="367"/>
      <c r="N562" s="368"/>
    </row>
    <row r="563" spans="9:14" ht="22.8" customHeight="1">
      <c r="I563" s="365"/>
      <c r="M563" s="367"/>
      <c r="N563" s="368"/>
    </row>
    <row r="564" spans="9:14" ht="22.8" customHeight="1">
      <c r="I564" s="365"/>
      <c r="M564" s="367"/>
      <c r="N564" s="368"/>
    </row>
    <row r="565" spans="9:14" ht="22.8" customHeight="1">
      <c r="I565" s="365"/>
      <c r="M565" s="367"/>
      <c r="N565" s="368"/>
    </row>
    <row r="566" spans="9:14" ht="22.8" customHeight="1">
      <c r="I566" s="365"/>
      <c r="M566" s="367"/>
      <c r="N566" s="368"/>
    </row>
    <row r="567" spans="9:14" ht="22.8" customHeight="1">
      <c r="I567" s="365"/>
      <c r="M567" s="367"/>
      <c r="N567" s="368"/>
    </row>
    <row r="568" spans="9:14" ht="22.8" customHeight="1">
      <c r="I568" s="365"/>
      <c r="M568" s="367"/>
      <c r="N568" s="368"/>
    </row>
    <row r="569" spans="9:14" ht="22.8" customHeight="1">
      <c r="I569" s="365"/>
      <c r="M569" s="367"/>
      <c r="N569" s="368"/>
    </row>
    <row r="570" spans="9:14" ht="22.8" customHeight="1">
      <c r="I570" s="365"/>
      <c r="M570" s="367"/>
      <c r="N570" s="368"/>
    </row>
    <row r="571" spans="9:14" ht="22.8" customHeight="1">
      <c r="I571" s="365"/>
      <c r="M571" s="367"/>
      <c r="N571" s="368"/>
    </row>
    <row r="572" spans="9:14" ht="22.8" customHeight="1">
      <c r="I572" s="365"/>
      <c r="M572" s="367"/>
      <c r="N572" s="368"/>
    </row>
    <row r="573" spans="9:14" ht="22.8" customHeight="1">
      <c r="I573" s="365"/>
      <c r="M573" s="367"/>
      <c r="N573" s="368"/>
    </row>
    <row r="574" spans="9:14" ht="22.8" customHeight="1">
      <c r="I574" s="365"/>
      <c r="M574" s="367"/>
      <c r="N574" s="368"/>
    </row>
    <row r="575" spans="9:14" ht="22.8" customHeight="1">
      <c r="I575" s="365"/>
      <c r="M575" s="367"/>
      <c r="N575" s="368"/>
    </row>
    <row r="576" spans="9:14" ht="22.8" customHeight="1">
      <c r="I576" s="365"/>
      <c r="M576" s="367"/>
      <c r="N576" s="368"/>
    </row>
    <row r="577" spans="9:14" ht="22.8" customHeight="1">
      <c r="I577" s="365"/>
      <c r="M577" s="367"/>
      <c r="N577" s="368"/>
    </row>
    <row r="578" spans="9:14" ht="22.8" customHeight="1">
      <c r="I578" s="365"/>
      <c r="M578" s="367"/>
      <c r="N578" s="368"/>
    </row>
    <row r="579" spans="9:14" ht="22.8" customHeight="1">
      <c r="I579" s="365"/>
      <c r="M579" s="367"/>
      <c r="N579" s="368"/>
    </row>
    <row r="580" spans="9:14" ht="22.8" customHeight="1">
      <c r="I580" s="365"/>
      <c r="M580" s="367"/>
      <c r="N580" s="368"/>
    </row>
    <row r="581" spans="9:14" ht="22.8" customHeight="1">
      <c r="I581" s="365"/>
      <c r="M581" s="367"/>
      <c r="N581" s="368"/>
    </row>
    <row r="582" spans="9:14" ht="22.8" customHeight="1">
      <c r="I582" s="365"/>
      <c r="M582" s="367"/>
      <c r="N582" s="368"/>
    </row>
    <row r="583" spans="9:14" ht="22.8" customHeight="1">
      <c r="I583" s="365"/>
      <c r="M583" s="367"/>
      <c r="N583" s="368"/>
    </row>
    <row r="584" spans="9:14" ht="22.8" customHeight="1">
      <c r="I584" s="365"/>
      <c r="M584" s="367"/>
      <c r="N584" s="368"/>
    </row>
    <row r="585" spans="9:14" ht="22.8" customHeight="1">
      <c r="I585" s="365"/>
      <c r="M585" s="367"/>
      <c r="N585" s="368"/>
    </row>
    <row r="586" spans="9:14" ht="22.8" customHeight="1">
      <c r="I586" s="365"/>
      <c r="M586" s="367"/>
      <c r="N586" s="368"/>
    </row>
    <row r="587" spans="9:14" ht="22.8" customHeight="1">
      <c r="I587" s="365"/>
      <c r="M587" s="367"/>
      <c r="N587" s="368"/>
    </row>
    <row r="588" spans="9:14" ht="22.8" customHeight="1">
      <c r="I588" s="365"/>
      <c r="M588" s="367"/>
      <c r="N588" s="368"/>
    </row>
    <row r="589" spans="9:14" ht="22.8" customHeight="1">
      <c r="I589" s="365"/>
      <c r="M589" s="367"/>
      <c r="N589" s="368"/>
    </row>
    <row r="590" spans="9:14" ht="22.8" customHeight="1">
      <c r="I590" s="365"/>
      <c r="M590" s="367"/>
      <c r="N590" s="368"/>
    </row>
    <row r="591" spans="9:14" ht="22.8" customHeight="1">
      <c r="I591" s="365"/>
      <c r="M591" s="367"/>
      <c r="N591" s="368"/>
    </row>
    <row r="592" spans="9:14" ht="22.8" customHeight="1">
      <c r="I592" s="365"/>
      <c r="M592" s="367"/>
      <c r="N592" s="368"/>
    </row>
    <row r="593" spans="9:14" ht="22.8" customHeight="1">
      <c r="I593" s="365"/>
      <c r="M593" s="367"/>
      <c r="N593" s="368"/>
    </row>
    <row r="594" spans="9:14" ht="22.8" customHeight="1">
      <c r="I594" s="365"/>
      <c r="M594" s="367"/>
      <c r="N594" s="368"/>
    </row>
    <row r="595" spans="9:14" ht="22.8" customHeight="1">
      <c r="I595" s="365"/>
      <c r="M595" s="367"/>
      <c r="N595" s="368"/>
    </row>
    <row r="596" spans="9:14" ht="22.8" customHeight="1">
      <c r="I596" s="365"/>
      <c r="M596" s="367"/>
      <c r="N596" s="368"/>
    </row>
    <row r="597" spans="9:14" ht="22.8" customHeight="1">
      <c r="I597" s="365"/>
      <c r="M597" s="367"/>
      <c r="N597" s="368"/>
    </row>
    <row r="598" spans="9:14" ht="22.8" customHeight="1">
      <c r="I598" s="365"/>
      <c r="M598" s="367"/>
      <c r="N598" s="368"/>
    </row>
    <row r="599" spans="9:14" ht="22.8" customHeight="1">
      <c r="I599" s="365"/>
      <c r="M599" s="367"/>
      <c r="N599" s="368"/>
    </row>
    <row r="600" spans="9:14" ht="22.8" customHeight="1">
      <c r="I600" s="365"/>
      <c r="M600" s="367"/>
      <c r="N600" s="368"/>
    </row>
    <row r="601" spans="9:14" ht="22.8" customHeight="1">
      <c r="I601" s="365"/>
      <c r="M601" s="367"/>
      <c r="N601" s="368"/>
    </row>
    <row r="602" spans="9:14" ht="22.8" customHeight="1">
      <c r="I602" s="365"/>
      <c r="M602" s="367"/>
      <c r="N602" s="368"/>
    </row>
    <row r="603" spans="9:14" ht="22.8" customHeight="1">
      <c r="I603" s="365"/>
      <c r="M603" s="367"/>
      <c r="N603" s="368"/>
    </row>
    <row r="604" spans="9:14" ht="22.8" customHeight="1">
      <c r="I604" s="365"/>
      <c r="M604" s="367"/>
      <c r="N604" s="368"/>
    </row>
    <row r="605" spans="9:14" ht="22.8" customHeight="1">
      <c r="I605" s="365"/>
      <c r="M605" s="367"/>
      <c r="N605" s="368"/>
    </row>
    <row r="606" spans="9:14" ht="22.8" customHeight="1">
      <c r="I606" s="365"/>
      <c r="M606" s="367"/>
      <c r="N606" s="368"/>
    </row>
    <row r="607" spans="9:14" ht="22.8" customHeight="1">
      <c r="I607" s="365"/>
      <c r="M607" s="367"/>
      <c r="N607" s="368"/>
    </row>
    <row r="608" spans="9:14" ht="22.8" customHeight="1">
      <c r="I608" s="365"/>
      <c r="M608" s="367"/>
      <c r="N608" s="368"/>
    </row>
    <row r="609" spans="9:14" ht="22.8" customHeight="1">
      <c r="I609" s="365"/>
      <c r="M609" s="367"/>
      <c r="N609" s="368"/>
    </row>
    <row r="610" spans="9:14" ht="22.8" customHeight="1">
      <c r="I610" s="365"/>
      <c r="M610" s="367"/>
      <c r="N610" s="368"/>
    </row>
    <row r="611" spans="9:14" ht="22.8" customHeight="1">
      <c r="I611" s="365"/>
      <c r="M611" s="367"/>
      <c r="N611" s="368"/>
    </row>
    <row r="612" spans="9:14" ht="22.8" customHeight="1">
      <c r="I612" s="365"/>
      <c r="M612" s="367"/>
      <c r="N612" s="368"/>
    </row>
    <row r="613" spans="9:14" ht="22.8" customHeight="1">
      <c r="I613" s="365"/>
      <c r="M613" s="367"/>
      <c r="N613" s="368"/>
    </row>
    <row r="614" spans="9:14" ht="22.8" customHeight="1">
      <c r="I614" s="365"/>
      <c r="M614" s="367"/>
      <c r="N614" s="368"/>
    </row>
    <row r="615" spans="9:14" ht="22.8" customHeight="1">
      <c r="I615" s="365"/>
      <c r="M615" s="367"/>
      <c r="N615" s="368"/>
    </row>
    <row r="616" spans="9:14" ht="22.8" customHeight="1">
      <c r="I616" s="365"/>
      <c r="M616" s="367"/>
      <c r="N616" s="368"/>
    </row>
    <row r="617" spans="9:14" ht="22.8" customHeight="1">
      <c r="I617" s="365"/>
      <c r="M617" s="367"/>
      <c r="N617" s="368"/>
    </row>
    <row r="618" spans="9:14" ht="22.8" customHeight="1">
      <c r="I618" s="365"/>
      <c r="M618" s="367"/>
      <c r="N618" s="368"/>
    </row>
    <row r="619" spans="9:14" ht="22.8" customHeight="1">
      <c r="I619" s="365"/>
      <c r="M619" s="367"/>
      <c r="N619" s="368"/>
    </row>
    <row r="620" spans="9:14" ht="22.8" customHeight="1">
      <c r="I620" s="365"/>
      <c r="M620" s="367"/>
      <c r="N620" s="368"/>
    </row>
    <row r="621" spans="9:14" ht="22.8" customHeight="1">
      <c r="I621" s="365"/>
      <c r="M621" s="367"/>
      <c r="N621" s="368"/>
    </row>
    <row r="622" spans="9:14" ht="22.8" customHeight="1">
      <c r="I622" s="365"/>
      <c r="M622" s="367"/>
      <c r="N622" s="368"/>
    </row>
    <row r="623" spans="9:14" ht="22.8" customHeight="1">
      <c r="I623" s="365"/>
      <c r="M623" s="367"/>
      <c r="N623" s="368"/>
    </row>
    <row r="624" spans="9:14" ht="22.8" customHeight="1">
      <c r="I624" s="365"/>
      <c r="M624" s="367"/>
      <c r="N624" s="368"/>
    </row>
    <row r="625" spans="9:14" ht="22.8" customHeight="1">
      <c r="I625" s="365"/>
      <c r="M625" s="367"/>
      <c r="N625" s="368"/>
    </row>
    <row r="626" spans="9:14" ht="22.8" customHeight="1">
      <c r="I626" s="365"/>
      <c r="M626" s="367"/>
      <c r="N626" s="368"/>
    </row>
    <row r="627" spans="9:14" ht="22.8" customHeight="1">
      <c r="I627" s="365"/>
      <c r="M627" s="367"/>
      <c r="N627" s="368"/>
    </row>
    <row r="628" spans="9:14" ht="22.8" customHeight="1">
      <c r="I628" s="365"/>
      <c r="M628" s="367"/>
      <c r="N628" s="368"/>
    </row>
    <row r="629" spans="9:14" ht="22.8" customHeight="1">
      <c r="I629" s="365"/>
      <c r="M629" s="367"/>
      <c r="N629" s="368"/>
    </row>
    <row r="630" spans="9:14" ht="22.8" customHeight="1">
      <c r="I630" s="365"/>
      <c r="M630" s="367"/>
      <c r="N630" s="368"/>
    </row>
    <row r="631" spans="9:14" ht="22.8" customHeight="1">
      <c r="I631" s="365"/>
      <c r="M631" s="367"/>
      <c r="N631" s="368"/>
    </row>
    <row r="632" spans="9:14" ht="22.8" customHeight="1">
      <c r="I632" s="365"/>
      <c r="M632" s="367"/>
      <c r="N632" s="368"/>
    </row>
    <row r="633" spans="9:14" ht="22.8" customHeight="1">
      <c r="I633" s="365"/>
      <c r="M633" s="367"/>
      <c r="N633" s="368"/>
    </row>
    <row r="634" spans="9:14" ht="22.8" customHeight="1">
      <c r="I634" s="365"/>
      <c r="M634" s="367"/>
      <c r="N634" s="368"/>
    </row>
    <row r="635" spans="9:14" ht="22.8" customHeight="1">
      <c r="I635" s="365"/>
      <c r="M635" s="367"/>
      <c r="N635" s="368"/>
    </row>
    <row r="636" spans="9:14" ht="22.8" customHeight="1">
      <c r="I636" s="365"/>
      <c r="M636" s="367"/>
      <c r="N636" s="368"/>
    </row>
    <row r="637" spans="9:14" ht="22.8" customHeight="1">
      <c r="I637" s="365"/>
      <c r="M637" s="367"/>
      <c r="N637" s="368"/>
    </row>
    <row r="638" spans="9:14" ht="22.8" customHeight="1">
      <c r="I638" s="365"/>
      <c r="M638" s="367"/>
      <c r="N638" s="368"/>
    </row>
    <row r="639" spans="9:14" ht="22.8" customHeight="1">
      <c r="I639" s="365"/>
      <c r="M639" s="367"/>
      <c r="N639" s="368"/>
    </row>
    <row r="640" spans="9:14" ht="22.8" customHeight="1">
      <c r="I640" s="365"/>
      <c r="M640" s="367"/>
      <c r="N640" s="368"/>
    </row>
    <row r="641" spans="9:14" ht="22.8" customHeight="1">
      <c r="I641" s="365"/>
      <c r="M641" s="367"/>
      <c r="N641" s="368"/>
    </row>
    <row r="642" spans="9:14" ht="22.8" customHeight="1">
      <c r="I642" s="365"/>
      <c r="M642" s="367"/>
      <c r="N642" s="368"/>
    </row>
    <row r="643" spans="9:14" ht="22.8" customHeight="1">
      <c r="I643" s="365"/>
      <c r="M643" s="367"/>
      <c r="N643" s="368"/>
    </row>
    <row r="644" spans="9:14" ht="22.8" customHeight="1">
      <c r="I644" s="365"/>
      <c r="M644" s="367"/>
      <c r="N644" s="368"/>
    </row>
    <row r="645" spans="9:14" ht="22.8" customHeight="1">
      <c r="I645" s="365"/>
      <c r="M645" s="367"/>
      <c r="N645" s="368"/>
    </row>
    <row r="646" spans="9:14" ht="22.8" customHeight="1">
      <c r="I646" s="365"/>
      <c r="M646" s="367"/>
      <c r="N646" s="368"/>
    </row>
    <row r="647" spans="9:14" ht="22.8" customHeight="1">
      <c r="I647" s="365"/>
      <c r="M647" s="367"/>
      <c r="N647" s="368"/>
    </row>
    <row r="648" spans="9:14" ht="22.8" customHeight="1">
      <c r="I648" s="365"/>
      <c r="M648" s="367"/>
      <c r="N648" s="368"/>
    </row>
    <row r="649" spans="9:14" ht="22.8" customHeight="1">
      <c r="I649" s="365"/>
      <c r="M649" s="367"/>
      <c r="N649" s="368"/>
    </row>
    <row r="650" spans="9:14" ht="22.8" customHeight="1">
      <c r="I650" s="365"/>
      <c r="M650" s="367"/>
      <c r="N650" s="368"/>
    </row>
    <row r="651" spans="9:14" ht="22.8" customHeight="1">
      <c r="I651" s="365"/>
      <c r="M651" s="367"/>
      <c r="N651" s="368"/>
    </row>
    <row r="652" spans="9:14" ht="22.8" customHeight="1">
      <c r="I652" s="365"/>
      <c r="M652" s="367"/>
      <c r="N652" s="368"/>
    </row>
    <row r="653" spans="9:14" ht="22.8" customHeight="1">
      <c r="I653" s="365"/>
      <c r="M653" s="367"/>
      <c r="N653" s="368"/>
    </row>
    <row r="654" spans="9:14" ht="22.8" customHeight="1">
      <c r="I654" s="365"/>
      <c r="M654" s="367"/>
      <c r="N654" s="368"/>
    </row>
    <row r="655" spans="9:14" ht="22.8" customHeight="1">
      <c r="I655" s="365"/>
      <c r="M655" s="367"/>
      <c r="N655" s="368"/>
    </row>
    <row r="656" spans="9:14" ht="22.8" customHeight="1">
      <c r="I656" s="365"/>
      <c r="M656" s="367"/>
      <c r="N656" s="368"/>
    </row>
    <row r="657" spans="9:14" ht="22.8" customHeight="1">
      <c r="I657" s="365"/>
      <c r="M657" s="367"/>
      <c r="N657" s="368"/>
    </row>
    <row r="658" spans="9:14" ht="22.8" customHeight="1">
      <c r="I658" s="365"/>
      <c r="M658" s="367"/>
      <c r="N658" s="368"/>
    </row>
    <row r="659" spans="9:14" ht="22.8" customHeight="1">
      <c r="I659" s="365"/>
      <c r="M659" s="367"/>
      <c r="N659" s="368"/>
    </row>
    <row r="660" spans="9:14" ht="22.8" customHeight="1">
      <c r="I660" s="365"/>
      <c r="M660" s="367"/>
      <c r="N660" s="368"/>
    </row>
    <row r="661" spans="9:14" ht="22.8" customHeight="1">
      <c r="I661" s="365"/>
      <c r="M661" s="367"/>
      <c r="N661" s="368"/>
    </row>
    <row r="662" spans="9:14" ht="22.8" customHeight="1">
      <c r="I662" s="365"/>
      <c r="M662" s="367"/>
      <c r="N662" s="368"/>
    </row>
    <row r="663" spans="9:14" ht="22.8" customHeight="1">
      <c r="I663" s="365"/>
      <c r="M663" s="367"/>
      <c r="N663" s="368"/>
    </row>
    <row r="664" spans="9:14" ht="22.8" customHeight="1">
      <c r="I664" s="365"/>
      <c r="M664" s="367"/>
      <c r="N664" s="368"/>
    </row>
    <row r="665" spans="9:14" ht="22.8" customHeight="1">
      <c r="I665" s="365"/>
      <c r="M665" s="367"/>
      <c r="N665" s="368"/>
    </row>
    <row r="666" spans="9:14" ht="22.8" customHeight="1">
      <c r="I666" s="365"/>
      <c r="M666" s="367"/>
      <c r="N666" s="368"/>
    </row>
    <row r="667" spans="9:14" ht="22.8" customHeight="1">
      <c r="I667" s="365"/>
      <c r="M667" s="367"/>
      <c r="N667" s="368"/>
    </row>
    <row r="668" spans="9:14" ht="22.8" customHeight="1">
      <c r="I668" s="365"/>
      <c r="M668" s="367"/>
      <c r="N668" s="368"/>
    </row>
    <row r="669" spans="9:14" ht="22.8" customHeight="1">
      <c r="I669" s="365"/>
      <c r="M669" s="367"/>
      <c r="N669" s="368"/>
    </row>
    <row r="670" spans="9:14" ht="22.8" customHeight="1">
      <c r="I670" s="365"/>
      <c r="M670" s="367"/>
      <c r="N670" s="368"/>
    </row>
    <row r="671" spans="9:14" ht="22.8" customHeight="1">
      <c r="I671" s="365"/>
      <c r="M671" s="367"/>
      <c r="N671" s="368"/>
    </row>
    <row r="672" spans="9:14" ht="22.8" customHeight="1">
      <c r="I672" s="365"/>
      <c r="M672" s="367"/>
      <c r="N672" s="368"/>
    </row>
    <row r="673" spans="9:14" ht="22.8" customHeight="1">
      <c r="I673" s="365"/>
      <c r="M673" s="367"/>
      <c r="N673" s="368"/>
    </row>
    <row r="674" spans="9:14" ht="22.8" customHeight="1">
      <c r="I674" s="365"/>
      <c r="M674" s="367"/>
      <c r="N674" s="368"/>
    </row>
    <row r="675" spans="9:14" ht="22.8" customHeight="1">
      <c r="I675" s="365"/>
      <c r="M675" s="367"/>
      <c r="N675" s="368"/>
    </row>
    <row r="676" spans="9:14" ht="22.8" customHeight="1">
      <c r="I676" s="365"/>
      <c r="M676" s="367"/>
      <c r="N676" s="368"/>
    </row>
    <row r="677" spans="9:14" ht="22.8" customHeight="1">
      <c r="I677" s="365"/>
      <c r="M677" s="367"/>
      <c r="N677" s="368"/>
    </row>
    <row r="678" spans="9:14" ht="22.8" customHeight="1">
      <c r="I678" s="365"/>
      <c r="M678" s="367"/>
      <c r="N678" s="368"/>
    </row>
    <row r="679" spans="9:14" ht="22.8" customHeight="1">
      <c r="I679" s="365"/>
      <c r="M679" s="367"/>
      <c r="N679" s="368"/>
    </row>
    <row r="680" spans="9:14" ht="22.8" customHeight="1">
      <c r="I680" s="365"/>
      <c r="M680" s="367"/>
      <c r="N680" s="368"/>
    </row>
    <row r="681" spans="9:14" ht="22.8" customHeight="1">
      <c r="I681" s="365"/>
      <c r="M681" s="367"/>
      <c r="N681" s="368"/>
    </row>
    <row r="682" spans="9:14" ht="22.8" customHeight="1">
      <c r="I682" s="365"/>
      <c r="M682" s="367"/>
      <c r="N682" s="368"/>
    </row>
    <row r="683" spans="9:14" ht="22.8" customHeight="1">
      <c r="I683" s="365"/>
      <c r="M683" s="367"/>
      <c r="N683" s="368"/>
    </row>
    <row r="684" spans="9:14" ht="22.8" customHeight="1">
      <c r="I684" s="365"/>
      <c r="M684" s="367"/>
      <c r="N684" s="368"/>
    </row>
    <row r="685" spans="9:14" ht="22.8" customHeight="1">
      <c r="I685" s="365"/>
      <c r="M685" s="367"/>
      <c r="N685" s="368"/>
    </row>
    <row r="686" spans="9:14" ht="22.8" customHeight="1">
      <c r="I686" s="365"/>
      <c r="M686" s="367"/>
      <c r="N686" s="368"/>
    </row>
    <row r="687" spans="9:14" ht="22.8" customHeight="1">
      <c r="I687" s="365"/>
      <c r="M687" s="367"/>
      <c r="N687" s="368"/>
    </row>
    <row r="688" spans="9:14" ht="22.8" customHeight="1">
      <c r="I688" s="365"/>
      <c r="M688" s="367"/>
      <c r="N688" s="368"/>
    </row>
    <row r="689" spans="9:14" ht="22.8" customHeight="1">
      <c r="I689" s="365"/>
      <c r="M689" s="367"/>
      <c r="N689" s="368"/>
    </row>
    <row r="690" spans="9:14" ht="22.8" customHeight="1">
      <c r="I690" s="365"/>
      <c r="M690" s="367"/>
      <c r="N690" s="368"/>
    </row>
    <row r="691" spans="9:14" ht="22.8" customHeight="1">
      <c r="I691" s="365"/>
      <c r="M691" s="367"/>
      <c r="N691" s="368"/>
    </row>
    <row r="692" spans="9:14" ht="22.8" customHeight="1">
      <c r="I692" s="365"/>
      <c r="M692" s="367"/>
      <c r="N692" s="368"/>
    </row>
    <row r="693" spans="9:14" ht="22.8" customHeight="1">
      <c r="I693" s="365"/>
      <c r="M693" s="367"/>
      <c r="N693" s="368"/>
    </row>
    <row r="694" spans="9:14" ht="22.8" customHeight="1">
      <c r="I694" s="365"/>
      <c r="M694" s="367"/>
      <c r="N694" s="368"/>
    </row>
    <row r="695" spans="9:14" ht="22.8" customHeight="1">
      <c r="I695" s="365"/>
      <c r="M695" s="367"/>
      <c r="N695" s="368"/>
    </row>
    <row r="696" spans="9:14" ht="22.8" customHeight="1">
      <c r="I696" s="365"/>
      <c r="M696" s="367"/>
      <c r="N696" s="368"/>
    </row>
    <row r="697" spans="9:14" ht="22.8" customHeight="1">
      <c r="I697" s="365"/>
      <c r="M697" s="367"/>
      <c r="N697" s="368"/>
    </row>
    <row r="698" spans="9:14" ht="22.8" customHeight="1">
      <c r="I698" s="365"/>
      <c r="M698" s="367"/>
      <c r="N698" s="368"/>
    </row>
    <row r="699" spans="9:14" ht="22.8" customHeight="1">
      <c r="I699" s="365"/>
      <c r="M699" s="367"/>
      <c r="N699" s="368"/>
    </row>
    <row r="700" spans="9:14" ht="22.8" customHeight="1">
      <c r="I700" s="365"/>
      <c r="M700" s="367"/>
      <c r="N700" s="368"/>
    </row>
    <row r="701" spans="9:14" ht="22.8" customHeight="1">
      <c r="I701" s="365"/>
      <c r="M701" s="367"/>
      <c r="N701" s="368"/>
    </row>
    <row r="702" spans="9:14" ht="22.8" customHeight="1">
      <c r="I702" s="365"/>
      <c r="M702" s="367"/>
      <c r="N702" s="368"/>
    </row>
    <row r="703" spans="9:14" ht="22.8" customHeight="1">
      <c r="I703" s="365"/>
      <c r="M703" s="367"/>
      <c r="N703" s="368"/>
    </row>
    <row r="704" spans="9:14" ht="22.8" customHeight="1">
      <c r="I704" s="365"/>
      <c r="M704" s="367"/>
      <c r="N704" s="368"/>
    </row>
    <row r="705" spans="9:14" ht="22.8" customHeight="1">
      <c r="I705" s="365"/>
      <c r="M705" s="367"/>
      <c r="N705" s="368"/>
    </row>
    <row r="706" spans="9:14" ht="22.8" customHeight="1">
      <c r="I706" s="365"/>
      <c r="M706" s="367"/>
      <c r="N706" s="368"/>
    </row>
    <row r="707" spans="9:14" ht="22.8" customHeight="1">
      <c r="I707" s="365"/>
      <c r="M707" s="367"/>
      <c r="N707" s="368"/>
    </row>
    <row r="708" spans="9:14" ht="22.8" customHeight="1">
      <c r="I708" s="365"/>
      <c r="M708" s="367"/>
      <c r="N708" s="368"/>
    </row>
    <row r="709" spans="9:14" ht="22.8" customHeight="1">
      <c r="I709" s="365"/>
      <c r="M709" s="367"/>
      <c r="N709" s="368"/>
    </row>
    <row r="710" spans="9:14" ht="22.8" customHeight="1">
      <c r="I710" s="365"/>
      <c r="M710" s="367"/>
      <c r="N710" s="368"/>
    </row>
    <row r="711" spans="9:14" ht="22.8" customHeight="1">
      <c r="I711" s="365"/>
      <c r="M711" s="367"/>
      <c r="N711" s="368"/>
    </row>
    <row r="712" spans="9:14" ht="22.8" customHeight="1">
      <c r="I712" s="365"/>
      <c r="M712" s="367"/>
      <c r="N712" s="368"/>
    </row>
    <row r="713" spans="9:14" ht="22.8" customHeight="1">
      <c r="I713" s="365"/>
      <c r="M713" s="367"/>
      <c r="N713" s="368"/>
    </row>
    <row r="714" spans="9:14" ht="22.8" customHeight="1">
      <c r="I714" s="365"/>
      <c r="M714" s="367"/>
      <c r="N714" s="368"/>
    </row>
    <row r="715" spans="9:14" ht="22.8" customHeight="1">
      <c r="I715" s="365"/>
      <c r="M715" s="367"/>
      <c r="N715" s="368"/>
    </row>
    <row r="716" spans="9:14" ht="22.8" customHeight="1">
      <c r="I716" s="365"/>
      <c r="M716" s="367"/>
      <c r="N716" s="368"/>
    </row>
    <row r="717" spans="9:14" ht="22.8" customHeight="1">
      <c r="I717" s="365"/>
      <c r="M717" s="367"/>
      <c r="N717" s="368"/>
    </row>
    <row r="718" spans="9:14" ht="22.8" customHeight="1">
      <c r="I718" s="365"/>
      <c r="M718" s="367"/>
      <c r="N718" s="368"/>
    </row>
    <row r="719" spans="9:14" ht="22.8" customHeight="1">
      <c r="I719" s="365"/>
      <c r="M719" s="367"/>
      <c r="N719" s="368"/>
    </row>
    <row r="720" spans="9:14" ht="22.8" customHeight="1">
      <c r="I720" s="365"/>
      <c r="M720" s="367"/>
      <c r="N720" s="368"/>
    </row>
    <row r="721" spans="9:14" ht="22.8" customHeight="1">
      <c r="I721" s="365"/>
      <c r="M721" s="367"/>
      <c r="N721" s="368"/>
    </row>
    <row r="722" spans="9:14" ht="22.8" customHeight="1">
      <c r="I722" s="365"/>
      <c r="M722" s="367"/>
      <c r="N722" s="368"/>
    </row>
    <row r="723" spans="9:14" ht="22.8" customHeight="1">
      <c r="I723" s="365"/>
      <c r="M723" s="367"/>
      <c r="N723" s="368"/>
    </row>
    <row r="724" spans="9:14" ht="22.8" customHeight="1">
      <c r="I724" s="365"/>
      <c r="M724" s="367"/>
      <c r="N724" s="368"/>
    </row>
    <row r="725" spans="9:14" ht="22.8" customHeight="1">
      <c r="I725" s="365"/>
      <c r="M725" s="367"/>
      <c r="N725" s="368"/>
    </row>
    <row r="726" spans="9:14" ht="22.8" customHeight="1">
      <c r="I726" s="365"/>
      <c r="M726" s="367"/>
      <c r="N726" s="368"/>
    </row>
    <row r="727" spans="9:14" ht="22.8" customHeight="1"/>
    <row r="728" spans="9:14" ht="22.8" customHeight="1"/>
    <row r="729" spans="9:14" ht="22.8" customHeight="1"/>
    <row r="730" spans="9:14" ht="22.8" customHeight="1"/>
    <row r="731" spans="9:14" ht="22.8" customHeight="1"/>
    <row r="732" spans="9:14" ht="22.8" customHeight="1"/>
    <row r="733" spans="9:14" ht="22.8" customHeight="1"/>
    <row r="734" spans="9:14" ht="22.8" customHeight="1"/>
    <row r="735" spans="9:14" ht="22.8" customHeight="1"/>
    <row r="736" spans="9:14" ht="22.8" customHeight="1"/>
    <row r="737" ht="22.8" customHeight="1"/>
    <row r="738" ht="22.8" customHeight="1"/>
    <row r="739" ht="22.8" customHeight="1"/>
    <row r="740" ht="22.8" customHeight="1"/>
    <row r="741" ht="22.8" customHeight="1"/>
    <row r="742" ht="22.8" customHeight="1"/>
    <row r="743" ht="22.8" customHeight="1"/>
    <row r="744" ht="22.8" customHeight="1"/>
    <row r="745" ht="22.8" customHeight="1"/>
    <row r="746" ht="22.8" customHeight="1"/>
    <row r="747" ht="22.8" customHeight="1"/>
    <row r="748" ht="22.8" customHeight="1"/>
    <row r="749" ht="22.8" customHeight="1"/>
    <row r="750" ht="22.8" customHeight="1"/>
    <row r="751" ht="22.8" customHeight="1"/>
    <row r="752" ht="22.8" customHeight="1"/>
    <row r="753" ht="22.8" customHeight="1"/>
    <row r="754" ht="22.8" customHeight="1"/>
    <row r="755" ht="22.8" customHeight="1"/>
    <row r="756" ht="22.8" customHeight="1"/>
    <row r="757" ht="22.8" customHeight="1"/>
    <row r="758" ht="22.8" customHeight="1"/>
    <row r="759" ht="22.8" customHeight="1"/>
    <row r="760" ht="22.8" customHeight="1"/>
    <row r="761" ht="22.8" customHeight="1"/>
    <row r="762" ht="22.8" customHeight="1"/>
    <row r="763" ht="22.8" customHeight="1"/>
    <row r="764" ht="22.8" customHeight="1"/>
    <row r="765" ht="22.8" customHeight="1"/>
    <row r="766" ht="22.8" customHeight="1"/>
    <row r="767" ht="22.8" customHeight="1"/>
    <row r="768" ht="22.8" customHeight="1"/>
    <row r="769" ht="22.8" customHeight="1"/>
    <row r="770" ht="22.8" customHeight="1"/>
    <row r="771" ht="22.8" customHeight="1"/>
    <row r="772" ht="22.8" customHeight="1"/>
    <row r="773" ht="22.8" customHeight="1"/>
    <row r="774" ht="22.8" customHeight="1"/>
    <row r="775" ht="22.8" customHeight="1"/>
    <row r="776" ht="22.8" customHeight="1"/>
    <row r="777" ht="22.8" customHeight="1"/>
    <row r="778" ht="22.8" customHeight="1"/>
    <row r="779" ht="22.8" customHeight="1"/>
    <row r="780" ht="22.8" customHeight="1"/>
    <row r="781" ht="22.8" customHeight="1"/>
    <row r="782" ht="22.8" customHeight="1"/>
    <row r="783" ht="22.8" customHeight="1"/>
    <row r="784" ht="22.8" customHeight="1"/>
    <row r="785" ht="22.8" customHeight="1"/>
    <row r="786" ht="22.8" customHeight="1"/>
    <row r="787" ht="22.8" customHeight="1"/>
    <row r="788" ht="22.8" customHeight="1"/>
    <row r="789" ht="22.8" customHeight="1"/>
    <row r="790" ht="22.8" customHeight="1"/>
    <row r="791" ht="22.8" customHeight="1"/>
    <row r="792" ht="22.8" customHeight="1"/>
    <row r="793" ht="22.8" customHeight="1"/>
    <row r="794" ht="22.8" customHeight="1"/>
    <row r="795" ht="22.8" customHeight="1"/>
    <row r="796" ht="22.8" customHeight="1"/>
    <row r="797" ht="22.8" customHeight="1"/>
    <row r="798" ht="22.8" customHeight="1"/>
    <row r="799" ht="22.8" customHeight="1"/>
    <row r="800" ht="22.8" customHeight="1"/>
    <row r="801" ht="22.8" customHeight="1"/>
    <row r="802" ht="22.8" customHeight="1"/>
    <row r="803" ht="22.8" customHeight="1"/>
    <row r="804" ht="22.8" customHeight="1"/>
    <row r="805" ht="22.8" customHeight="1"/>
    <row r="806" ht="22.8" customHeight="1"/>
    <row r="807" ht="22.8" customHeight="1"/>
    <row r="808" ht="22.8" customHeight="1"/>
    <row r="809" ht="22.8" customHeight="1"/>
    <row r="810" ht="22.8" customHeight="1"/>
    <row r="811" ht="22.8" customHeight="1"/>
    <row r="812" ht="22.8" customHeight="1"/>
    <row r="813" ht="22.8" customHeight="1"/>
    <row r="814" ht="22.8" customHeight="1"/>
    <row r="815" ht="22.8" customHeight="1"/>
    <row r="816" ht="22.8" customHeight="1"/>
    <row r="817" ht="22.8" customHeight="1"/>
    <row r="818" ht="22.8" customHeight="1"/>
    <row r="819" ht="22.8" customHeight="1"/>
    <row r="820" ht="22.8" customHeight="1"/>
    <row r="821" ht="22.8" customHeight="1"/>
    <row r="822" ht="22.8" customHeight="1"/>
    <row r="823" ht="22.8" customHeight="1"/>
    <row r="824" ht="22.8" customHeight="1"/>
    <row r="825" ht="22.8" customHeight="1"/>
    <row r="826" ht="22.8" customHeight="1"/>
    <row r="827" ht="22.8" customHeight="1"/>
    <row r="828" ht="22.8" customHeight="1"/>
    <row r="829" ht="22.8" customHeight="1"/>
    <row r="830" ht="22.8" customHeight="1"/>
    <row r="831" ht="22.8" customHeight="1"/>
    <row r="832" ht="22.8" customHeight="1"/>
    <row r="833" ht="22.8" customHeight="1"/>
    <row r="834" ht="22.8" customHeight="1"/>
    <row r="835" ht="22.8" customHeight="1"/>
    <row r="836" ht="22.8" customHeight="1"/>
    <row r="837" ht="22.8" customHeight="1"/>
    <row r="838" ht="22.8" customHeight="1"/>
    <row r="839" ht="22.8" customHeight="1"/>
    <row r="840" ht="22.8" customHeight="1"/>
    <row r="841" ht="22.8" customHeight="1"/>
    <row r="842" ht="22.8" customHeight="1"/>
    <row r="843" ht="22.8" customHeight="1"/>
    <row r="844" ht="22.8" customHeight="1"/>
    <row r="845" ht="22.8" customHeight="1"/>
    <row r="846" ht="22.8" customHeight="1"/>
    <row r="847" ht="22.8" customHeight="1"/>
  </sheetData>
  <dataConsolidate/>
  <mergeCells count="14">
    <mergeCell ref="H2:H3"/>
    <mergeCell ref="N2:N3"/>
    <mergeCell ref="A1:E1"/>
    <mergeCell ref="G1:O1"/>
    <mergeCell ref="J2:J3"/>
    <mergeCell ref="L2:L3"/>
    <mergeCell ref="M2:M3"/>
    <mergeCell ref="I2:I3"/>
    <mergeCell ref="A2:A3"/>
    <mergeCell ref="C2:C3"/>
    <mergeCell ref="D2:D3"/>
    <mergeCell ref="B2:B3"/>
    <mergeCell ref="G2:G3"/>
    <mergeCell ref="K2:K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1B4F2-1141-42E5-B2A8-53308C87A127}">
  <dimension ref="A1:AM51"/>
  <sheetViews>
    <sheetView zoomScaleNormal="100" workbookViewId="0">
      <pane ySplit="1" topLeftCell="A2" activePane="bottomLeft" state="frozen"/>
      <selection pane="bottomLeft" activeCell="L11" sqref="L11"/>
    </sheetView>
  </sheetViews>
  <sheetFormatPr defaultColWidth="10.6328125" defaultRowHeight="18"/>
  <cols>
    <col min="1" max="1" width="3" style="376" customWidth="1"/>
    <col min="2" max="2" width="2.90625" style="69" customWidth="1"/>
    <col min="3" max="4" width="7" style="69" customWidth="1"/>
    <col min="5" max="5" width="12" style="69" customWidth="1"/>
    <col min="6" max="6" width="10" style="69" customWidth="1"/>
    <col min="7" max="7" width="11.08984375" style="69" customWidth="1"/>
    <col min="8" max="8" width="5.81640625" style="69" customWidth="1"/>
    <col min="9" max="9" width="11.7265625" style="69" customWidth="1"/>
    <col min="10" max="10" width="2.90625" style="69" customWidth="1"/>
    <col min="11" max="15" width="11.90625" style="69" customWidth="1"/>
    <col min="16" max="16" width="10.54296875" style="69" customWidth="1"/>
    <col min="17" max="17" width="3" style="69" customWidth="1"/>
    <col min="18" max="24" width="8.26953125" style="69" customWidth="1"/>
    <col min="25" max="25" width="7.54296875" style="69" customWidth="1"/>
    <col min="26" max="26" width="4.54296875" style="69" customWidth="1"/>
    <col min="27" max="27" width="13.1796875" style="69" customWidth="1"/>
    <col min="28" max="28" width="13.1796875" style="296" customWidth="1"/>
    <col min="29" max="29" width="5.81640625" style="297" customWidth="1"/>
    <col min="30" max="30" width="13.1796875" style="69" customWidth="1"/>
    <col min="31" max="31" width="13.81640625" style="296" customWidth="1"/>
    <col min="32" max="32" width="4.90625" style="297" customWidth="1"/>
    <col min="33" max="33" width="7.7265625" style="296" customWidth="1"/>
    <col min="34" max="34" width="14.6328125" style="69" customWidth="1"/>
    <col min="35" max="35" width="10.36328125" style="69" customWidth="1"/>
    <col min="36" max="36" width="11.453125" style="69" customWidth="1"/>
    <col min="37" max="37" width="21" style="69" customWidth="1"/>
    <col min="38" max="16384" width="10.6328125" style="69"/>
  </cols>
  <sheetData>
    <row r="1" spans="1:37" ht="38.25" customHeight="1" thickTop="1" thickBot="1">
      <c r="A1" s="475" t="s">
        <v>0</v>
      </c>
      <c r="B1" s="475"/>
      <c r="C1" s="755" t="s">
        <v>456</v>
      </c>
      <c r="D1" s="756"/>
      <c r="E1" s="757"/>
      <c r="F1" s="62" t="s">
        <v>457</v>
      </c>
      <c r="G1" s="62" t="s">
        <v>67</v>
      </c>
      <c r="H1" s="62" t="s">
        <v>267</v>
      </c>
      <c r="I1" s="220" t="s">
        <v>464</v>
      </c>
      <c r="J1" s="710"/>
      <c r="K1" s="338" t="s">
        <v>705</v>
      </c>
      <c r="L1" s="338" t="s">
        <v>741</v>
      </c>
      <c r="M1" s="338" t="s">
        <v>707</v>
      </c>
      <c r="N1" s="338" t="s">
        <v>708</v>
      </c>
      <c r="O1" s="338" t="s">
        <v>710</v>
      </c>
      <c r="P1" s="338" t="s">
        <v>742</v>
      </c>
      <c r="Q1" s="675"/>
      <c r="R1" s="723" t="s">
        <v>972</v>
      </c>
      <c r="S1" s="723"/>
      <c r="T1" s="723"/>
      <c r="U1" s="723"/>
      <c r="V1" s="723"/>
      <c r="W1" s="723"/>
      <c r="X1" s="723"/>
      <c r="Y1" s="723"/>
      <c r="Z1" s="733"/>
      <c r="AA1" s="676" t="s">
        <v>718</v>
      </c>
      <c r="AB1" s="677"/>
      <c r="AC1" s="677"/>
      <c r="AD1" s="677"/>
      <c r="AE1" s="677"/>
      <c r="AF1" s="678"/>
      <c r="AG1" s="281"/>
      <c r="AH1" s="631" t="s">
        <v>642</v>
      </c>
      <c r="AI1" s="632"/>
      <c r="AJ1" s="632"/>
      <c r="AK1" s="632"/>
    </row>
    <row r="2" spans="1:37" ht="30.9" customHeight="1" thickTop="1" thickBot="1">
      <c r="A2" s="373">
        <v>46143</v>
      </c>
      <c r="B2" s="377" t="s">
        <v>55</v>
      </c>
      <c r="C2" s="380">
        <v>708728</v>
      </c>
      <c r="D2" s="380">
        <v>157180</v>
      </c>
      <c r="E2" s="381">
        <f>SUM(D2,C2)</f>
        <v>865908</v>
      </c>
      <c r="F2" s="183">
        <v>552301</v>
      </c>
      <c r="G2" s="183">
        <f>E2-F2</f>
        <v>313607</v>
      </c>
      <c r="H2" s="183">
        <v>-221</v>
      </c>
      <c r="I2" s="221">
        <f>G2+H2</f>
        <v>313386</v>
      </c>
      <c r="J2" s="710"/>
      <c r="K2" s="339">
        <f t="shared" ref="K2:K33" si="0">F2-SUM(L2:P2)</f>
        <v>540911</v>
      </c>
      <c r="L2" s="339">
        <v>5000</v>
      </c>
      <c r="M2" s="339"/>
      <c r="N2" s="339"/>
      <c r="O2" s="339">
        <f>5630+400+40+320</f>
        <v>6390</v>
      </c>
      <c r="P2" s="339"/>
      <c r="Q2" s="675"/>
      <c r="R2" s="709" t="s">
        <v>801</v>
      </c>
      <c r="S2" s="709"/>
      <c r="T2" s="709"/>
      <c r="U2" s="709"/>
      <c r="V2" s="709"/>
      <c r="W2" s="709"/>
      <c r="X2" s="709"/>
      <c r="Y2" s="709"/>
      <c r="Z2" s="733"/>
      <c r="AA2" s="734" t="s">
        <v>711</v>
      </c>
      <c r="AB2" s="725"/>
      <c r="AC2" s="726"/>
      <c r="AD2" s="346">
        <f>AE13+AB13</f>
        <v>15878840</v>
      </c>
      <c r="AE2" s="681">
        <f>AC13+AF13</f>
        <v>0.88452422405877762</v>
      </c>
      <c r="AF2" s="682"/>
      <c r="AG2" s="81"/>
      <c r="AH2" s="627" t="s">
        <v>638</v>
      </c>
      <c r="AI2" s="628"/>
      <c r="AJ2" s="628"/>
      <c r="AK2" s="628"/>
    </row>
    <row r="3" spans="1:37" ht="30.9" customHeight="1" thickTop="1" thickBot="1">
      <c r="A3" s="373">
        <v>46144</v>
      </c>
      <c r="B3" s="378" t="s">
        <v>57</v>
      </c>
      <c r="C3" s="380">
        <v>562214</v>
      </c>
      <c r="D3" s="380">
        <v>109939</v>
      </c>
      <c r="E3" s="381">
        <f t="shared" ref="E3:E32" si="1">SUM(D3,C3)</f>
        <v>672153</v>
      </c>
      <c r="F3" s="183">
        <v>399657</v>
      </c>
      <c r="G3" s="183">
        <f t="shared" ref="G3:G33" si="2">E3-F3</f>
        <v>272496</v>
      </c>
      <c r="H3" s="183">
        <v>-147</v>
      </c>
      <c r="I3" s="221">
        <f>I2+G3+H3</f>
        <v>585735</v>
      </c>
      <c r="J3" s="710"/>
      <c r="K3" s="339">
        <f t="shared" si="0"/>
        <v>399657</v>
      </c>
      <c r="L3" s="339"/>
      <c r="M3" s="339"/>
      <c r="N3" s="339"/>
      <c r="O3" s="339"/>
      <c r="P3" s="339"/>
      <c r="Q3" s="675"/>
      <c r="R3" s="725" t="s">
        <v>769</v>
      </c>
      <c r="S3" s="726"/>
      <c r="T3" s="222" t="s">
        <v>251</v>
      </c>
      <c r="U3" s="222" t="s">
        <v>252</v>
      </c>
      <c r="V3" s="222" t="s">
        <v>449</v>
      </c>
      <c r="W3" s="659" t="s">
        <v>773</v>
      </c>
      <c r="X3" s="724"/>
      <c r="Y3" s="724"/>
      <c r="Z3" s="733"/>
      <c r="AA3" s="713" t="s">
        <v>713</v>
      </c>
      <c r="AB3" s="714"/>
      <c r="AC3" s="714"/>
      <c r="AD3" s="715" t="s">
        <v>712</v>
      </c>
      <c r="AE3" s="715"/>
      <c r="AF3" s="716"/>
      <c r="AG3" s="81"/>
      <c r="AH3" s="246"/>
      <c r="AI3" s="247"/>
      <c r="AJ3" s="247"/>
      <c r="AK3" s="247"/>
    </row>
    <row r="4" spans="1:37" ht="30.9" customHeight="1" thickTop="1" thickBot="1">
      <c r="A4" s="373">
        <v>46145</v>
      </c>
      <c r="B4" s="378" t="s">
        <v>59</v>
      </c>
      <c r="C4" s="380">
        <v>354929</v>
      </c>
      <c r="D4" s="380">
        <v>94647</v>
      </c>
      <c r="E4" s="381">
        <f t="shared" si="1"/>
        <v>449576</v>
      </c>
      <c r="F4" s="183">
        <v>466370</v>
      </c>
      <c r="G4" s="183">
        <f t="shared" si="2"/>
        <v>-16794</v>
      </c>
      <c r="H4" s="183">
        <v>-214</v>
      </c>
      <c r="I4" s="221">
        <f t="shared" ref="I4:I33" si="3">I3+G4+H4</f>
        <v>568727</v>
      </c>
      <c r="J4" s="710"/>
      <c r="K4" s="339">
        <f t="shared" si="0"/>
        <v>460180</v>
      </c>
      <c r="L4" s="339"/>
      <c r="M4" s="339"/>
      <c r="N4" s="339"/>
      <c r="O4" s="339">
        <f>5630+560</f>
        <v>6190</v>
      </c>
      <c r="P4" s="339"/>
      <c r="Q4" s="675"/>
      <c r="R4" s="727">
        <f>E34</f>
        <v>17951843</v>
      </c>
      <c r="S4" s="728"/>
      <c r="T4" s="224">
        <v>0</v>
      </c>
      <c r="U4" s="224">
        <v>4936655</v>
      </c>
      <c r="V4" s="224">
        <f>-H34</f>
        <v>5060</v>
      </c>
      <c r="W4" s="224">
        <v>52426</v>
      </c>
      <c r="X4" s="306"/>
      <c r="Y4" s="306"/>
      <c r="Z4" s="733"/>
      <c r="AA4" s="319" t="s">
        <v>714</v>
      </c>
      <c r="AB4" s="243">
        <f>192550+60165</f>
        <v>252715</v>
      </c>
      <c r="AC4" s="312">
        <f>AB4/$R$4</f>
        <v>1.4077384700835452E-2</v>
      </c>
      <c r="AD4" s="328" t="s">
        <v>719</v>
      </c>
      <c r="AE4" s="243">
        <f>S8</f>
        <v>1100200</v>
      </c>
      <c r="AF4" s="313">
        <f>AE4/$R$4</f>
        <v>6.128618660490736E-2</v>
      </c>
      <c r="AH4" s="249"/>
      <c r="AI4" s="250"/>
      <c r="AJ4" s="250"/>
      <c r="AK4" s="250"/>
    </row>
    <row r="5" spans="1:37" ht="30.9" customHeight="1" thickTop="1" thickBot="1">
      <c r="A5" s="373">
        <v>46146</v>
      </c>
      <c r="B5" s="377" t="s">
        <v>61</v>
      </c>
      <c r="C5" s="380">
        <v>476189</v>
      </c>
      <c r="D5" s="380">
        <v>143207</v>
      </c>
      <c r="E5" s="381">
        <f t="shared" si="1"/>
        <v>619396</v>
      </c>
      <c r="F5" s="183">
        <v>0</v>
      </c>
      <c r="G5" s="183">
        <f t="shared" si="2"/>
        <v>619396</v>
      </c>
      <c r="H5" s="183">
        <v>-241</v>
      </c>
      <c r="I5" s="221">
        <f t="shared" si="3"/>
        <v>1187882</v>
      </c>
      <c r="J5" s="710"/>
      <c r="K5" s="339">
        <f t="shared" si="0"/>
        <v>0</v>
      </c>
      <c r="L5" s="339"/>
      <c r="M5" s="339"/>
      <c r="N5" s="339"/>
      <c r="O5" s="339"/>
      <c r="P5" s="339"/>
      <c r="Q5" s="675"/>
      <c r="R5" s="729"/>
      <c r="S5" s="730"/>
      <c r="T5" s="225">
        <f>T4/R4</f>
        <v>0</v>
      </c>
      <c r="U5" s="225">
        <f>U4/R4</f>
        <v>0.27499432788042988</v>
      </c>
      <c r="V5" s="226">
        <f>V4/R4</f>
        <v>2.8186521016254434E-4</v>
      </c>
      <c r="W5" s="226">
        <f>W4/R4</f>
        <v>2.920368677466709E-3</v>
      </c>
      <c r="X5" s="307"/>
      <c r="Y5" s="307"/>
      <c r="Z5" s="733"/>
      <c r="AA5" s="319" t="s">
        <v>715</v>
      </c>
      <c r="AB5" s="243">
        <v>26055</v>
      </c>
      <c r="AC5" s="312">
        <f t="shared" ref="AC5:AC12" si="4">AB5/$R$4</f>
        <v>1.4513830139891487E-3</v>
      </c>
      <c r="AD5" s="328" t="s">
        <v>720</v>
      </c>
      <c r="AE5" s="243">
        <f>SUM(R14:Y14)</f>
        <v>0</v>
      </c>
      <c r="AF5" s="313">
        <f t="shared" ref="AF5:AF12" si="5">AE5/$R$4</f>
        <v>0</v>
      </c>
      <c r="AH5" s="654" t="s">
        <v>639</v>
      </c>
      <c r="AI5" s="655"/>
      <c r="AJ5" s="655"/>
      <c r="AK5" s="655"/>
    </row>
    <row r="6" spans="1:37" ht="30.9" customHeight="1" thickTop="1" thickBot="1">
      <c r="A6" s="373">
        <v>46147</v>
      </c>
      <c r="B6" s="379" t="s">
        <v>63</v>
      </c>
      <c r="C6" s="380">
        <v>514143</v>
      </c>
      <c r="D6" s="380">
        <v>0</v>
      </c>
      <c r="E6" s="381">
        <f t="shared" si="1"/>
        <v>514143</v>
      </c>
      <c r="F6" s="183">
        <v>924908</v>
      </c>
      <c r="G6" s="183">
        <f t="shared" si="2"/>
        <v>-410765</v>
      </c>
      <c r="H6" s="183">
        <v>0</v>
      </c>
      <c r="I6" s="221">
        <f t="shared" si="3"/>
        <v>777117</v>
      </c>
      <c r="J6" s="710"/>
      <c r="K6" s="339">
        <f t="shared" si="0"/>
        <v>830523</v>
      </c>
      <c r="L6" s="339">
        <v>5000</v>
      </c>
      <c r="M6" s="339">
        <v>10809</v>
      </c>
      <c r="N6" s="339"/>
      <c r="O6" s="339">
        <v>78576</v>
      </c>
      <c r="P6" s="339"/>
      <c r="Q6" s="675"/>
      <c r="R6" s="702" t="s">
        <v>250</v>
      </c>
      <c r="S6" s="702"/>
      <c r="T6" s="702"/>
      <c r="U6" s="702"/>
      <c r="V6" s="702"/>
      <c r="W6" s="702"/>
      <c r="X6" s="702"/>
      <c r="Y6" s="702"/>
      <c r="Z6" s="733"/>
      <c r="AA6" s="319" t="s">
        <v>716</v>
      </c>
      <c r="AB6" s="243">
        <v>6080</v>
      </c>
      <c r="AC6" s="312">
        <f t="shared" si="4"/>
        <v>3.3868388889096235E-4</v>
      </c>
      <c r="AD6" s="328" t="s">
        <v>721</v>
      </c>
      <c r="AE6" s="243">
        <v>72801</v>
      </c>
      <c r="AF6" s="313">
        <f t="shared" si="5"/>
        <v>4.0553496373603535E-3</v>
      </c>
      <c r="AH6" s="650" t="s">
        <v>231</v>
      </c>
      <c r="AI6" s="650"/>
      <c r="AJ6" s="490"/>
      <c r="AK6" s="490"/>
    </row>
    <row r="7" spans="1:37" ht="30.9" customHeight="1" thickTop="1" thickBot="1">
      <c r="A7" s="373">
        <v>46148</v>
      </c>
      <c r="B7" s="377" t="s">
        <v>65</v>
      </c>
      <c r="C7" s="380">
        <v>349696</v>
      </c>
      <c r="D7" s="380">
        <v>145465</v>
      </c>
      <c r="E7" s="381">
        <f t="shared" si="1"/>
        <v>495161</v>
      </c>
      <c r="F7" s="183">
        <v>465465</v>
      </c>
      <c r="G7" s="183">
        <f t="shared" si="2"/>
        <v>29696</v>
      </c>
      <c r="H7" s="183">
        <v>-544</v>
      </c>
      <c r="I7" s="221">
        <f t="shared" si="3"/>
        <v>806269</v>
      </c>
      <c r="J7" s="710"/>
      <c r="K7" s="339">
        <f t="shared" si="0"/>
        <v>447513</v>
      </c>
      <c r="L7" s="339"/>
      <c r="M7" s="339">
        <v>6832</v>
      </c>
      <c r="N7" s="339"/>
      <c r="O7" s="339">
        <f>10800+320</f>
        <v>11120</v>
      </c>
      <c r="P7" s="339"/>
      <c r="Q7" s="675"/>
      <c r="R7" s="329" t="s">
        <v>705</v>
      </c>
      <c r="S7" s="290" t="s">
        <v>253</v>
      </c>
      <c r="T7" s="288" t="s">
        <v>624</v>
      </c>
      <c r="U7" s="222"/>
      <c r="V7" s="703" t="s">
        <v>247</v>
      </c>
      <c r="W7" s="704"/>
      <c r="X7" s="704"/>
      <c r="Y7" s="704"/>
      <c r="Z7" s="733"/>
      <c r="AA7" s="319" t="s">
        <v>717</v>
      </c>
      <c r="AB7" s="243">
        <f>U19</f>
        <v>46990</v>
      </c>
      <c r="AC7" s="312">
        <f t="shared" si="4"/>
        <v>2.6175585425964342E-3</v>
      </c>
      <c r="AD7" s="328" t="s">
        <v>722</v>
      </c>
      <c r="AE7" s="243">
        <v>3407</v>
      </c>
      <c r="AF7" s="313">
        <f t="shared" si="5"/>
        <v>1.8978552787031393E-4</v>
      </c>
      <c r="AH7" s="384" t="s">
        <v>640</v>
      </c>
      <c r="AI7" s="382">
        <v>300000</v>
      </c>
    </row>
    <row r="8" spans="1:37" ht="30.9" customHeight="1" thickTop="1" thickBot="1">
      <c r="A8" s="373">
        <v>46149</v>
      </c>
      <c r="B8" s="377" t="s">
        <v>54</v>
      </c>
      <c r="C8" s="380">
        <v>347501</v>
      </c>
      <c r="D8" s="380">
        <v>47357</v>
      </c>
      <c r="E8" s="381">
        <f t="shared" si="1"/>
        <v>394858</v>
      </c>
      <c r="F8" s="183">
        <v>597957</v>
      </c>
      <c r="G8" s="183">
        <f t="shared" si="2"/>
        <v>-203099</v>
      </c>
      <c r="H8" s="183">
        <v>-147</v>
      </c>
      <c r="I8" s="221">
        <f t="shared" si="3"/>
        <v>603023</v>
      </c>
      <c r="J8" s="710"/>
      <c r="K8" s="339">
        <f t="shared" si="0"/>
        <v>543248</v>
      </c>
      <c r="L8" s="339">
        <v>4708</v>
      </c>
      <c r="M8" s="339"/>
      <c r="N8" s="339"/>
      <c r="O8" s="339">
        <f>1120+10000+5630+220+330+883+31818</f>
        <v>50001</v>
      </c>
      <c r="P8" s="339"/>
      <c r="Q8" s="675"/>
      <c r="R8" s="330">
        <f>F34</f>
        <v>14259610</v>
      </c>
      <c r="S8" s="291">
        <f>U16</f>
        <v>1100200</v>
      </c>
      <c r="T8" s="289">
        <f>W19</f>
        <v>555877</v>
      </c>
      <c r="U8" s="229"/>
      <c r="V8" s="705">
        <f>SUM(R8:U8)</f>
        <v>15915687</v>
      </c>
      <c r="W8" s="706"/>
      <c r="X8" s="706"/>
      <c r="Y8" s="706"/>
      <c r="Z8" s="733"/>
      <c r="AA8" s="319" t="s">
        <v>723</v>
      </c>
      <c r="AB8" s="243">
        <v>5500</v>
      </c>
      <c r="AC8" s="312">
        <f t="shared" si="4"/>
        <v>3.0637522843754818E-4</v>
      </c>
      <c r="AD8" s="328" t="s">
        <v>708</v>
      </c>
      <c r="AE8" s="243">
        <f>N34</f>
        <v>0</v>
      </c>
      <c r="AF8" s="313">
        <f t="shared" si="5"/>
        <v>0</v>
      </c>
      <c r="AH8" s="384" t="s">
        <v>641</v>
      </c>
      <c r="AI8" s="382">
        <v>55000</v>
      </c>
    </row>
    <row r="9" spans="1:37" ht="30.9" customHeight="1" thickTop="1" thickBot="1">
      <c r="A9" s="373">
        <v>46150</v>
      </c>
      <c r="B9" s="377" t="s">
        <v>55</v>
      </c>
      <c r="C9" s="380">
        <v>590160</v>
      </c>
      <c r="D9" s="380">
        <v>72163</v>
      </c>
      <c r="E9" s="381">
        <f t="shared" si="1"/>
        <v>662323</v>
      </c>
      <c r="F9" s="183">
        <v>227486</v>
      </c>
      <c r="G9" s="183">
        <f t="shared" si="2"/>
        <v>434837</v>
      </c>
      <c r="H9" s="183">
        <v>0</v>
      </c>
      <c r="I9" s="221">
        <f t="shared" si="3"/>
        <v>1037860</v>
      </c>
      <c r="J9" s="710"/>
      <c r="K9" s="339">
        <f t="shared" si="0"/>
        <v>216317</v>
      </c>
      <c r="L9" s="339">
        <v>4299</v>
      </c>
      <c r="M9" s="339"/>
      <c r="N9" s="339"/>
      <c r="O9" s="339">
        <f>160+600+3300+2810</f>
        <v>6870</v>
      </c>
      <c r="P9" s="339"/>
      <c r="Q9" s="675"/>
      <c r="R9" s="331" t="s">
        <v>266</v>
      </c>
      <c r="S9" s="731">
        <f>R4-V8-W4-V4</f>
        <v>1978670</v>
      </c>
      <c r="T9" s="732"/>
      <c r="U9" s="732"/>
      <c r="V9" s="732"/>
      <c r="W9" s="732"/>
      <c r="X9" s="732"/>
      <c r="Y9" s="732"/>
      <c r="Z9" s="733"/>
      <c r="AA9" s="319" t="s">
        <v>724</v>
      </c>
      <c r="AB9" s="243">
        <v>0</v>
      </c>
      <c r="AC9" s="312">
        <f t="shared" si="4"/>
        <v>0</v>
      </c>
      <c r="AD9" s="328" t="s">
        <v>707</v>
      </c>
      <c r="AE9" s="243">
        <f>M34</f>
        <v>78597</v>
      </c>
      <c r="AF9" s="313">
        <f t="shared" si="5"/>
        <v>4.3782134235465404E-3</v>
      </c>
      <c r="AH9" s="385" t="s">
        <v>495</v>
      </c>
      <c r="AI9" s="382">
        <v>35000</v>
      </c>
    </row>
    <row r="10" spans="1:37" ht="30.9" customHeight="1" thickTop="1" thickBot="1">
      <c r="A10" s="373">
        <v>46151</v>
      </c>
      <c r="B10" s="378" t="s">
        <v>57</v>
      </c>
      <c r="C10" s="380">
        <v>715081</v>
      </c>
      <c r="D10" s="380">
        <v>247657</v>
      </c>
      <c r="E10" s="381">
        <f t="shared" si="1"/>
        <v>962738</v>
      </c>
      <c r="F10" s="183">
        <v>208489</v>
      </c>
      <c r="G10" s="183">
        <f t="shared" si="2"/>
        <v>754249</v>
      </c>
      <c r="H10" s="183">
        <v>-417</v>
      </c>
      <c r="I10" s="221">
        <f t="shared" si="3"/>
        <v>1791692</v>
      </c>
      <c r="J10" s="710"/>
      <c r="K10" s="339">
        <f t="shared" si="0"/>
        <v>208169</v>
      </c>
      <c r="L10" s="339"/>
      <c r="M10" s="339"/>
      <c r="N10" s="339"/>
      <c r="O10" s="339">
        <v>320</v>
      </c>
      <c r="P10" s="339"/>
      <c r="Q10" s="675"/>
      <c r="R10" s="708" t="s">
        <v>257</v>
      </c>
      <c r="S10" s="708"/>
      <c r="T10" s="708"/>
      <c r="U10" s="708"/>
      <c r="V10" s="708"/>
      <c r="W10" s="708"/>
      <c r="X10" s="708"/>
      <c r="Y10" s="708"/>
      <c r="Z10" s="733"/>
      <c r="AA10" s="319" t="s">
        <v>743</v>
      </c>
      <c r="AB10" s="243">
        <v>0</v>
      </c>
      <c r="AC10" s="312">
        <f t="shared" si="4"/>
        <v>0</v>
      </c>
      <c r="AD10" s="328" t="s">
        <v>706</v>
      </c>
      <c r="AE10" s="243">
        <f>L34</f>
        <v>74789</v>
      </c>
      <c r="AF10" s="313">
        <f t="shared" si="5"/>
        <v>4.16609035629378E-3</v>
      </c>
      <c r="AH10" s="386" t="s">
        <v>73</v>
      </c>
      <c r="AI10" s="383">
        <f>SUM(AI7:AI9)</f>
        <v>390000</v>
      </c>
      <c r="AJ10" s="252"/>
      <c r="AK10" s="252"/>
    </row>
    <row r="11" spans="1:37" ht="30.9" customHeight="1" thickTop="1" thickBot="1">
      <c r="A11" s="373">
        <v>46152</v>
      </c>
      <c r="B11" s="378" t="s">
        <v>59</v>
      </c>
      <c r="C11" s="380">
        <v>392088</v>
      </c>
      <c r="D11" s="380">
        <v>159292</v>
      </c>
      <c r="E11" s="381">
        <f t="shared" si="1"/>
        <v>551380</v>
      </c>
      <c r="F11" s="183">
        <v>1049506</v>
      </c>
      <c r="G11" s="183">
        <f t="shared" si="2"/>
        <v>-498126</v>
      </c>
      <c r="H11" s="183">
        <v>0</v>
      </c>
      <c r="I11" s="221">
        <f t="shared" si="3"/>
        <v>1293566</v>
      </c>
      <c r="J11" s="710"/>
      <c r="K11" s="339">
        <f t="shared" si="0"/>
        <v>1040996</v>
      </c>
      <c r="L11" s="339">
        <v>7000</v>
      </c>
      <c r="M11" s="339"/>
      <c r="N11" s="339"/>
      <c r="O11" s="339">
        <v>1510</v>
      </c>
      <c r="P11" s="339"/>
      <c r="Q11" s="675"/>
      <c r="R11" s="707" t="s">
        <v>477</v>
      </c>
      <c r="S11" s="707"/>
      <c r="T11" s="707"/>
      <c r="U11" s="707"/>
      <c r="V11" s="707"/>
      <c r="W11" s="707"/>
      <c r="X11" s="707"/>
      <c r="Y11" s="707"/>
      <c r="Z11" s="733"/>
      <c r="AA11" s="319" t="s">
        <v>744</v>
      </c>
      <c r="AB11" s="352">
        <v>187770</v>
      </c>
      <c r="AC11" s="312">
        <f t="shared" si="4"/>
        <v>1.0459650298857894E-2</v>
      </c>
      <c r="AD11" s="328" t="s">
        <v>705</v>
      </c>
      <c r="AE11" s="243">
        <f>K34</f>
        <v>13725384</v>
      </c>
      <c r="AF11" s="313">
        <f t="shared" si="5"/>
        <v>0.76456684698055788</v>
      </c>
      <c r="AH11" s="647" t="s">
        <v>643</v>
      </c>
      <c r="AI11" s="647"/>
      <c r="AJ11" s="647"/>
      <c r="AK11" s="647"/>
    </row>
    <row r="12" spans="1:37" ht="30.9" customHeight="1" thickTop="1" thickBot="1">
      <c r="A12" s="373">
        <v>46153</v>
      </c>
      <c r="B12" s="377" t="s">
        <v>61</v>
      </c>
      <c r="C12" s="380">
        <v>423563</v>
      </c>
      <c r="D12" s="380">
        <v>54852</v>
      </c>
      <c r="E12" s="381">
        <f t="shared" si="1"/>
        <v>478415</v>
      </c>
      <c r="F12" s="183">
        <v>245480</v>
      </c>
      <c r="G12" s="183">
        <f t="shared" si="2"/>
        <v>232935</v>
      </c>
      <c r="H12" s="183">
        <v>-41</v>
      </c>
      <c r="I12" s="221">
        <f t="shared" si="3"/>
        <v>1526460</v>
      </c>
      <c r="J12" s="710"/>
      <c r="K12" s="339">
        <f t="shared" si="0"/>
        <v>245480</v>
      </c>
      <c r="L12" s="339"/>
      <c r="M12" s="339"/>
      <c r="N12" s="339"/>
      <c r="O12" s="339"/>
      <c r="P12" s="339"/>
      <c r="Q12" s="675"/>
      <c r="R12" s="269" t="s">
        <v>478</v>
      </c>
      <c r="S12" s="229" t="s">
        <v>479</v>
      </c>
      <c r="T12" s="229" t="s">
        <v>480</v>
      </c>
      <c r="U12" s="229" t="s">
        <v>455</v>
      </c>
      <c r="V12" s="229" t="s">
        <v>468</v>
      </c>
      <c r="W12" s="258" t="s">
        <v>230</v>
      </c>
      <c r="X12" s="308" t="s">
        <v>670</v>
      </c>
      <c r="Y12" s="308" t="s">
        <v>788</v>
      </c>
      <c r="Z12" s="733"/>
      <c r="AA12" s="345" t="s">
        <v>771</v>
      </c>
      <c r="AB12" s="243">
        <v>0</v>
      </c>
      <c r="AC12" s="312">
        <f t="shared" si="4"/>
        <v>0</v>
      </c>
      <c r="AD12" s="328" t="s">
        <v>725</v>
      </c>
      <c r="AE12" s="243">
        <f>O34</f>
        <v>298552</v>
      </c>
      <c r="AF12" s="313">
        <f t="shared" si="5"/>
        <v>1.6630715854633979E-2</v>
      </c>
      <c r="AH12" s="650" t="s">
        <v>644</v>
      </c>
      <c r="AI12" s="650"/>
      <c r="AJ12" s="650"/>
      <c r="AK12" s="229">
        <v>0</v>
      </c>
    </row>
    <row r="13" spans="1:37" ht="30.9" customHeight="1" thickTop="1" thickBot="1">
      <c r="A13" s="373">
        <v>46154</v>
      </c>
      <c r="B13" s="379" t="s">
        <v>63</v>
      </c>
      <c r="C13" s="380">
        <v>478703</v>
      </c>
      <c r="D13" s="380">
        <v>0</v>
      </c>
      <c r="E13" s="381">
        <f t="shared" si="1"/>
        <v>478703</v>
      </c>
      <c r="F13" s="183">
        <v>318310</v>
      </c>
      <c r="G13" s="183">
        <f t="shared" si="2"/>
        <v>160393</v>
      </c>
      <c r="H13" s="183">
        <v>-224</v>
      </c>
      <c r="I13" s="221">
        <f t="shared" si="3"/>
        <v>1686629</v>
      </c>
      <c r="J13" s="710"/>
      <c r="K13" s="339">
        <f t="shared" si="0"/>
        <v>309300</v>
      </c>
      <c r="L13" s="339">
        <v>4795</v>
      </c>
      <c r="M13" s="339"/>
      <c r="N13" s="339"/>
      <c r="O13" s="339">
        <f>1615+2600</f>
        <v>4215</v>
      </c>
      <c r="P13" s="339"/>
      <c r="Q13" s="675"/>
      <c r="R13" s="332">
        <f>AI10-75000</f>
        <v>315000</v>
      </c>
      <c r="S13" s="229">
        <f>42*1200</f>
        <v>50400</v>
      </c>
      <c r="T13" s="229">
        <v>0</v>
      </c>
      <c r="U13" s="229">
        <f>196*1200</f>
        <v>235200</v>
      </c>
      <c r="V13" s="229">
        <f>86.5*1200+13000*3</f>
        <v>142800</v>
      </c>
      <c r="W13" s="229">
        <v>100000</v>
      </c>
      <c r="X13" s="266">
        <f>106.5*1200</f>
        <v>127800</v>
      </c>
      <c r="Y13" s="266">
        <f>45*1200</f>
        <v>54000</v>
      </c>
      <c r="Z13" s="733"/>
      <c r="AA13" s="311" t="s">
        <v>709</v>
      </c>
      <c r="AB13" s="317">
        <f>SUM(AB4:AB12)</f>
        <v>525110</v>
      </c>
      <c r="AC13" s="312">
        <f>SUM(AC4:AC12)</f>
        <v>2.9251035673607442E-2</v>
      </c>
      <c r="AD13" s="327" t="s">
        <v>709</v>
      </c>
      <c r="AE13" s="317">
        <f>SUM(AE4:AE12)</f>
        <v>15353730</v>
      </c>
      <c r="AF13" s="313">
        <f>SUM(AF4:AF12)</f>
        <v>0.85527318838517019</v>
      </c>
      <c r="AH13" s="650" t="s">
        <v>645</v>
      </c>
      <c r="AI13" s="650"/>
      <c r="AJ13" s="261" t="s">
        <v>646</v>
      </c>
      <c r="AK13" s="229">
        <v>0</v>
      </c>
    </row>
    <row r="14" spans="1:37" ht="30.9" customHeight="1" thickTop="1" thickBot="1">
      <c r="A14" s="373">
        <v>46155</v>
      </c>
      <c r="B14" s="377" t="s">
        <v>65</v>
      </c>
      <c r="C14" s="380">
        <v>218255</v>
      </c>
      <c r="D14" s="380">
        <v>171785</v>
      </c>
      <c r="E14" s="381">
        <f t="shared" si="1"/>
        <v>390040</v>
      </c>
      <c r="F14" s="183">
        <v>969427</v>
      </c>
      <c r="G14" s="183">
        <f t="shared" si="2"/>
        <v>-579387</v>
      </c>
      <c r="H14" s="183">
        <v>-22</v>
      </c>
      <c r="I14" s="221">
        <f t="shared" si="3"/>
        <v>1107220</v>
      </c>
      <c r="J14" s="710"/>
      <c r="K14" s="339">
        <f t="shared" si="0"/>
        <v>962327</v>
      </c>
      <c r="L14" s="339">
        <v>5000</v>
      </c>
      <c r="M14" s="339"/>
      <c r="N14" s="339"/>
      <c r="O14" s="339">
        <v>2100</v>
      </c>
      <c r="P14" s="339"/>
      <c r="Q14" s="675"/>
      <c r="R14" s="333">
        <v>0</v>
      </c>
      <c r="S14" s="333">
        <v>0</v>
      </c>
      <c r="T14" s="333">
        <v>0</v>
      </c>
      <c r="U14" s="333">
        <v>0</v>
      </c>
      <c r="V14" s="333">
        <v>0</v>
      </c>
      <c r="W14" s="333">
        <v>0</v>
      </c>
      <c r="X14" s="333">
        <v>0</v>
      </c>
      <c r="Y14" s="333">
        <v>0</v>
      </c>
      <c r="Z14" s="733"/>
      <c r="AA14" s="735" t="s">
        <v>726</v>
      </c>
      <c r="AB14" s="736"/>
      <c r="AC14" s="737"/>
      <c r="AD14" s="347">
        <f>AB21+AE21</f>
        <v>278673</v>
      </c>
      <c r="AE14" s="681">
        <f>AC21+AF21</f>
        <v>1.5523364369886702E-2</v>
      </c>
      <c r="AF14" s="682"/>
      <c r="AG14" s="81"/>
      <c r="AH14" s="650"/>
      <c r="AI14" s="650"/>
      <c r="AJ14" s="261" t="s">
        <v>647</v>
      </c>
      <c r="AK14" s="229">
        <v>0</v>
      </c>
    </row>
    <row r="15" spans="1:37" ht="30.9" customHeight="1" thickTop="1" thickBot="1">
      <c r="A15" s="373">
        <v>46156</v>
      </c>
      <c r="B15" s="377" t="s">
        <v>54</v>
      </c>
      <c r="C15" s="380">
        <v>441717</v>
      </c>
      <c r="D15" s="380">
        <v>66355</v>
      </c>
      <c r="E15" s="381">
        <f t="shared" si="1"/>
        <v>508072</v>
      </c>
      <c r="F15" s="183">
        <v>588748</v>
      </c>
      <c r="G15" s="183">
        <f t="shared" si="2"/>
        <v>-80676</v>
      </c>
      <c r="H15" s="183">
        <v>-412</v>
      </c>
      <c r="I15" s="221">
        <f t="shared" si="3"/>
        <v>1026132</v>
      </c>
      <c r="J15" s="710"/>
      <c r="K15" s="339">
        <f t="shared" si="0"/>
        <v>588448</v>
      </c>
      <c r="L15" s="339"/>
      <c r="M15" s="339"/>
      <c r="N15" s="339"/>
      <c r="O15" s="339">
        <v>300</v>
      </c>
      <c r="P15" s="339"/>
      <c r="Q15" s="675"/>
      <c r="R15" s="334">
        <f>SUM(R13:R14)</f>
        <v>315000</v>
      </c>
      <c r="S15" s="234">
        <f t="shared" ref="S15:Y15" si="6">SUM(S13:S14)</f>
        <v>50400</v>
      </c>
      <c r="T15" s="234">
        <f t="shared" si="6"/>
        <v>0</v>
      </c>
      <c r="U15" s="234">
        <f t="shared" si="6"/>
        <v>235200</v>
      </c>
      <c r="V15" s="234">
        <f t="shared" si="6"/>
        <v>142800</v>
      </c>
      <c r="W15" s="234">
        <f t="shared" si="6"/>
        <v>100000</v>
      </c>
      <c r="X15" s="234">
        <f t="shared" si="6"/>
        <v>127800</v>
      </c>
      <c r="Y15" s="260">
        <f t="shared" si="6"/>
        <v>54000</v>
      </c>
      <c r="Z15" s="733"/>
      <c r="AA15" s="719" t="s">
        <v>729</v>
      </c>
      <c r="AB15" s="720"/>
      <c r="AC15" s="720"/>
      <c r="AD15" s="717" t="s">
        <v>730</v>
      </c>
      <c r="AE15" s="717"/>
      <c r="AF15" s="718"/>
      <c r="AG15" s="81"/>
      <c r="AH15" s="650" t="s">
        <v>648</v>
      </c>
      <c r="AI15" s="650" t="s">
        <v>649</v>
      </c>
      <c r="AJ15" s="650"/>
      <c r="AK15" s="229">
        <v>0</v>
      </c>
    </row>
    <row r="16" spans="1:37" ht="30.9" customHeight="1" thickTop="1" thickBot="1">
      <c r="A16" s="373">
        <v>46157</v>
      </c>
      <c r="B16" s="377" t="s">
        <v>55</v>
      </c>
      <c r="C16" s="380">
        <v>487198</v>
      </c>
      <c r="D16" s="380">
        <v>77004</v>
      </c>
      <c r="E16" s="381">
        <f t="shared" si="1"/>
        <v>564202</v>
      </c>
      <c r="F16" s="183">
        <v>375137</v>
      </c>
      <c r="G16" s="183">
        <f t="shared" si="2"/>
        <v>189065</v>
      </c>
      <c r="H16" s="183">
        <v>-54</v>
      </c>
      <c r="I16" s="221">
        <f t="shared" si="3"/>
        <v>1215143</v>
      </c>
      <c r="J16" s="710"/>
      <c r="K16" s="339">
        <f t="shared" si="0"/>
        <v>355449</v>
      </c>
      <c r="L16" s="339"/>
      <c r="M16" s="339">
        <v>13838</v>
      </c>
      <c r="N16" s="339"/>
      <c r="O16" s="339">
        <f>220+5630</f>
        <v>5850</v>
      </c>
      <c r="P16" s="339"/>
      <c r="Q16" s="675"/>
      <c r="R16" s="698" t="s">
        <v>247</v>
      </c>
      <c r="S16" s="641"/>
      <c r="T16" s="641"/>
      <c r="U16" s="648">
        <f>SUM(S15:Y15)+AI10</f>
        <v>1100200</v>
      </c>
      <c r="V16" s="699"/>
      <c r="W16" s="699"/>
      <c r="X16" s="699"/>
      <c r="Y16" s="699"/>
      <c r="Z16" s="733"/>
      <c r="AA16" s="324" t="s">
        <v>728</v>
      </c>
      <c r="AB16" s="243">
        <f>U23</f>
        <v>42000</v>
      </c>
      <c r="AC16" s="312">
        <f>AB16/$R$4</f>
        <v>2.3395926535230952E-3</v>
      </c>
      <c r="AD16" s="321" t="s">
        <v>731</v>
      </c>
      <c r="AE16" s="243">
        <f>W4</f>
        <v>52426</v>
      </c>
      <c r="AF16" s="313">
        <f>AE16/$R$4</f>
        <v>2.920368677466709E-3</v>
      </c>
      <c r="AH16" s="650"/>
      <c r="AI16" s="650" t="s">
        <v>650</v>
      </c>
      <c r="AJ16" s="650"/>
      <c r="AK16" s="229">
        <v>0</v>
      </c>
    </row>
    <row r="17" spans="1:37" ht="30.9" customHeight="1" thickTop="1" thickBot="1">
      <c r="A17" s="373">
        <v>46158</v>
      </c>
      <c r="B17" s="378" t="s">
        <v>57</v>
      </c>
      <c r="C17" s="380">
        <v>714773</v>
      </c>
      <c r="D17" s="380">
        <v>174234</v>
      </c>
      <c r="E17" s="381">
        <f t="shared" si="1"/>
        <v>889007</v>
      </c>
      <c r="F17" s="183">
        <v>323448</v>
      </c>
      <c r="G17" s="183">
        <f t="shared" si="2"/>
        <v>565559</v>
      </c>
      <c r="H17" s="183">
        <v>-784</v>
      </c>
      <c r="I17" s="221">
        <f t="shared" si="3"/>
        <v>1779918</v>
      </c>
      <c r="J17" s="710"/>
      <c r="K17" s="339">
        <f t="shared" si="0"/>
        <v>314948</v>
      </c>
      <c r="L17" s="339">
        <v>7000</v>
      </c>
      <c r="M17" s="339"/>
      <c r="N17" s="339"/>
      <c r="O17" s="339">
        <v>1500</v>
      </c>
      <c r="P17" s="339"/>
      <c r="Q17" s="675"/>
      <c r="R17" s="688" t="s">
        <v>482</v>
      </c>
      <c r="S17" s="643"/>
      <c r="T17" s="643"/>
      <c r="U17" s="643"/>
      <c r="V17" s="643"/>
      <c r="W17" s="649"/>
      <c r="X17" s="283"/>
      <c r="Y17" s="283"/>
      <c r="Z17" s="733"/>
      <c r="AA17" s="324" t="s">
        <v>727</v>
      </c>
      <c r="AB17" s="243">
        <f>V23</f>
        <v>62200</v>
      </c>
      <c r="AC17" s="312">
        <f t="shared" ref="AC17:AC20" si="7">AB17/$R$4</f>
        <v>3.4648253106937268E-3</v>
      </c>
      <c r="AD17" s="321" t="s">
        <v>732</v>
      </c>
      <c r="AE17" s="243">
        <f>R23</f>
        <v>4987</v>
      </c>
      <c r="AF17" s="313">
        <f t="shared" ref="AF17" si="8">AE17/$R$4</f>
        <v>2.7779877531237322E-4</v>
      </c>
      <c r="AH17" s="261" t="s">
        <v>651</v>
      </c>
      <c r="AI17" s="650" t="s">
        <v>652</v>
      </c>
      <c r="AJ17" s="650"/>
      <c r="AK17" s="229">
        <v>0</v>
      </c>
    </row>
    <row r="18" spans="1:37" ht="30.9" customHeight="1" thickTop="1" thickBot="1">
      <c r="A18" s="373">
        <v>46159</v>
      </c>
      <c r="B18" s="378" t="s">
        <v>59</v>
      </c>
      <c r="C18" s="380">
        <v>409705</v>
      </c>
      <c r="D18" s="380">
        <v>102132</v>
      </c>
      <c r="E18" s="381">
        <f t="shared" si="1"/>
        <v>511837</v>
      </c>
      <c r="F18" s="183">
        <v>192540</v>
      </c>
      <c r="G18" s="183">
        <f t="shared" si="2"/>
        <v>319297</v>
      </c>
      <c r="H18" s="183">
        <v>-142</v>
      </c>
      <c r="I18" s="221">
        <f t="shared" si="3"/>
        <v>2099073</v>
      </c>
      <c r="J18" s="710"/>
      <c r="K18" s="339">
        <f t="shared" si="0"/>
        <v>187260</v>
      </c>
      <c r="L18" s="339"/>
      <c r="M18" s="339"/>
      <c r="N18" s="339"/>
      <c r="O18" s="339">
        <v>5280</v>
      </c>
      <c r="P18" s="339"/>
      <c r="Q18" s="675"/>
      <c r="R18" s="284" t="s">
        <v>970</v>
      </c>
      <c r="S18" s="235" t="s">
        <v>969</v>
      </c>
      <c r="T18" s="343" t="s">
        <v>760</v>
      </c>
      <c r="U18" s="294" t="s">
        <v>703</v>
      </c>
      <c r="V18" s="236" t="s">
        <v>498</v>
      </c>
      <c r="W18" s="683" t="s">
        <v>247</v>
      </c>
      <c r="X18" s="684"/>
      <c r="Y18" s="684"/>
      <c r="Z18" s="733"/>
      <c r="AA18" s="324" t="s">
        <v>733</v>
      </c>
      <c r="AB18" s="243">
        <f>T23</f>
        <v>12000</v>
      </c>
      <c r="AC18" s="312">
        <f t="shared" si="7"/>
        <v>6.6845504386374151E-4</v>
      </c>
      <c r="AD18" s="322"/>
      <c r="AE18" s="243"/>
      <c r="AF18" s="313"/>
      <c r="AH18" s="650" t="s">
        <v>777</v>
      </c>
      <c r="AI18" s="650"/>
      <c r="AJ18" s="650"/>
      <c r="AK18" s="229">
        <v>0</v>
      </c>
    </row>
    <row r="19" spans="1:37" ht="30.9" customHeight="1" thickTop="1" thickBot="1">
      <c r="A19" s="373">
        <v>46160</v>
      </c>
      <c r="B19" s="377" t="s">
        <v>61</v>
      </c>
      <c r="C19" s="380">
        <v>294093</v>
      </c>
      <c r="D19" s="380">
        <v>77257</v>
      </c>
      <c r="E19" s="381">
        <f t="shared" si="1"/>
        <v>371350</v>
      </c>
      <c r="F19" s="183">
        <v>277571</v>
      </c>
      <c r="G19" s="183">
        <f t="shared" si="2"/>
        <v>93779</v>
      </c>
      <c r="H19" s="183">
        <v>0</v>
      </c>
      <c r="I19" s="221">
        <f t="shared" si="3"/>
        <v>2192852</v>
      </c>
      <c r="J19" s="710"/>
      <c r="K19" s="339">
        <f t="shared" si="0"/>
        <v>262820</v>
      </c>
      <c r="L19" s="339">
        <f>8499+4900</f>
        <v>13399</v>
      </c>
      <c r="M19" s="339">
        <v>1352</v>
      </c>
      <c r="N19" s="339"/>
      <c r="O19" s="339"/>
      <c r="P19" s="339"/>
      <c r="Q19" s="675"/>
      <c r="R19" s="335">
        <f>200000+6*1200</f>
        <v>207200</v>
      </c>
      <c r="S19" s="237">
        <f>6*7000+6000</f>
        <v>48000</v>
      </c>
      <c r="T19" s="344">
        <f>6500*5</f>
        <v>32500</v>
      </c>
      <c r="U19" s="295">
        <f>39940+7050</f>
        <v>46990</v>
      </c>
      <c r="V19" s="238">
        <f>W23</f>
        <v>221187</v>
      </c>
      <c r="W19" s="685">
        <f>SUM(R19:V19)</f>
        <v>555877</v>
      </c>
      <c r="X19" s="686"/>
      <c r="Y19" s="686"/>
      <c r="Z19" s="733"/>
      <c r="AA19" s="324" t="s">
        <v>734</v>
      </c>
      <c r="AB19" s="243">
        <f>S23</f>
        <v>100000</v>
      </c>
      <c r="AC19" s="312">
        <f t="shared" si="7"/>
        <v>5.5704586988645118E-3</v>
      </c>
      <c r="AD19" s="322"/>
      <c r="AE19" s="243"/>
      <c r="AF19" s="313"/>
      <c r="AH19" s="652" t="s">
        <v>654</v>
      </c>
      <c r="AI19" s="652"/>
      <c r="AJ19" s="652"/>
      <c r="AK19" s="229">
        <v>6000000</v>
      </c>
    </row>
    <row r="20" spans="1:37" ht="30.9" customHeight="1" thickTop="1" thickBot="1">
      <c r="A20" s="373">
        <v>46161</v>
      </c>
      <c r="B20" s="379" t="s">
        <v>63</v>
      </c>
      <c r="C20" s="380">
        <v>348152</v>
      </c>
      <c r="D20" s="380">
        <v>0</v>
      </c>
      <c r="E20" s="381">
        <f t="shared" si="1"/>
        <v>348152</v>
      </c>
      <c r="F20" s="183">
        <v>90951</v>
      </c>
      <c r="G20" s="183">
        <f t="shared" si="2"/>
        <v>257201</v>
      </c>
      <c r="H20" s="183">
        <v>-44</v>
      </c>
      <c r="I20" s="221">
        <f t="shared" si="3"/>
        <v>2450009</v>
      </c>
      <c r="J20" s="710"/>
      <c r="K20" s="339">
        <f t="shared" si="0"/>
        <v>90951</v>
      </c>
      <c r="L20" s="339"/>
      <c r="M20" s="339"/>
      <c r="N20" s="339"/>
      <c r="O20" s="339"/>
      <c r="P20" s="339"/>
      <c r="Q20" s="675"/>
      <c r="R20" s="269"/>
      <c r="S20" s="232"/>
      <c r="T20" s="232"/>
      <c r="U20" s="232"/>
      <c r="V20" s="232"/>
      <c r="W20" s="232"/>
      <c r="X20" s="310"/>
      <c r="Y20" s="310"/>
      <c r="Z20" s="733"/>
      <c r="AA20" s="324" t="s">
        <v>746</v>
      </c>
      <c r="AB20" s="243">
        <f>V4</f>
        <v>5060</v>
      </c>
      <c r="AC20" s="312">
        <f t="shared" si="7"/>
        <v>2.8186521016254434E-4</v>
      </c>
      <c r="AD20" s="314"/>
      <c r="AE20" s="243"/>
      <c r="AF20" s="313"/>
      <c r="AH20" s="652" t="s">
        <v>655</v>
      </c>
      <c r="AI20" s="652"/>
      <c r="AJ20" s="652"/>
      <c r="AK20" s="229">
        <v>6000000</v>
      </c>
    </row>
    <row r="21" spans="1:37" ht="30.9" customHeight="1" thickTop="1" thickBot="1">
      <c r="A21" s="373">
        <v>46162</v>
      </c>
      <c r="B21" s="377" t="s">
        <v>65</v>
      </c>
      <c r="C21" s="380">
        <v>161185</v>
      </c>
      <c r="D21" s="380">
        <v>86866</v>
      </c>
      <c r="E21" s="381">
        <f t="shared" si="1"/>
        <v>248051</v>
      </c>
      <c r="F21" s="183">
        <v>1006223</v>
      </c>
      <c r="G21" s="183">
        <f t="shared" si="2"/>
        <v>-758172</v>
      </c>
      <c r="H21" s="183">
        <v>-235</v>
      </c>
      <c r="I21" s="221">
        <f t="shared" si="3"/>
        <v>1691602</v>
      </c>
      <c r="J21" s="710"/>
      <c r="K21" s="339">
        <f t="shared" si="0"/>
        <v>1005338</v>
      </c>
      <c r="L21" s="339"/>
      <c r="M21" s="339"/>
      <c r="N21" s="339"/>
      <c r="O21" s="339">
        <f>220+665</f>
        <v>885</v>
      </c>
      <c r="P21" s="339"/>
      <c r="Q21" s="675"/>
      <c r="R21" s="687" t="s">
        <v>772</v>
      </c>
      <c r="S21" s="687"/>
      <c r="T21" s="687"/>
      <c r="U21" s="687"/>
      <c r="V21" s="687"/>
      <c r="W21" s="687"/>
      <c r="X21" s="687"/>
      <c r="Y21" s="687"/>
      <c r="Z21" s="733"/>
      <c r="AA21" s="326" t="s">
        <v>709</v>
      </c>
      <c r="AB21" s="318">
        <f>SUM(AB16:AB20)</f>
        <v>221260</v>
      </c>
      <c r="AC21" s="315">
        <f>SUM(AC16:AC20)</f>
        <v>1.2325196917107621E-2</v>
      </c>
      <c r="AD21" s="323" t="s">
        <v>709</v>
      </c>
      <c r="AE21" s="318">
        <f>SUM(AE16:AE20)</f>
        <v>57413</v>
      </c>
      <c r="AF21" s="316">
        <f>SUM(AF16:AF20)</f>
        <v>3.1981674527790825E-3</v>
      </c>
      <c r="AH21" s="653" t="s">
        <v>247</v>
      </c>
      <c r="AI21" s="653"/>
      <c r="AJ21" s="653"/>
      <c r="AK21" s="270">
        <f>SUM(AK12:AK20)</f>
        <v>12000000</v>
      </c>
    </row>
    <row r="22" spans="1:37" ht="30.9" customHeight="1" thickTop="1" thickBot="1">
      <c r="A22" s="373">
        <v>46163</v>
      </c>
      <c r="B22" s="377" t="s">
        <v>54</v>
      </c>
      <c r="C22" s="380">
        <v>348591</v>
      </c>
      <c r="D22" s="380">
        <v>92800</v>
      </c>
      <c r="E22" s="381">
        <f t="shared" si="1"/>
        <v>441391</v>
      </c>
      <c r="F22" s="183">
        <v>285690</v>
      </c>
      <c r="G22" s="183">
        <f t="shared" si="2"/>
        <v>155701</v>
      </c>
      <c r="H22" s="183">
        <v>0</v>
      </c>
      <c r="I22" s="221">
        <f t="shared" si="3"/>
        <v>1847303</v>
      </c>
      <c r="J22" s="710"/>
      <c r="K22" s="339">
        <f t="shared" si="0"/>
        <v>282675</v>
      </c>
      <c r="L22" s="339"/>
      <c r="M22" s="339"/>
      <c r="N22" s="339"/>
      <c r="O22" s="339">
        <f>200+2815</f>
        <v>3015</v>
      </c>
      <c r="P22" s="339"/>
      <c r="Q22" s="675"/>
      <c r="R22" s="336" t="s">
        <v>625</v>
      </c>
      <c r="S22" s="299" t="s">
        <v>770</v>
      </c>
      <c r="T22" s="299" t="s">
        <v>733</v>
      </c>
      <c r="U22" s="299" t="s">
        <v>728</v>
      </c>
      <c r="V22" s="299" t="s">
        <v>727</v>
      </c>
      <c r="W22" s="690" t="s">
        <v>247</v>
      </c>
      <c r="X22" s="741"/>
      <c r="Y22" s="691"/>
      <c r="Z22" s="733"/>
      <c r="AA22" s="694" t="s">
        <v>745</v>
      </c>
      <c r="AB22" s="695"/>
      <c r="AC22" s="695"/>
      <c r="AD22" s="695"/>
      <c r="AE22" s="721">
        <f>AE14+AE2</f>
        <v>0.90004758842866428</v>
      </c>
      <c r="AF22" s="721"/>
      <c r="AH22" s="661"/>
      <c r="AI22" s="662"/>
      <c r="AJ22" s="662"/>
      <c r="AK22" s="662"/>
    </row>
    <row r="23" spans="1:37" ht="30.9" customHeight="1" thickTop="1" thickBot="1">
      <c r="A23" s="373">
        <v>46164</v>
      </c>
      <c r="B23" s="377" t="s">
        <v>55</v>
      </c>
      <c r="C23" s="380">
        <v>674369</v>
      </c>
      <c r="D23" s="380">
        <v>109843</v>
      </c>
      <c r="E23" s="381">
        <f t="shared" si="1"/>
        <v>784212</v>
      </c>
      <c r="F23" s="183">
        <v>329160</v>
      </c>
      <c r="G23" s="183">
        <f t="shared" si="2"/>
        <v>455052</v>
      </c>
      <c r="H23" s="183">
        <v>-954</v>
      </c>
      <c r="I23" s="221">
        <f t="shared" si="3"/>
        <v>2301401</v>
      </c>
      <c r="J23" s="710"/>
      <c r="K23" s="339">
        <f t="shared" si="0"/>
        <v>307850</v>
      </c>
      <c r="L23" s="339"/>
      <c r="M23" s="339">
        <v>19300</v>
      </c>
      <c r="N23" s="339"/>
      <c r="O23" s="339">
        <f>300+1710</f>
        <v>2010</v>
      </c>
      <c r="P23" s="339"/>
      <c r="Q23" s="675"/>
      <c r="R23" s="335">
        <v>4987</v>
      </c>
      <c r="S23" s="353">
        <v>100000</v>
      </c>
      <c r="T23" s="298">
        <v>12000</v>
      </c>
      <c r="U23" s="353">
        <v>42000</v>
      </c>
      <c r="V23" s="298">
        <v>62200</v>
      </c>
      <c r="W23" s="692">
        <f>SUM(R23:V23)</f>
        <v>221187</v>
      </c>
      <c r="X23" s="742"/>
      <c r="Y23" s="693"/>
      <c r="Z23" s="733"/>
      <c r="AA23" s="696"/>
      <c r="AB23" s="697"/>
      <c r="AC23" s="697"/>
      <c r="AD23" s="697"/>
      <c r="AE23" s="722"/>
      <c r="AF23" s="722"/>
      <c r="AH23" s="647" t="s">
        <v>665</v>
      </c>
      <c r="AI23" s="647"/>
      <c r="AJ23" s="647"/>
      <c r="AK23" s="647"/>
    </row>
    <row r="24" spans="1:37" ht="30.9" customHeight="1" thickTop="1" thickBot="1">
      <c r="A24" s="373">
        <v>46165</v>
      </c>
      <c r="B24" s="378" t="s">
        <v>57</v>
      </c>
      <c r="C24" s="380">
        <v>651346</v>
      </c>
      <c r="D24" s="380">
        <v>210131</v>
      </c>
      <c r="E24" s="381">
        <f t="shared" si="1"/>
        <v>861477</v>
      </c>
      <c r="F24" s="183">
        <v>207767</v>
      </c>
      <c r="G24" s="183">
        <f t="shared" si="2"/>
        <v>653710</v>
      </c>
      <c r="H24" s="183">
        <v>-22</v>
      </c>
      <c r="I24" s="184">
        <f t="shared" si="3"/>
        <v>2955089</v>
      </c>
      <c r="J24" s="710"/>
      <c r="K24" s="339">
        <f t="shared" si="0"/>
        <v>187835</v>
      </c>
      <c r="L24" s="339">
        <v>9000</v>
      </c>
      <c r="M24" s="339">
        <v>10712</v>
      </c>
      <c r="N24" s="339"/>
      <c r="O24" s="339">
        <v>220</v>
      </c>
      <c r="P24" s="339"/>
      <c r="Q24" s="675"/>
      <c r="Z24" s="733"/>
      <c r="AA24" s="711" t="s">
        <v>735</v>
      </c>
      <c r="AB24" s="711"/>
      <c r="AC24" s="711"/>
      <c r="AD24" s="711"/>
      <c r="AE24" s="711"/>
      <c r="AF24" s="711"/>
      <c r="AH24" s="656" t="s">
        <v>666</v>
      </c>
      <c r="AI24" s="658"/>
      <c r="AJ24" s="657"/>
      <c r="AK24" s="232"/>
    </row>
    <row r="25" spans="1:37" ht="30.9" customHeight="1" thickTop="1" thickBot="1">
      <c r="A25" s="373">
        <v>46166</v>
      </c>
      <c r="B25" s="378" t="s">
        <v>59</v>
      </c>
      <c r="C25" s="380">
        <v>417359</v>
      </c>
      <c r="D25" s="380">
        <v>144485</v>
      </c>
      <c r="E25" s="381">
        <f t="shared" si="1"/>
        <v>561844</v>
      </c>
      <c r="F25" s="350">
        <v>1022716</v>
      </c>
      <c r="G25" s="183">
        <f t="shared" si="2"/>
        <v>-460872</v>
      </c>
      <c r="H25" s="183">
        <v>-15</v>
      </c>
      <c r="I25" s="184">
        <f t="shared" si="3"/>
        <v>2494202</v>
      </c>
      <c r="J25" s="710"/>
      <c r="K25" s="339">
        <f t="shared" si="0"/>
        <v>940428</v>
      </c>
      <c r="L25" s="339"/>
      <c r="M25" s="339"/>
      <c r="N25" s="339"/>
      <c r="O25" s="339"/>
      <c r="P25" s="339">
        <f>3407+6080+72801</f>
        <v>82288</v>
      </c>
      <c r="Q25" s="675"/>
      <c r="R25" s="689" t="s">
        <v>672</v>
      </c>
      <c r="S25" s="664"/>
      <c r="T25" s="664"/>
      <c r="U25" s="664"/>
      <c r="V25" s="664"/>
      <c r="W25" s="664"/>
      <c r="X25" s="285"/>
      <c r="Y25" s="285"/>
      <c r="Z25" s="733"/>
      <c r="AA25" s="300"/>
      <c r="AB25" s="712" t="s">
        <v>739</v>
      </c>
      <c r="AC25" s="712"/>
      <c r="AD25" s="301" t="s">
        <v>738</v>
      </c>
      <c r="AE25" s="712" t="s">
        <v>740</v>
      </c>
      <c r="AF25" s="712"/>
      <c r="AH25" s="263"/>
      <c r="AI25" s="650"/>
      <c r="AJ25" s="650"/>
      <c r="AK25" s="232"/>
    </row>
    <row r="26" spans="1:37" ht="30.9" customHeight="1" thickTop="1" thickBot="1">
      <c r="A26" s="373">
        <v>46167</v>
      </c>
      <c r="B26" s="377" t="s">
        <v>61</v>
      </c>
      <c r="C26" s="380">
        <v>341140</v>
      </c>
      <c r="D26" s="380">
        <v>218161</v>
      </c>
      <c r="E26" s="381">
        <f t="shared" si="1"/>
        <v>559301</v>
      </c>
      <c r="F26" s="350">
        <v>147064</v>
      </c>
      <c r="G26" s="183">
        <f t="shared" si="2"/>
        <v>412237</v>
      </c>
      <c r="H26" s="183">
        <v>2</v>
      </c>
      <c r="I26" s="184">
        <f t="shared" si="3"/>
        <v>2906441</v>
      </c>
      <c r="J26" s="710"/>
      <c r="K26" s="339">
        <f t="shared" si="0"/>
        <v>147064</v>
      </c>
      <c r="L26" s="339"/>
      <c r="M26" s="339"/>
      <c r="N26" s="339"/>
      <c r="O26" s="339"/>
      <c r="P26" s="339"/>
      <c r="Q26" s="675"/>
      <c r="R26" s="337"/>
      <c r="S26" s="743" t="s">
        <v>968</v>
      </c>
      <c r="T26" s="744"/>
      <c r="U26" s="745"/>
      <c r="V26" s="746">
        <v>187770</v>
      </c>
      <c r="W26" s="747"/>
      <c r="X26" s="286"/>
      <c r="Y26" s="286"/>
      <c r="Z26" s="733"/>
      <c r="AA26" s="302" t="s">
        <v>736</v>
      </c>
      <c r="AB26" s="303">
        <v>14787080</v>
      </c>
      <c r="AC26" s="305">
        <f>(AD26/AB26)-100%</f>
        <v>0.21402217341084251</v>
      </c>
      <c r="AD26" s="304">
        <f>E34</f>
        <v>17951843</v>
      </c>
      <c r="AE26" s="303">
        <v>19619825</v>
      </c>
      <c r="AF26" s="305">
        <f>AD26/AE26-100%</f>
        <v>-8.5015131378592845E-2</v>
      </c>
      <c r="AH26" s="263"/>
      <c r="AI26" s="650"/>
      <c r="AJ26" s="650"/>
      <c r="AK26" s="232"/>
    </row>
    <row r="27" spans="1:37" ht="30.9" customHeight="1" thickTop="1" thickBot="1">
      <c r="A27" s="373">
        <v>46168</v>
      </c>
      <c r="B27" s="379" t="s">
        <v>63</v>
      </c>
      <c r="C27" s="380">
        <v>360794</v>
      </c>
      <c r="D27" s="380">
        <v>0</v>
      </c>
      <c r="E27" s="381">
        <f t="shared" si="1"/>
        <v>360794</v>
      </c>
      <c r="F27" s="350">
        <v>1284152</v>
      </c>
      <c r="G27" s="183">
        <f t="shared" si="2"/>
        <v>-923358</v>
      </c>
      <c r="H27" s="183">
        <v>-42</v>
      </c>
      <c r="I27" s="184">
        <f t="shared" si="3"/>
        <v>1983041</v>
      </c>
      <c r="J27" s="710"/>
      <c r="K27" s="339">
        <f t="shared" si="0"/>
        <v>1284152</v>
      </c>
      <c r="L27" s="339"/>
      <c r="M27" s="339"/>
      <c r="N27" s="339"/>
      <c r="O27" s="339"/>
      <c r="P27" s="339"/>
      <c r="Q27" s="675"/>
      <c r="R27" s="282"/>
      <c r="S27" s="743" t="s">
        <v>971</v>
      </c>
      <c r="T27" s="744"/>
      <c r="U27" s="745"/>
      <c r="V27" s="746">
        <v>300000</v>
      </c>
      <c r="W27" s="747"/>
      <c r="X27" s="286"/>
      <c r="Y27" s="286"/>
      <c r="Z27" s="733"/>
      <c r="AA27" s="302" t="s">
        <v>510</v>
      </c>
      <c r="AB27" s="303">
        <v>18407836</v>
      </c>
      <c r="AC27" s="305">
        <f>(AD27/AB27)-100%</f>
        <v>-0.13538522398830588</v>
      </c>
      <c r="AD27" s="304">
        <f>V8</f>
        <v>15915687</v>
      </c>
      <c r="AE27" s="303">
        <v>17623180</v>
      </c>
      <c r="AF27" s="305">
        <f>AD27/AE27-100%</f>
        <v>-9.6889040456943687E-2</v>
      </c>
      <c r="AH27" s="263"/>
      <c r="AI27" s="650"/>
      <c r="AJ27" s="650"/>
      <c r="AK27" s="232"/>
    </row>
    <row r="28" spans="1:37" ht="30.9" customHeight="1" thickTop="1" thickBot="1">
      <c r="A28" s="373">
        <v>46169</v>
      </c>
      <c r="B28" s="377" t="s">
        <v>65</v>
      </c>
      <c r="C28" s="380">
        <v>214115</v>
      </c>
      <c r="D28" s="380">
        <v>164711</v>
      </c>
      <c r="E28" s="381">
        <f t="shared" si="1"/>
        <v>378826</v>
      </c>
      <c r="F28" s="350">
        <v>269378</v>
      </c>
      <c r="G28" s="183">
        <f t="shared" si="2"/>
        <v>109448</v>
      </c>
      <c r="H28" s="183">
        <v>0</v>
      </c>
      <c r="I28" s="184">
        <f t="shared" si="3"/>
        <v>2092489</v>
      </c>
      <c r="J28" s="710"/>
      <c r="K28" s="339">
        <f t="shared" si="0"/>
        <v>263528</v>
      </c>
      <c r="L28" s="339"/>
      <c r="M28" s="339"/>
      <c r="N28" s="339"/>
      <c r="O28" s="339">
        <f>220+5630</f>
        <v>5850</v>
      </c>
      <c r="P28" s="339"/>
      <c r="Q28" s="675"/>
      <c r="R28" s="282"/>
      <c r="S28" s="743"/>
      <c r="T28" s="744"/>
      <c r="U28" s="745"/>
      <c r="V28" s="746"/>
      <c r="W28" s="747"/>
      <c r="X28" s="286"/>
      <c r="Y28" s="286"/>
      <c r="Z28" s="733"/>
      <c r="AA28" s="302" t="s">
        <v>737</v>
      </c>
      <c r="AB28" s="303">
        <v>-3620756</v>
      </c>
      <c r="AC28" s="305">
        <f>(AD28/AB28)-100%</f>
        <v>-1.5464797959321204</v>
      </c>
      <c r="AD28" s="304">
        <f>S9</f>
        <v>1978670</v>
      </c>
      <c r="AE28" s="303">
        <v>2003125</v>
      </c>
      <c r="AF28" s="305">
        <f t="shared" ref="AF28:AF31" si="9">AD28/AE28-100%</f>
        <v>-1.2208424336973445E-2</v>
      </c>
      <c r="AH28" s="263"/>
      <c r="AI28" s="650"/>
      <c r="AJ28" s="650"/>
      <c r="AK28" s="232"/>
    </row>
    <row r="29" spans="1:37" ht="30.9" customHeight="1" thickTop="1" thickBot="1">
      <c r="A29" s="373">
        <v>46170</v>
      </c>
      <c r="B29" s="377" t="s">
        <v>54</v>
      </c>
      <c r="C29" s="380">
        <v>374033</v>
      </c>
      <c r="D29" s="380">
        <v>140392</v>
      </c>
      <c r="E29" s="381">
        <f t="shared" si="1"/>
        <v>514425</v>
      </c>
      <c r="F29" s="350">
        <v>297003</v>
      </c>
      <c r="G29" s="183">
        <f t="shared" si="2"/>
        <v>217422</v>
      </c>
      <c r="H29" s="183">
        <v>-45</v>
      </c>
      <c r="I29" s="184">
        <f t="shared" si="3"/>
        <v>2309866</v>
      </c>
      <c r="J29" s="710"/>
      <c r="K29" s="339">
        <f t="shared" si="0"/>
        <v>297003</v>
      </c>
      <c r="L29" s="339"/>
      <c r="M29" s="339"/>
      <c r="N29" s="339"/>
      <c r="O29" s="339"/>
      <c r="P29" s="339"/>
      <c r="Q29" s="675"/>
      <c r="R29" s="282"/>
      <c r="S29" s="743"/>
      <c r="T29" s="744"/>
      <c r="U29" s="745"/>
      <c r="V29" s="746"/>
      <c r="W29" s="747"/>
      <c r="X29" s="286"/>
      <c r="Y29" s="286"/>
      <c r="Z29" s="733"/>
      <c r="AA29" s="302" t="s">
        <v>757</v>
      </c>
      <c r="AB29" s="341">
        <v>3746</v>
      </c>
      <c r="AC29" s="305">
        <f t="shared" ref="AC29:AC31" si="10">(AD29/AB29)-100%</f>
        <v>0.30672717565403107</v>
      </c>
      <c r="AD29" s="342">
        <v>4895</v>
      </c>
      <c r="AE29" s="341">
        <v>4033</v>
      </c>
      <c r="AF29" s="305">
        <f t="shared" si="9"/>
        <v>0.21373667245226868</v>
      </c>
      <c r="AH29" s="650" t="s">
        <v>667</v>
      </c>
      <c r="AI29" s="650"/>
      <c r="AJ29" s="650"/>
      <c r="AK29" s="232"/>
    </row>
    <row r="30" spans="1:37" ht="30.9" customHeight="1" thickTop="1" thickBot="1">
      <c r="A30" s="373">
        <v>46171</v>
      </c>
      <c r="B30" s="377" t="s">
        <v>55</v>
      </c>
      <c r="C30" s="380">
        <v>685474</v>
      </c>
      <c r="D30" s="380">
        <v>94987</v>
      </c>
      <c r="E30" s="381">
        <f t="shared" si="1"/>
        <v>780461</v>
      </c>
      <c r="F30" s="350">
        <v>405921</v>
      </c>
      <c r="G30" s="183">
        <f>E30-F30</f>
        <v>374540</v>
      </c>
      <c r="H30" s="183">
        <v>-27</v>
      </c>
      <c r="I30" s="184">
        <f t="shared" si="3"/>
        <v>2684379</v>
      </c>
      <c r="J30" s="710"/>
      <c r="K30" s="339">
        <f t="shared" si="0"/>
        <v>384137</v>
      </c>
      <c r="L30" s="339"/>
      <c r="M30" s="339">
        <v>15754</v>
      </c>
      <c r="N30" s="339"/>
      <c r="O30" s="339">
        <f>400+5630</f>
        <v>6030</v>
      </c>
      <c r="P30" s="339"/>
      <c r="Q30" s="675"/>
      <c r="R30" s="282"/>
      <c r="S30" s="739"/>
      <c r="T30" s="740"/>
      <c r="U30" s="740"/>
      <c r="V30" s="740"/>
      <c r="W30" s="740"/>
      <c r="X30" s="349"/>
      <c r="Y30" s="286"/>
      <c r="Z30" s="733"/>
      <c r="AA30" s="302" t="s">
        <v>758</v>
      </c>
      <c r="AB30" s="303">
        <v>3947.4319273892152</v>
      </c>
      <c r="AC30" s="305">
        <f t="shared" si="10"/>
        <v>-7.0944420511334871E-2</v>
      </c>
      <c r="AD30" s="304">
        <f>AD26/AD29</f>
        <v>3667.3836567926455</v>
      </c>
      <c r="AE30" s="303">
        <f>AE26/AE29</f>
        <v>4864.8214728489957</v>
      </c>
      <c r="AF30" s="305">
        <f t="shared" si="9"/>
        <v>-0.24614219098056478</v>
      </c>
      <c r="AH30" s="263"/>
      <c r="AI30" s="650"/>
      <c r="AJ30" s="650"/>
      <c r="AK30" s="232"/>
    </row>
    <row r="31" spans="1:37" ht="30.9" customHeight="1" thickTop="1" thickBot="1">
      <c r="A31" s="373">
        <v>46172</v>
      </c>
      <c r="B31" s="378" t="s">
        <v>57</v>
      </c>
      <c r="C31" s="380">
        <v>766231</v>
      </c>
      <c r="D31" s="380">
        <v>276184</v>
      </c>
      <c r="E31" s="381">
        <f t="shared" si="1"/>
        <v>1042415</v>
      </c>
      <c r="F31" s="350">
        <v>136759</v>
      </c>
      <c r="G31" s="183">
        <f t="shared" ref="G31" si="11">E31-F31</f>
        <v>905656</v>
      </c>
      <c r="H31" s="183">
        <v>-68</v>
      </c>
      <c r="I31" s="184">
        <f t="shared" si="3"/>
        <v>3589967</v>
      </c>
      <c r="J31" s="710"/>
      <c r="K31" s="339">
        <f t="shared" si="0"/>
        <v>126851</v>
      </c>
      <c r="L31" s="339">
        <v>9588</v>
      </c>
      <c r="M31" s="339"/>
      <c r="N31" s="339"/>
      <c r="O31" s="339">
        <v>320</v>
      </c>
      <c r="P31" s="339"/>
      <c r="Q31" s="675"/>
      <c r="R31" s="282"/>
      <c r="S31" s="665"/>
      <c r="T31" s="665"/>
      <c r="U31" s="665"/>
      <c r="V31" s="665"/>
      <c r="W31" s="665"/>
      <c r="X31" s="286"/>
      <c r="Y31" s="286"/>
      <c r="Z31" s="733"/>
      <c r="AA31" s="302" t="s">
        <v>756</v>
      </c>
      <c r="AB31" s="303">
        <v>477002.58064516127</v>
      </c>
      <c r="AC31" s="305">
        <f t="shared" si="10"/>
        <v>0.21402217341084251</v>
      </c>
      <c r="AD31" s="304">
        <f>AD26/31</f>
        <v>579091.70967741939</v>
      </c>
      <c r="AE31" s="303">
        <f>AE26/31</f>
        <v>632897.58064516133</v>
      </c>
      <c r="AF31" s="305">
        <f t="shared" si="9"/>
        <v>-8.5015131378592845E-2</v>
      </c>
      <c r="AH31" s="232"/>
      <c r="AI31" s="630"/>
      <c r="AJ31" s="630"/>
      <c r="AK31" s="232"/>
    </row>
    <row r="32" spans="1:37" ht="30.9" customHeight="1" thickTop="1" thickBot="1">
      <c r="A32" s="373">
        <v>46173</v>
      </c>
      <c r="B32" s="378" t="s">
        <v>59</v>
      </c>
      <c r="C32" s="380">
        <v>516680</v>
      </c>
      <c r="D32" s="380">
        <v>174552</v>
      </c>
      <c r="E32" s="381">
        <f t="shared" si="1"/>
        <v>691232</v>
      </c>
      <c r="F32" s="350">
        <v>494026</v>
      </c>
      <c r="G32" s="183">
        <f>E32-F32</f>
        <v>197206</v>
      </c>
      <c r="H32" s="183">
        <v>0</v>
      </c>
      <c r="I32" s="184">
        <f t="shared" si="3"/>
        <v>3787173</v>
      </c>
      <c r="J32" s="710"/>
      <c r="K32" s="339">
        <f t="shared" si="0"/>
        <v>494026</v>
      </c>
      <c r="L32" s="339"/>
      <c r="M32" s="339"/>
      <c r="N32" s="339"/>
      <c r="O32" s="339"/>
      <c r="P32" s="339"/>
      <c r="Q32" s="675"/>
      <c r="R32" s="348" t="s">
        <v>778</v>
      </c>
      <c r="S32" s="665"/>
      <c r="T32" s="665"/>
      <c r="U32" s="665"/>
      <c r="V32" s="665"/>
      <c r="W32" s="665"/>
      <c r="X32" s="286"/>
      <c r="Y32" s="286"/>
      <c r="Z32" s="733"/>
      <c r="AA32" s="601"/>
      <c r="AB32" s="601"/>
      <c r="AC32" s="601"/>
      <c r="AD32" s="601"/>
      <c r="AE32" s="601"/>
      <c r="AF32" s="601"/>
      <c r="AH32" s="232"/>
      <c r="AI32" s="630"/>
      <c r="AJ32" s="630"/>
      <c r="AK32" s="232"/>
    </row>
    <row r="33" spans="1:39" ht="30.9" customHeight="1" thickTop="1">
      <c r="A33" s="374"/>
      <c r="B33" s="265"/>
      <c r="C33" s="265"/>
      <c r="D33" s="265"/>
      <c r="E33" s="183"/>
      <c r="F33" s="293">
        <v>100000</v>
      </c>
      <c r="G33" s="293">
        <f t="shared" si="2"/>
        <v>-100000</v>
      </c>
      <c r="H33" s="183"/>
      <c r="I33" s="184">
        <f t="shared" si="3"/>
        <v>3687173</v>
      </c>
      <c r="J33" s="710"/>
      <c r="K33" s="339">
        <f t="shared" si="0"/>
        <v>0</v>
      </c>
      <c r="L33" s="339"/>
      <c r="M33" s="339"/>
      <c r="N33" s="339"/>
      <c r="O33" s="339">
        <v>100000</v>
      </c>
      <c r="P33" s="339"/>
      <c r="Q33" s="675"/>
      <c r="R33" s="348" t="s">
        <v>775</v>
      </c>
      <c r="S33" s="665"/>
      <c r="T33" s="665"/>
      <c r="U33" s="665"/>
      <c r="V33" s="665"/>
      <c r="W33" s="665"/>
      <c r="X33" s="286"/>
      <c r="Y33" s="286"/>
      <c r="Z33" s="733"/>
      <c r="AA33" s="490"/>
      <c r="AB33" s="490"/>
      <c r="AC33" s="490"/>
      <c r="AD33" s="490"/>
      <c r="AE33" s="490"/>
      <c r="AF33" s="490"/>
      <c r="AI33" s="81"/>
      <c r="AJ33" s="81"/>
    </row>
    <row r="34" spans="1:39" ht="45" customHeight="1">
      <c r="A34" s="672" t="s">
        <v>247</v>
      </c>
      <c r="B34" s="673"/>
      <c r="C34" s="292">
        <f t="shared" ref="C34:D34" si="12">SUM(C2:C33)</f>
        <v>14338205</v>
      </c>
      <c r="D34" s="292">
        <f t="shared" si="12"/>
        <v>3613638</v>
      </c>
      <c r="E34" s="292">
        <f>SUM(E2:E33)</f>
        <v>17951843</v>
      </c>
      <c r="F34" s="292">
        <f>SUM(F2:F33)</f>
        <v>14259610</v>
      </c>
      <c r="G34" s="292">
        <f>SUM(G2:G33)</f>
        <v>3692233</v>
      </c>
      <c r="H34" s="292">
        <f>SUM(H2:H33)</f>
        <v>-5060</v>
      </c>
      <c r="I34" s="184">
        <f>E34-F34+H34</f>
        <v>3687173</v>
      </c>
      <c r="J34" s="710"/>
      <c r="K34" s="340">
        <f>SUM(K2:K33)</f>
        <v>13725384</v>
      </c>
      <c r="L34" s="340">
        <f t="shared" ref="L34:P34" si="13">SUM(L2:L33)</f>
        <v>74789</v>
      </c>
      <c r="M34" s="340">
        <f t="shared" si="13"/>
        <v>78597</v>
      </c>
      <c r="N34" s="340">
        <f t="shared" si="13"/>
        <v>0</v>
      </c>
      <c r="O34" s="340">
        <f t="shared" si="13"/>
        <v>298552</v>
      </c>
      <c r="P34" s="340">
        <f t="shared" si="13"/>
        <v>82288</v>
      </c>
      <c r="Q34" s="675"/>
      <c r="Z34" s="733"/>
      <c r="AA34" s="490"/>
      <c r="AB34" s="490"/>
      <c r="AC34" s="490"/>
      <c r="AD34" s="490"/>
      <c r="AE34" s="490"/>
      <c r="AF34" s="490"/>
      <c r="AH34" s="674"/>
      <c r="AI34" s="674"/>
      <c r="AJ34" s="674"/>
      <c r="AK34" s="674"/>
      <c r="AL34" s="674"/>
      <c r="AM34" s="674"/>
    </row>
    <row r="35" spans="1:39">
      <c r="A35" s="375"/>
    </row>
    <row r="36" spans="1:39">
      <c r="A36" s="375"/>
    </row>
    <row r="37" spans="1:39">
      <c r="A37" s="375"/>
    </row>
    <row r="38" spans="1:39">
      <c r="A38" s="375"/>
    </row>
    <row r="39" spans="1:39">
      <c r="A39" s="375"/>
      <c r="F39" s="104"/>
    </row>
    <row r="40" spans="1:39" ht="21" customHeight="1">
      <c r="A40" s="375"/>
    </row>
    <row r="41" spans="1:39" ht="23.1" customHeight="1">
      <c r="A41" s="375"/>
    </row>
    <row r="42" spans="1:39">
      <c r="A42" s="375"/>
    </row>
    <row r="43" spans="1:39" ht="29.1" customHeight="1">
      <c r="A43" s="375"/>
    </row>
    <row r="44" spans="1:39" ht="15" customHeight="1">
      <c r="A44" s="375"/>
    </row>
    <row r="45" spans="1:39">
      <c r="A45" s="375"/>
    </row>
    <row r="46" spans="1:39">
      <c r="A46" s="375"/>
    </row>
    <row r="47" spans="1:39">
      <c r="A47" s="375"/>
    </row>
    <row r="48" spans="1:39">
      <c r="A48" s="375"/>
    </row>
    <row r="49" spans="1:1">
      <c r="A49" s="375"/>
    </row>
    <row r="50" spans="1:1">
      <c r="A50" s="375"/>
    </row>
    <row r="51" spans="1:1" ht="18.899999999999999" customHeight="1">
      <c r="A51" s="375"/>
    </row>
  </sheetData>
  <mergeCells count="81">
    <mergeCell ref="A1:B1"/>
    <mergeCell ref="J1:J34"/>
    <mergeCell ref="Q1:Q34"/>
    <mergeCell ref="R1:Y1"/>
    <mergeCell ref="Z1:Z34"/>
    <mergeCell ref="R4:S5"/>
    <mergeCell ref="S9:Y9"/>
    <mergeCell ref="R10:Y10"/>
    <mergeCell ref="R11:Y11"/>
    <mergeCell ref="V8:Y8"/>
    <mergeCell ref="R3:S3"/>
    <mergeCell ref="W3:Y3"/>
    <mergeCell ref="V7:Y7"/>
    <mergeCell ref="W18:Y18"/>
    <mergeCell ref="R16:T16"/>
    <mergeCell ref="U16:Y16"/>
    <mergeCell ref="AA3:AC3"/>
    <mergeCell ref="AD3:AF3"/>
    <mergeCell ref="AA1:AF1"/>
    <mergeCell ref="AH5:AK5"/>
    <mergeCell ref="R6:Y6"/>
    <mergeCell ref="AH6:AI6"/>
    <mergeCell ref="AJ6:AK6"/>
    <mergeCell ref="AH1:AK1"/>
    <mergeCell ref="R2:Y2"/>
    <mergeCell ref="AA2:AC2"/>
    <mergeCell ref="AE2:AF2"/>
    <mergeCell ref="AH2:AK2"/>
    <mergeCell ref="AA15:AC15"/>
    <mergeCell ref="AD15:AF15"/>
    <mergeCell ref="AH15:AH16"/>
    <mergeCell ref="AI15:AJ15"/>
    <mergeCell ref="AI16:AJ16"/>
    <mergeCell ref="AH11:AK11"/>
    <mergeCell ref="AH12:AJ12"/>
    <mergeCell ref="AH13:AI14"/>
    <mergeCell ref="AA14:AC14"/>
    <mergeCell ref="AE14:AF14"/>
    <mergeCell ref="R17:W17"/>
    <mergeCell ref="AI17:AJ17"/>
    <mergeCell ref="W22:Y22"/>
    <mergeCell ref="AA22:AD23"/>
    <mergeCell ref="AE22:AF23"/>
    <mergeCell ref="AH22:AK22"/>
    <mergeCell ref="W23:Y23"/>
    <mergeCell ref="W19:Y19"/>
    <mergeCell ref="AH19:AJ19"/>
    <mergeCell ref="AH20:AJ20"/>
    <mergeCell ref="R21:Y21"/>
    <mergeCell ref="AH21:AJ21"/>
    <mergeCell ref="AH23:AK23"/>
    <mergeCell ref="AH18:AJ18"/>
    <mergeCell ref="AA24:AF24"/>
    <mergeCell ref="AH24:AJ24"/>
    <mergeCell ref="R25:W25"/>
    <mergeCell ref="AB25:AC25"/>
    <mergeCell ref="AE25:AF25"/>
    <mergeCell ref="AI25:AJ25"/>
    <mergeCell ref="AH29:AJ29"/>
    <mergeCell ref="S26:U26"/>
    <mergeCell ref="V26:W26"/>
    <mergeCell ref="AI26:AJ26"/>
    <mergeCell ref="S27:U27"/>
    <mergeCell ref="V27:W27"/>
    <mergeCell ref="AI27:AJ27"/>
    <mergeCell ref="AA32:AF34"/>
    <mergeCell ref="S33:W33"/>
    <mergeCell ref="A34:B34"/>
    <mergeCell ref="AH34:AM34"/>
    <mergeCell ref="C1:E1"/>
    <mergeCell ref="S30:W30"/>
    <mergeCell ref="AI30:AJ30"/>
    <mergeCell ref="S31:W31"/>
    <mergeCell ref="AI31:AJ31"/>
    <mergeCell ref="S32:W32"/>
    <mergeCell ref="AI32:AJ32"/>
    <mergeCell ref="S28:U28"/>
    <mergeCell ref="V28:W28"/>
    <mergeCell ref="AI28:AJ28"/>
    <mergeCell ref="S29:U29"/>
    <mergeCell ref="V29:W29"/>
  </mergeCells>
  <conditionalFormatting sqref="L2:P32">
    <cfRule type="cellIs" dxfId="18" priority="1" operator="greaterThan">
      <formula>0</formula>
    </cfRule>
    <cfRule type="cellIs" dxfId="17" priority="2" operator="equal">
      <formula>0</formula>
    </cfRule>
    <cfRule type="cellIs" dxfId="16" priority="3" operator="equal">
      <formula>"¥11.055"</formula>
    </cfRule>
    <cfRule type="cellIs" dxfId="15" priority="4" operator="equal">
      <formula>0</formula>
    </cfRule>
  </conditionalFormatting>
  <conditionalFormatting sqref="O33">
    <cfRule type="cellIs" dxfId="14" priority="6" operator="greaterThan">
      <formula>0</formula>
    </cfRule>
    <cfRule type="cellIs" dxfId="13" priority="7" operator="equal">
      <formula>0</formula>
    </cfRule>
    <cfRule type="cellIs" dxfId="12" priority="8" operator="equal">
      <formula>"¥11.055"</formula>
    </cfRule>
    <cfRule type="cellIs" dxfId="11" priority="9" operator="equal">
      <formula>0</formula>
    </cfRule>
  </conditionalFormatting>
  <conditionalFormatting sqref="AK12:AK18">
    <cfRule type="cellIs" dxfId="10" priority="5" operator="greaterThan">
      <formula>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D43B2-F95D-4AF5-984F-5D62207C604C}">
  <dimension ref="A1:AN51"/>
  <sheetViews>
    <sheetView tabSelected="1" zoomScaleNormal="100" workbookViewId="0">
      <pane ySplit="1" topLeftCell="A2" activePane="bottomLeft" state="frozen"/>
      <selection pane="bottomLeft" activeCell="O32" sqref="O32"/>
    </sheetView>
  </sheetViews>
  <sheetFormatPr defaultColWidth="10.6328125" defaultRowHeight="18"/>
  <cols>
    <col min="1" max="1" width="3" style="376" customWidth="1"/>
    <col min="2" max="2" width="2.90625" style="69" customWidth="1"/>
    <col min="3" max="4" width="7" style="69" customWidth="1"/>
    <col min="5" max="5" width="12" style="69" customWidth="1"/>
    <col min="6" max="6" width="10" style="69" customWidth="1"/>
    <col min="7" max="7" width="11.08984375" style="69" customWidth="1"/>
    <col min="8" max="8" width="5.81640625" style="69" customWidth="1"/>
    <col min="9" max="9" width="11.7265625" style="69" customWidth="1"/>
    <col min="10" max="10" width="2.90625" style="69" customWidth="1"/>
    <col min="11" max="15" width="11.90625" style="69" customWidth="1"/>
    <col min="16" max="16" width="10.54296875" style="69" customWidth="1"/>
    <col min="17" max="17" width="3" style="69" customWidth="1"/>
    <col min="18" max="27" width="7.08984375" style="69" customWidth="1"/>
    <col min="28" max="28" width="13.1796875" style="69" customWidth="1"/>
    <col min="29" max="29" width="13.1796875" style="296" customWidth="1"/>
    <col min="30" max="30" width="5.81640625" style="297" customWidth="1"/>
    <col min="31" max="31" width="13.1796875" style="69" customWidth="1"/>
    <col min="32" max="32" width="13.81640625" style="296" customWidth="1"/>
    <col min="33" max="33" width="4.90625" style="297" customWidth="1"/>
    <col min="34" max="34" width="7.7265625" style="296" customWidth="1"/>
    <col min="35" max="35" width="14.6328125" style="69" customWidth="1"/>
    <col min="36" max="36" width="10.36328125" style="69" customWidth="1"/>
    <col min="37" max="37" width="11.453125" style="69" customWidth="1"/>
    <col min="38" max="38" width="21" style="69" customWidth="1"/>
    <col min="39" max="16384" width="10.6328125" style="69"/>
  </cols>
  <sheetData>
    <row r="1" spans="1:38" ht="38.25" customHeight="1" thickTop="1" thickBot="1">
      <c r="A1" s="781" t="s">
        <v>0</v>
      </c>
      <c r="B1" s="781"/>
      <c r="C1" s="782" t="s">
        <v>456</v>
      </c>
      <c r="D1" s="783"/>
      <c r="E1" s="784"/>
      <c r="F1" s="387" t="s">
        <v>457</v>
      </c>
      <c r="G1" s="387" t="s">
        <v>67</v>
      </c>
      <c r="H1" s="387" t="s">
        <v>267</v>
      </c>
      <c r="I1" s="388" t="s">
        <v>464</v>
      </c>
      <c r="J1" s="710"/>
      <c r="K1" s="338" t="s">
        <v>705</v>
      </c>
      <c r="L1" s="338" t="s">
        <v>741</v>
      </c>
      <c r="M1" s="338" t="s">
        <v>707</v>
      </c>
      <c r="N1" s="338" t="s">
        <v>708</v>
      </c>
      <c r="O1" s="338" t="s">
        <v>710</v>
      </c>
      <c r="P1" s="338" t="s">
        <v>742</v>
      </c>
      <c r="Q1" s="675"/>
      <c r="R1" s="723" t="s">
        <v>973</v>
      </c>
      <c r="S1" s="723"/>
      <c r="T1" s="723"/>
      <c r="U1" s="723"/>
      <c r="V1" s="723"/>
      <c r="W1" s="723"/>
      <c r="X1" s="723"/>
      <c r="Y1" s="723"/>
      <c r="Z1" s="723"/>
      <c r="AA1" s="723"/>
      <c r="AB1" s="676" t="s">
        <v>718</v>
      </c>
      <c r="AC1" s="677"/>
      <c r="AD1" s="677"/>
      <c r="AE1" s="677"/>
      <c r="AF1" s="677"/>
      <c r="AG1" s="678"/>
      <c r="AH1" s="281"/>
      <c r="AI1" s="631" t="s">
        <v>642</v>
      </c>
      <c r="AJ1" s="632"/>
      <c r="AK1" s="632"/>
      <c r="AL1" s="632"/>
    </row>
    <row r="2" spans="1:38" ht="30.9" customHeight="1" thickTop="1" thickBot="1">
      <c r="A2" s="373">
        <v>46174</v>
      </c>
      <c r="B2" s="377" t="s">
        <v>61</v>
      </c>
      <c r="C2" s="380"/>
      <c r="D2" s="380"/>
      <c r="E2" s="389">
        <f>C2+D2</f>
        <v>0</v>
      </c>
      <c r="F2" s="183"/>
      <c r="G2" s="183">
        <f>E2-F2</f>
        <v>0</v>
      </c>
      <c r="H2" s="183"/>
      <c r="I2" s="221">
        <f>G2+H2</f>
        <v>0</v>
      </c>
      <c r="J2" s="710"/>
      <c r="K2" s="339">
        <f t="shared" ref="K2:K33" si="0">F2-SUM(L2:P2)</f>
        <v>0</v>
      </c>
      <c r="L2" s="339"/>
      <c r="M2" s="339"/>
      <c r="N2" s="339"/>
      <c r="O2" s="339"/>
      <c r="P2" s="339"/>
      <c r="Q2" s="675"/>
      <c r="R2" s="709" t="s">
        <v>801</v>
      </c>
      <c r="S2" s="709"/>
      <c r="T2" s="709"/>
      <c r="U2" s="709"/>
      <c r="V2" s="709"/>
      <c r="W2" s="709"/>
      <c r="X2" s="709"/>
      <c r="Y2" s="709"/>
      <c r="Z2" s="709"/>
      <c r="AA2" s="709"/>
      <c r="AB2" s="734" t="s">
        <v>711</v>
      </c>
      <c r="AC2" s="725"/>
      <c r="AD2" s="726"/>
      <c r="AE2" s="346">
        <f>AF13+AC13</f>
        <v>585124</v>
      </c>
      <c r="AF2" s="681" t="e">
        <f>AD13+AG13</f>
        <v>#DIV/0!</v>
      </c>
      <c r="AG2" s="682"/>
      <c r="AH2" s="81"/>
      <c r="AI2" s="627" t="s">
        <v>638</v>
      </c>
      <c r="AJ2" s="628"/>
      <c r="AK2" s="628"/>
      <c r="AL2" s="628"/>
    </row>
    <row r="3" spans="1:38" ht="30.9" customHeight="1" thickTop="1" thickBot="1">
      <c r="A3" s="373">
        <v>46175</v>
      </c>
      <c r="B3" s="379" t="s">
        <v>63</v>
      </c>
      <c r="C3" s="380"/>
      <c r="D3" s="380"/>
      <c r="E3" s="389">
        <f t="shared" ref="E3:E31" si="1">C3+D3</f>
        <v>0</v>
      </c>
      <c r="F3" s="183"/>
      <c r="G3" s="183">
        <f t="shared" ref="G3:G32" si="2">E3-F3</f>
        <v>0</v>
      </c>
      <c r="H3" s="183"/>
      <c r="I3" s="221">
        <f t="shared" ref="I3:I32" si="3">G3+H3</f>
        <v>0</v>
      </c>
      <c r="J3" s="710"/>
      <c r="K3" s="339">
        <f t="shared" si="0"/>
        <v>0</v>
      </c>
      <c r="L3" s="339"/>
      <c r="M3" s="339"/>
      <c r="N3" s="339"/>
      <c r="O3" s="339"/>
      <c r="P3" s="339"/>
      <c r="Q3" s="675"/>
      <c r="R3" s="725" t="s">
        <v>769</v>
      </c>
      <c r="S3" s="726"/>
      <c r="T3" s="659" t="s">
        <v>251</v>
      </c>
      <c r="U3" s="660"/>
      <c r="V3" s="659" t="s">
        <v>252</v>
      </c>
      <c r="W3" s="660"/>
      <c r="X3" s="659" t="s">
        <v>449</v>
      </c>
      <c r="Y3" s="660"/>
      <c r="Z3" s="659" t="s">
        <v>773</v>
      </c>
      <c r="AA3" s="778"/>
      <c r="AB3" s="713" t="s">
        <v>713</v>
      </c>
      <c r="AC3" s="714"/>
      <c r="AD3" s="714"/>
      <c r="AE3" s="715" t="s">
        <v>712</v>
      </c>
      <c r="AF3" s="715"/>
      <c r="AG3" s="716"/>
      <c r="AH3" s="81"/>
      <c r="AI3" s="246"/>
      <c r="AJ3" s="247"/>
      <c r="AK3" s="247"/>
      <c r="AL3" s="247"/>
    </row>
    <row r="4" spans="1:38" ht="30.9" customHeight="1" thickTop="1" thickBot="1">
      <c r="A4" s="373">
        <v>46176</v>
      </c>
      <c r="B4" s="377" t="s">
        <v>65</v>
      </c>
      <c r="C4" s="380"/>
      <c r="D4" s="380"/>
      <c r="E4" s="389">
        <f t="shared" si="1"/>
        <v>0</v>
      </c>
      <c r="F4" s="183"/>
      <c r="G4" s="183">
        <f t="shared" si="2"/>
        <v>0</v>
      </c>
      <c r="H4" s="183"/>
      <c r="I4" s="221">
        <f t="shared" si="3"/>
        <v>0</v>
      </c>
      <c r="J4" s="710"/>
      <c r="K4" s="339">
        <f t="shared" si="0"/>
        <v>0</v>
      </c>
      <c r="L4" s="339"/>
      <c r="M4" s="339"/>
      <c r="N4" s="339"/>
      <c r="O4" s="339"/>
      <c r="P4" s="339"/>
      <c r="Q4" s="675"/>
      <c r="R4" s="727">
        <f>E34</f>
        <v>0</v>
      </c>
      <c r="S4" s="728"/>
      <c r="T4" s="776">
        <v>0</v>
      </c>
      <c r="U4" s="777"/>
      <c r="V4" s="776"/>
      <c r="W4" s="777"/>
      <c r="X4" s="776">
        <f>-H34</f>
        <v>0</v>
      </c>
      <c r="Y4" s="777"/>
      <c r="Z4" s="776"/>
      <c r="AA4" s="779"/>
      <c r="AB4" s="319" t="s">
        <v>714</v>
      </c>
      <c r="AC4" s="243">
        <f>192550+60165</f>
        <v>252715</v>
      </c>
      <c r="AD4" s="312" t="e">
        <f>AC4/$R$4</f>
        <v>#DIV/0!</v>
      </c>
      <c r="AE4" s="328" t="s">
        <v>719</v>
      </c>
      <c r="AF4" s="243">
        <f>S8</f>
        <v>0</v>
      </c>
      <c r="AG4" s="313" t="e">
        <f>AF4/$R$4</f>
        <v>#DIV/0!</v>
      </c>
      <c r="AI4" s="249"/>
      <c r="AJ4" s="250"/>
      <c r="AK4" s="250"/>
      <c r="AL4" s="250"/>
    </row>
    <row r="5" spans="1:38" ht="30.9" customHeight="1" thickTop="1" thickBot="1">
      <c r="A5" s="373">
        <v>46177</v>
      </c>
      <c r="B5" s="377" t="s">
        <v>54</v>
      </c>
      <c r="C5" s="380"/>
      <c r="D5" s="380"/>
      <c r="E5" s="389">
        <f t="shared" si="1"/>
        <v>0</v>
      </c>
      <c r="F5" s="183"/>
      <c r="G5" s="183">
        <f t="shared" si="2"/>
        <v>0</v>
      </c>
      <c r="H5" s="183"/>
      <c r="I5" s="221">
        <f t="shared" si="3"/>
        <v>0</v>
      </c>
      <c r="J5" s="710"/>
      <c r="K5" s="339">
        <f t="shared" si="0"/>
        <v>0</v>
      </c>
      <c r="L5" s="339"/>
      <c r="M5" s="339"/>
      <c r="N5" s="339"/>
      <c r="O5" s="339"/>
      <c r="P5" s="339"/>
      <c r="Q5" s="675"/>
      <c r="R5" s="729"/>
      <c r="S5" s="730"/>
      <c r="T5" s="763">
        <f>IF(R4&lt;&gt;0,T4/R4,0)</f>
        <v>0</v>
      </c>
      <c r="U5" s="764"/>
      <c r="V5" s="763">
        <f>IF(R4&lt;&gt;0,V4/R4,0)</f>
        <v>0</v>
      </c>
      <c r="W5" s="764"/>
      <c r="X5" s="763">
        <f>IF(R4&lt;&gt;0,X4/R4,0)</f>
        <v>0</v>
      </c>
      <c r="Y5" s="764"/>
      <c r="Z5" s="763">
        <f>IF(R4&lt;&gt;0,Z4/R4,0)</f>
        <v>0</v>
      </c>
      <c r="AA5" s="780"/>
      <c r="AB5" s="319" t="s">
        <v>715</v>
      </c>
      <c r="AC5" s="243">
        <v>26055</v>
      </c>
      <c r="AD5" s="312" t="e">
        <f t="shared" ref="AD5:AD12" si="4">AC5/$R$4</f>
        <v>#DIV/0!</v>
      </c>
      <c r="AE5" s="328" t="s">
        <v>720</v>
      </c>
      <c r="AF5" s="243">
        <f>SUM(R14:AA14)</f>
        <v>0</v>
      </c>
      <c r="AG5" s="313" t="e">
        <f t="shared" ref="AG5:AG12" si="5">AF5/$R$4</f>
        <v>#DIV/0!</v>
      </c>
      <c r="AI5" s="654" t="s">
        <v>639</v>
      </c>
      <c r="AJ5" s="655"/>
      <c r="AK5" s="655"/>
      <c r="AL5" s="655"/>
    </row>
    <row r="6" spans="1:38" ht="30.9" customHeight="1" thickTop="1" thickBot="1">
      <c r="A6" s="373">
        <v>46178</v>
      </c>
      <c r="B6" s="377" t="s">
        <v>55</v>
      </c>
      <c r="C6" s="380"/>
      <c r="D6" s="380"/>
      <c r="E6" s="389">
        <f t="shared" si="1"/>
        <v>0</v>
      </c>
      <c r="F6" s="183"/>
      <c r="G6" s="183">
        <f t="shared" si="2"/>
        <v>0</v>
      </c>
      <c r="H6" s="183"/>
      <c r="I6" s="221">
        <f t="shared" si="3"/>
        <v>0</v>
      </c>
      <c r="J6" s="710"/>
      <c r="K6" s="339">
        <f t="shared" si="0"/>
        <v>0</v>
      </c>
      <c r="L6" s="339"/>
      <c r="M6" s="339"/>
      <c r="N6" s="339"/>
      <c r="O6" s="339"/>
      <c r="P6" s="339"/>
      <c r="Q6" s="675"/>
      <c r="R6" s="702" t="s">
        <v>250</v>
      </c>
      <c r="S6" s="702"/>
      <c r="T6" s="702"/>
      <c r="U6" s="702"/>
      <c r="V6" s="702"/>
      <c r="W6" s="702"/>
      <c r="X6" s="702"/>
      <c r="Y6" s="702"/>
      <c r="Z6" s="702"/>
      <c r="AA6" s="702"/>
      <c r="AB6" s="319" t="s">
        <v>716</v>
      </c>
      <c r="AC6" s="243">
        <v>6080</v>
      </c>
      <c r="AD6" s="312" t="e">
        <f t="shared" si="4"/>
        <v>#DIV/0!</v>
      </c>
      <c r="AE6" s="328" t="s">
        <v>721</v>
      </c>
      <c r="AF6" s="243">
        <f>'Chi phí tháng'!D38</f>
        <v>107004</v>
      </c>
      <c r="AG6" s="313" t="e">
        <f t="shared" si="5"/>
        <v>#DIV/0!</v>
      </c>
      <c r="AI6" s="650" t="s">
        <v>231</v>
      </c>
      <c r="AJ6" s="650"/>
      <c r="AK6" s="490"/>
      <c r="AL6" s="490"/>
    </row>
    <row r="7" spans="1:38" ht="30.9" customHeight="1" thickTop="1" thickBot="1">
      <c r="A7" s="373">
        <v>46179</v>
      </c>
      <c r="B7" s="378" t="s">
        <v>57</v>
      </c>
      <c r="C7" s="380"/>
      <c r="D7" s="380"/>
      <c r="E7" s="389">
        <f t="shared" si="1"/>
        <v>0</v>
      </c>
      <c r="F7" s="183"/>
      <c r="G7" s="183">
        <f t="shared" si="2"/>
        <v>0</v>
      </c>
      <c r="H7" s="183"/>
      <c r="I7" s="221">
        <f t="shared" si="3"/>
        <v>0</v>
      </c>
      <c r="J7" s="710"/>
      <c r="K7" s="339">
        <f t="shared" si="0"/>
        <v>0</v>
      </c>
      <c r="L7" s="339"/>
      <c r="M7" s="339"/>
      <c r="N7" s="339"/>
      <c r="O7" s="339"/>
      <c r="P7" s="339"/>
      <c r="Q7" s="675"/>
      <c r="R7" s="767" t="s">
        <v>705</v>
      </c>
      <c r="S7" s="768"/>
      <c r="T7" s="758" t="s">
        <v>253</v>
      </c>
      <c r="U7" s="760"/>
      <c r="V7" s="771" t="s">
        <v>624</v>
      </c>
      <c r="W7" s="772"/>
      <c r="X7" s="703" t="s">
        <v>247</v>
      </c>
      <c r="Y7" s="704"/>
      <c r="Z7" s="704"/>
      <c r="AA7" s="704"/>
      <c r="AB7" s="319" t="s">
        <v>717</v>
      </c>
      <c r="AC7" s="243">
        <f>U19</f>
        <v>0</v>
      </c>
      <c r="AD7" s="312" t="e">
        <f t="shared" si="4"/>
        <v>#DIV/0!</v>
      </c>
      <c r="AE7" s="328" t="s">
        <v>722</v>
      </c>
      <c r="AF7" s="243">
        <f>'Chi phí tháng'!F38/2</f>
        <v>0</v>
      </c>
      <c r="AG7" s="313" t="e">
        <f t="shared" si="5"/>
        <v>#DIV/0!</v>
      </c>
      <c r="AI7" s="384" t="s">
        <v>640</v>
      </c>
      <c r="AJ7" s="382">
        <v>350000</v>
      </c>
    </row>
    <row r="8" spans="1:38" ht="30.9" customHeight="1" thickTop="1" thickBot="1">
      <c r="A8" s="373">
        <v>46180</v>
      </c>
      <c r="B8" s="378" t="s">
        <v>59</v>
      </c>
      <c r="C8" s="380"/>
      <c r="D8" s="380"/>
      <c r="E8" s="389">
        <f t="shared" si="1"/>
        <v>0</v>
      </c>
      <c r="F8" s="183"/>
      <c r="G8" s="183">
        <f t="shared" si="2"/>
        <v>0</v>
      </c>
      <c r="H8" s="183"/>
      <c r="I8" s="221">
        <f t="shared" si="3"/>
        <v>0</v>
      </c>
      <c r="J8" s="710"/>
      <c r="K8" s="339">
        <f t="shared" si="0"/>
        <v>0</v>
      </c>
      <c r="L8" s="339"/>
      <c r="M8" s="339"/>
      <c r="N8" s="339"/>
      <c r="O8" s="339"/>
      <c r="P8" s="339"/>
      <c r="Q8" s="675"/>
      <c r="R8" s="769">
        <f>F34</f>
        <v>0</v>
      </c>
      <c r="S8" s="770"/>
      <c r="T8" s="765">
        <f>U16</f>
        <v>1402400</v>
      </c>
      <c r="U8" s="766"/>
      <c r="V8" s="773">
        <f>Y19</f>
        <v>368177</v>
      </c>
      <c r="W8" s="774"/>
      <c r="X8" s="705">
        <f>SUM(R8:W8)</f>
        <v>1770577</v>
      </c>
      <c r="Y8" s="706"/>
      <c r="Z8" s="706"/>
      <c r="AA8" s="706"/>
      <c r="AB8" s="319" t="s">
        <v>723</v>
      </c>
      <c r="AC8" s="243">
        <v>5500</v>
      </c>
      <c r="AD8" s="312" t="e">
        <f t="shared" si="4"/>
        <v>#DIV/0!</v>
      </c>
      <c r="AE8" s="328" t="s">
        <v>708</v>
      </c>
      <c r="AF8" s="243">
        <f>N34</f>
        <v>0</v>
      </c>
      <c r="AG8" s="313" t="e">
        <f t="shared" si="5"/>
        <v>#DIV/0!</v>
      </c>
      <c r="AI8" s="384" t="s">
        <v>641</v>
      </c>
      <c r="AJ8" s="382">
        <v>55000</v>
      </c>
    </row>
    <row r="9" spans="1:38" ht="30.9" customHeight="1" thickTop="1" thickBot="1">
      <c r="A9" s="373">
        <v>46181</v>
      </c>
      <c r="B9" s="377" t="s">
        <v>61</v>
      </c>
      <c r="C9" s="380"/>
      <c r="D9" s="380"/>
      <c r="E9" s="389">
        <f t="shared" si="1"/>
        <v>0</v>
      </c>
      <c r="F9" s="183"/>
      <c r="G9" s="183">
        <f t="shared" si="2"/>
        <v>0</v>
      </c>
      <c r="H9" s="183"/>
      <c r="I9" s="221">
        <f t="shared" si="3"/>
        <v>0</v>
      </c>
      <c r="J9" s="710"/>
      <c r="K9" s="339">
        <f t="shared" si="0"/>
        <v>0</v>
      </c>
      <c r="L9" s="339"/>
      <c r="M9" s="339"/>
      <c r="N9" s="339"/>
      <c r="O9" s="339"/>
      <c r="P9" s="339"/>
      <c r="Q9" s="675"/>
      <c r="R9" s="331" t="s">
        <v>266</v>
      </c>
      <c r="S9" s="731">
        <f>R4-X8-Z4-X4</f>
        <v>-1770577</v>
      </c>
      <c r="T9" s="732"/>
      <c r="U9" s="732"/>
      <c r="V9" s="732"/>
      <c r="W9" s="732"/>
      <c r="X9" s="732"/>
      <c r="Y9" s="732"/>
      <c r="Z9" s="732"/>
      <c r="AA9" s="775"/>
      <c r="AB9" s="319" t="s">
        <v>724</v>
      </c>
      <c r="AC9" s="243">
        <v>0</v>
      </c>
      <c r="AD9" s="312" t="e">
        <f t="shared" si="4"/>
        <v>#DIV/0!</v>
      </c>
      <c r="AE9" s="328" t="s">
        <v>707</v>
      </c>
      <c r="AF9" s="243">
        <f>M34</f>
        <v>0</v>
      </c>
      <c r="AG9" s="313" t="e">
        <f t="shared" si="5"/>
        <v>#DIV/0!</v>
      </c>
      <c r="AI9" s="385" t="s">
        <v>495</v>
      </c>
      <c r="AJ9" s="382">
        <v>35000</v>
      </c>
    </row>
    <row r="10" spans="1:38" ht="30.9" customHeight="1" thickTop="1" thickBot="1">
      <c r="A10" s="373">
        <v>46182</v>
      </c>
      <c r="B10" s="379" t="s">
        <v>63</v>
      </c>
      <c r="C10" s="380"/>
      <c r="D10" s="380"/>
      <c r="E10" s="389">
        <f t="shared" si="1"/>
        <v>0</v>
      </c>
      <c r="F10" s="183"/>
      <c r="G10" s="183">
        <f t="shared" si="2"/>
        <v>0</v>
      </c>
      <c r="H10" s="183"/>
      <c r="I10" s="221">
        <f t="shared" si="3"/>
        <v>0</v>
      </c>
      <c r="J10" s="710"/>
      <c r="K10" s="339">
        <f t="shared" si="0"/>
        <v>0</v>
      </c>
      <c r="L10" s="339"/>
      <c r="M10" s="339"/>
      <c r="N10" s="339"/>
      <c r="O10" s="339"/>
      <c r="P10" s="339"/>
      <c r="Q10" s="675"/>
      <c r="R10" s="708" t="s">
        <v>257</v>
      </c>
      <c r="S10" s="708"/>
      <c r="T10" s="708"/>
      <c r="U10" s="708"/>
      <c r="V10" s="708"/>
      <c r="W10" s="708"/>
      <c r="X10" s="708"/>
      <c r="Y10" s="708"/>
      <c r="Z10" s="708"/>
      <c r="AA10" s="708"/>
      <c r="AB10" s="319" t="s">
        <v>743</v>
      </c>
      <c r="AC10" s="243">
        <v>0</v>
      </c>
      <c r="AD10" s="312" t="e">
        <f t="shared" si="4"/>
        <v>#DIV/0!</v>
      </c>
      <c r="AE10" s="328" t="s">
        <v>706</v>
      </c>
      <c r="AF10" s="243">
        <f>L34</f>
        <v>0</v>
      </c>
      <c r="AG10" s="313" t="e">
        <f t="shared" si="5"/>
        <v>#DIV/0!</v>
      </c>
      <c r="AI10" s="386" t="s">
        <v>73</v>
      </c>
      <c r="AJ10" s="383">
        <f>SUM(AJ7:AJ9)</f>
        <v>440000</v>
      </c>
      <c r="AK10" s="252"/>
      <c r="AL10" s="252"/>
    </row>
    <row r="11" spans="1:38" ht="30.9" customHeight="1" thickTop="1" thickBot="1">
      <c r="A11" s="373">
        <v>46183</v>
      </c>
      <c r="B11" s="377" t="s">
        <v>65</v>
      </c>
      <c r="C11" s="380"/>
      <c r="D11" s="380"/>
      <c r="E11" s="389">
        <f t="shared" si="1"/>
        <v>0</v>
      </c>
      <c r="F11" s="183"/>
      <c r="G11" s="183">
        <f t="shared" si="2"/>
        <v>0</v>
      </c>
      <c r="H11" s="183"/>
      <c r="I11" s="221">
        <f t="shared" si="3"/>
        <v>0</v>
      </c>
      <c r="J11" s="710"/>
      <c r="K11" s="339">
        <f t="shared" si="0"/>
        <v>0</v>
      </c>
      <c r="L11" s="339"/>
      <c r="M11" s="339"/>
      <c r="N11" s="339"/>
      <c r="O11" s="339"/>
      <c r="P11" s="339"/>
      <c r="Q11" s="675"/>
      <c r="R11" s="707" t="s">
        <v>477</v>
      </c>
      <c r="S11" s="707"/>
      <c r="T11" s="707"/>
      <c r="U11" s="707"/>
      <c r="V11" s="707"/>
      <c r="W11" s="707"/>
      <c r="X11" s="707"/>
      <c r="Y11" s="707"/>
      <c r="Z11" s="707"/>
      <c r="AA11" s="707"/>
      <c r="AB11" s="319" t="s">
        <v>744</v>
      </c>
      <c r="AC11" s="352">
        <v>187770</v>
      </c>
      <c r="AD11" s="312" t="e">
        <f t="shared" si="4"/>
        <v>#DIV/0!</v>
      </c>
      <c r="AE11" s="328" t="s">
        <v>705</v>
      </c>
      <c r="AF11" s="243">
        <f>K34</f>
        <v>0</v>
      </c>
      <c r="AG11" s="313" t="e">
        <f t="shared" si="5"/>
        <v>#DIV/0!</v>
      </c>
      <c r="AI11" s="647" t="s">
        <v>643</v>
      </c>
      <c r="AJ11" s="647"/>
      <c r="AK11" s="647"/>
      <c r="AL11" s="647"/>
    </row>
    <row r="12" spans="1:38" ht="30.9" customHeight="1" thickTop="1" thickBot="1">
      <c r="A12" s="373">
        <v>46184</v>
      </c>
      <c r="B12" s="377" t="s">
        <v>54</v>
      </c>
      <c r="C12" s="380"/>
      <c r="D12" s="380"/>
      <c r="E12" s="389">
        <f t="shared" si="1"/>
        <v>0</v>
      </c>
      <c r="F12" s="183"/>
      <c r="G12" s="183">
        <f t="shared" si="2"/>
        <v>0</v>
      </c>
      <c r="H12" s="183"/>
      <c r="I12" s="221">
        <f t="shared" si="3"/>
        <v>0</v>
      </c>
      <c r="J12" s="710"/>
      <c r="K12" s="339">
        <f t="shared" si="0"/>
        <v>0</v>
      </c>
      <c r="L12" s="339"/>
      <c r="M12" s="339"/>
      <c r="N12" s="339"/>
      <c r="O12" s="339"/>
      <c r="P12" s="339"/>
      <c r="Q12" s="675"/>
      <c r="R12" s="269" t="s">
        <v>478</v>
      </c>
      <c r="S12" s="229" t="s">
        <v>479</v>
      </c>
      <c r="T12" s="229" t="s">
        <v>480</v>
      </c>
      <c r="U12" s="229" t="s">
        <v>455</v>
      </c>
      <c r="V12" s="284" t="s">
        <v>970</v>
      </c>
      <c r="W12" s="235" t="s">
        <v>969</v>
      </c>
      <c r="X12" s="229" t="s">
        <v>468</v>
      </c>
      <c r="Y12" s="258" t="s">
        <v>230</v>
      </c>
      <c r="Z12" s="308" t="s">
        <v>670</v>
      </c>
      <c r="AA12" s="308" t="s">
        <v>788</v>
      </c>
      <c r="AB12" s="345" t="s">
        <v>771</v>
      </c>
      <c r="AC12" s="243">
        <v>0</v>
      </c>
      <c r="AD12" s="312" t="e">
        <f t="shared" si="4"/>
        <v>#DIV/0!</v>
      </c>
      <c r="AE12" s="328" t="s">
        <v>725</v>
      </c>
      <c r="AF12" s="243">
        <f>O34</f>
        <v>0</v>
      </c>
      <c r="AG12" s="313" t="e">
        <f t="shared" si="5"/>
        <v>#DIV/0!</v>
      </c>
      <c r="AI12" s="650" t="s">
        <v>644</v>
      </c>
      <c r="AJ12" s="650"/>
      <c r="AK12" s="650"/>
      <c r="AL12" s="229">
        <v>0</v>
      </c>
    </row>
    <row r="13" spans="1:38" ht="30.9" customHeight="1" thickTop="1" thickBot="1">
      <c r="A13" s="373">
        <v>46185</v>
      </c>
      <c r="B13" s="377" t="s">
        <v>55</v>
      </c>
      <c r="C13" s="380"/>
      <c r="D13" s="380"/>
      <c r="E13" s="389">
        <f t="shared" si="1"/>
        <v>0</v>
      </c>
      <c r="F13" s="183"/>
      <c r="G13" s="183">
        <f t="shared" si="2"/>
        <v>0</v>
      </c>
      <c r="H13" s="183"/>
      <c r="I13" s="221">
        <f t="shared" si="3"/>
        <v>0</v>
      </c>
      <c r="J13" s="710"/>
      <c r="K13" s="339">
        <f t="shared" si="0"/>
        <v>0</v>
      </c>
      <c r="L13" s="339"/>
      <c r="M13" s="339"/>
      <c r="N13" s="339"/>
      <c r="O13" s="339"/>
      <c r="P13" s="339"/>
      <c r="Q13" s="675"/>
      <c r="R13" s="332">
        <f>AJ10-75000</f>
        <v>365000</v>
      </c>
      <c r="S13" s="229">
        <f>42*1200</f>
        <v>50400</v>
      </c>
      <c r="T13" s="229">
        <v>0</v>
      </c>
      <c r="U13" s="229">
        <f>196*1200</f>
        <v>235200</v>
      </c>
      <c r="V13" s="335">
        <f>200000+6*1200</f>
        <v>207200</v>
      </c>
      <c r="W13" s="237">
        <f>6*7000+3000</f>
        <v>45000</v>
      </c>
      <c r="X13" s="229">
        <f>86.5*1200+13000*3</f>
        <v>142800</v>
      </c>
      <c r="Y13" s="229">
        <v>100000</v>
      </c>
      <c r="Z13" s="266">
        <f>106.5*1200</f>
        <v>127800</v>
      </c>
      <c r="AA13" s="266">
        <f>45*1200</f>
        <v>54000</v>
      </c>
      <c r="AB13" s="311" t="s">
        <v>709</v>
      </c>
      <c r="AC13" s="317">
        <f>SUM(AC4:AC12)</f>
        <v>478120</v>
      </c>
      <c r="AD13" s="312" t="e">
        <f>SUM(AD4:AD12)</f>
        <v>#DIV/0!</v>
      </c>
      <c r="AE13" s="327" t="s">
        <v>709</v>
      </c>
      <c r="AF13" s="317">
        <f>SUM(AF4:AF12)</f>
        <v>107004</v>
      </c>
      <c r="AG13" s="313" t="e">
        <f>SUM(AG4:AG12)</f>
        <v>#DIV/0!</v>
      </c>
      <c r="AI13" s="650" t="s">
        <v>645</v>
      </c>
      <c r="AJ13" s="650"/>
      <c r="AK13" s="261" t="s">
        <v>646</v>
      </c>
      <c r="AL13" s="229">
        <v>0</v>
      </c>
    </row>
    <row r="14" spans="1:38" ht="30.9" customHeight="1" thickTop="1" thickBot="1">
      <c r="A14" s="373">
        <v>46186</v>
      </c>
      <c r="B14" s="378" t="s">
        <v>57</v>
      </c>
      <c r="C14" s="380"/>
      <c r="D14" s="380"/>
      <c r="E14" s="389">
        <f t="shared" si="1"/>
        <v>0</v>
      </c>
      <c r="F14" s="183"/>
      <c r="G14" s="183">
        <f t="shared" si="2"/>
        <v>0</v>
      </c>
      <c r="H14" s="183"/>
      <c r="I14" s="221">
        <f t="shared" si="3"/>
        <v>0</v>
      </c>
      <c r="J14" s="710"/>
      <c r="K14" s="339">
        <f t="shared" si="0"/>
        <v>0</v>
      </c>
      <c r="L14" s="339"/>
      <c r="M14" s="339"/>
      <c r="N14" s="339"/>
      <c r="O14" s="339"/>
      <c r="P14" s="339"/>
      <c r="Q14" s="675"/>
      <c r="R14" s="333">
        <v>0</v>
      </c>
      <c r="S14" s="333">
        <v>0</v>
      </c>
      <c r="T14" s="333">
        <v>0</v>
      </c>
      <c r="U14" s="333">
        <v>0</v>
      </c>
      <c r="V14" s="333">
        <v>0</v>
      </c>
      <c r="W14" s="333">
        <v>0</v>
      </c>
      <c r="X14" s="333">
        <v>0</v>
      </c>
      <c r="Y14" s="333">
        <v>0</v>
      </c>
      <c r="Z14" s="333">
        <v>0</v>
      </c>
      <c r="AA14" s="333">
        <v>0</v>
      </c>
      <c r="AB14" s="735" t="s">
        <v>726</v>
      </c>
      <c r="AC14" s="736"/>
      <c r="AD14" s="737"/>
      <c r="AE14" s="347">
        <f>AC21+AF21</f>
        <v>179187</v>
      </c>
      <c r="AF14" s="681" t="e">
        <f>AD21+AG21</f>
        <v>#DIV/0!</v>
      </c>
      <c r="AG14" s="682"/>
      <c r="AH14" s="81"/>
      <c r="AI14" s="650"/>
      <c r="AJ14" s="650"/>
      <c r="AK14" s="261" t="s">
        <v>647</v>
      </c>
      <c r="AL14" s="229">
        <v>0</v>
      </c>
    </row>
    <row r="15" spans="1:38" ht="30.9" customHeight="1" thickTop="1" thickBot="1">
      <c r="A15" s="373">
        <v>46187</v>
      </c>
      <c r="B15" s="378" t="s">
        <v>59</v>
      </c>
      <c r="C15" s="380"/>
      <c r="D15" s="380"/>
      <c r="E15" s="389">
        <f t="shared" si="1"/>
        <v>0</v>
      </c>
      <c r="F15" s="183"/>
      <c r="G15" s="183">
        <f t="shared" si="2"/>
        <v>0</v>
      </c>
      <c r="H15" s="183"/>
      <c r="I15" s="221">
        <f t="shared" si="3"/>
        <v>0</v>
      </c>
      <c r="J15" s="710"/>
      <c r="K15" s="339">
        <f t="shared" si="0"/>
        <v>0</v>
      </c>
      <c r="L15" s="339"/>
      <c r="M15" s="339"/>
      <c r="N15" s="339"/>
      <c r="O15" s="339"/>
      <c r="P15" s="339"/>
      <c r="Q15" s="675"/>
      <c r="R15" s="334">
        <f>SUM(R13:R14)</f>
        <v>365000</v>
      </c>
      <c r="S15" s="234">
        <f t="shared" ref="S15:AA15" si="6">SUM(S13:S14)</f>
        <v>50400</v>
      </c>
      <c r="T15" s="234">
        <f t="shared" si="6"/>
        <v>0</v>
      </c>
      <c r="U15" s="234">
        <f t="shared" si="6"/>
        <v>235200</v>
      </c>
      <c r="V15" s="234">
        <f t="shared" si="6"/>
        <v>207200</v>
      </c>
      <c r="W15" s="234">
        <f t="shared" si="6"/>
        <v>45000</v>
      </c>
      <c r="X15" s="234">
        <f t="shared" si="6"/>
        <v>142800</v>
      </c>
      <c r="Y15" s="234">
        <f t="shared" si="6"/>
        <v>100000</v>
      </c>
      <c r="Z15" s="234">
        <f t="shared" si="6"/>
        <v>127800</v>
      </c>
      <c r="AA15" s="260">
        <f t="shared" si="6"/>
        <v>54000</v>
      </c>
      <c r="AB15" s="719" t="s">
        <v>729</v>
      </c>
      <c r="AC15" s="720"/>
      <c r="AD15" s="720"/>
      <c r="AE15" s="717" t="s">
        <v>730</v>
      </c>
      <c r="AF15" s="717"/>
      <c r="AG15" s="718"/>
      <c r="AH15" s="81"/>
      <c r="AI15" s="650" t="s">
        <v>648</v>
      </c>
      <c r="AJ15" s="650" t="s">
        <v>649</v>
      </c>
      <c r="AK15" s="650"/>
      <c r="AL15" s="229">
        <v>0</v>
      </c>
    </row>
    <row r="16" spans="1:38" ht="30.9" customHeight="1" thickTop="1" thickBot="1">
      <c r="A16" s="373">
        <v>46188</v>
      </c>
      <c r="B16" s="377" t="s">
        <v>61</v>
      </c>
      <c r="C16" s="380"/>
      <c r="D16" s="380"/>
      <c r="E16" s="389">
        <f t="shared" si="1"/>
        <v>0</v>
      </c>
      <c r="F16" s="183"/>
      <c r="G16" s="183">
        <f t="shared" si="2"/>
        <v>0</v>
      </c>
      <c r="H16" s="183"/>
      <c r="I16" s="221">
        <f t="shared" si="3"/>
        <v>0</v>
      </c>
      <c r="J16" s="710"/>
      <c r="K16" s="339">
        <f t="shared" si="0"/>
        <v>0</v>
      </c>
      <c r="L16" s="339"/>
      <c r="M16" s="339"/>
      <c r="N16" s="339"/>
      <c r="O16" s="339"/>
      <c r="P16" s="339"/>
      <c r="Q16" s="675"/>
      <c r="R16" s="698" t="s">
        <v>247</v>
      </c>
      <c r="S16" s="641"/>
      <c r="T16" s="641"/>
      <c r="U16" s="648">
        <f>SUM(S15:AA15)+AJ10</f>
        <v>1402400</v>
      </c>
      <c r="V16" s="699"/>
      <c r="W16" s="699"/>
      <c r="X16" s="699"/>
      <c r="Y16" s="699"/>
      <c r="Z16" s="699"/>
      <c r="AA16" s="699"/>
      <c r="AB16" s="324" t="s">
        <v>728</v>
      </c>
      <c r="AC16" s="243">
        <f>U23</f>
        <v>0</v>
      </c>
      <c r="AD16" s="312" t="e">
        <f>AC16/$R$4</f>
        <v>#DIV/0!</v>
      </c>
      <c r="AE16" s="321" t="s">
        <v>731</v>
      </c>
      <c r="AF16" s="243">
        <f>Y4</f>
        <v>0</v>
      </c>
      <c r="AG16" s="313" t="e">
        <f>AF16/$R$4</f>
        <v>#DIV/0!</v>
      </c>
      <c r="AI16" s="650"/>
      <c r="AJ16" s="650" t="s">
        <v>650</v>
      </c>
      <c r="AK16" s="650"/>
      <c r="AL16" s="229">
        <v>0</v>
      </c>
    </row>
    <row r="17" spans="1:38" ht="30.9" customHeight="1" thickTop="1" thickBot="1">
      <c r="A17" s="373">
        <v>46189</v>
      </c>
      <c r="B17" s="379" t="s">
        <v>63</v>
      </c>
      <c r="C17" s="380"/>
      <c r="D17" s="380"/>
      <c r="E17" s="389">
        <f t="shared" si="1"/>
        <v>0</v>
      </c>
      <c r="F17" s="183"/>
      <c r="G17" s="183">
        <f t="shared" si="2"/>
        <v>0</v>
      </c>
      <c r="H17" s="183"/>
      <c r="I17" s="221">
        <f t="shared" si="3"/>
        <v>0</v>
      </c>
      <c r="J17" s="710"/>
      <c r="K17" s="339">
        <f t="shared" si="0"/>
        <v>0</v>
      </c>
      <c r="L17" s="339"/>
      <c r="M17" s="339"/>
      <c r="N17" s="339"/>
      <c r="O17" s="339"/>
      <c r="P17" s="339"/>
      <c r="Q17" s="675"/>
      <c r="R17" s="688" t="s">
        <v>482</v>
      </c>
      <c r="S17" s="643"/>
      <c r="T17" s="643"/>
      <c r="U17" s="643"/>
      <c r="V17" s="643"/>
      <c r="W17" s="643"/>
      <c r="X17" s="643"/>
      <c r="Y17" s="649"/>
      <c r="Z17" s="283"/>
      <c r="AA17" s="283"/>
      <c r="AB17" s="324" t="s">
        <v>727</v>
      </c>
      <c r="AC17" s="243">
        <f>X23</f>
        <v>62200</v>
      </c>
      <c r="AD17" s="312" t="e">
        <f t="shared" ref="AD17:AD20" si="7">AC17/$R$4</f>
        <v>#DIV/0!</v>
      </c>
      <c r="AE17" s="321" t="s">
        <v>732</v>
      </c>
      <c r="AF17" s="243">
        <f>R23</f>
        <v>4987</v>
      </c>
      <c r="AG17" s="313" t="e">
        <f t="shared" ref="AG17" si="8">AF17/$R$4</f>
        <v>#DIV/0!</v>
      </c>
      <c r="AI17" s="261" t="s">
        <v>651</v>
      </c>
      <c r="AJ17" s="650" t="s">
        <v>652</v>
      </c>
      <c r="AK17" s="650"/>
      <c r="AL17" s="229">
        <v>0</v>
      </c>
    </row>
    <row r="18" spans="1:38" ht="30.9" customHeight="1" thickTop="1" thickBot="1">
      <c r="A18" s="373">
        <v>46190</v>
      </c>
      <c r="B18" s="377" t="s">
        <v>65</v>
      </c>
      <c r="C18" s="380"/>
      <c r="D18" s="380"/>
      <c r="E18" s="389">
        <f t="shared" si="1"/>
        <v>0</v>
      </c>
      <c r="F18" s="183"/>
      <c r="G18" s="183">
        <f t="shared" si="2"/>
        <v>0</v>
      </c>
      <c r="H18" s="183"/>
      <c r="I18" s="221">
        <f t="shared" si="3"/>
        <v>0</v>
      </c>
      <c r="J18" s="710"/>
      <c r="K18" s="339">
        <f t="shared" si="0"/>
        <v>0</v>
      </c>
      <c r="L18" s="339"/>
      <c r="M18" s="339"/>
      <c r="N18" s="339"/>
      <c r="O18" s="339"/>
      <c r="P18" s="339"/>
      <c r="Q18" s="675"/>
      <c r="R18" s="284"/>
      <c r="S18" s="235"/>
      <c r="T18" s="222" t="s">
        <v>982</v>
      </c>
      <c r="U18" s="758" t="s">
        <v>703</v>
      </c>
      <c r="V18" s="759"/>
      <c r="W18" s="760"/>
      <c r="X18" s="236" t="s">
        <v>498</v>
      </c>
      <c r="Y18" s="683" t="s">
        <v>247</v>
      </c>
      <c r="Z18" s="684"/>
      <c r="AA18" s="684"/>
      <c r="AB18" s="324" t="s">
        <v>733</v>
      </c>
      <c r="AC18" s="243">
        <f>T23</f>
        <v>12000</v>
      </c>
      <c r="AD18" s="312" t="e">
        <f t="shared" si="7"/>
        <v>#DIV/0!</v>
      </c>
      <c r="AE18" s="322"/>
      <c r="AF18" s="243"/>
      <c r="AG18" s="313"/>
      <c r="AI18" s="650" t="s">
        <v>777</v>
      </c>
      <c r="AJ18" s="650"/>
      <c r="AK18" s="650"/>
      <c r="AL18" s="229">
        <v>0</v>
      </c>
    </row>
    <row r="19" spans="1:38" ht="30.9" customHeight="1" thickTop="1" thickBot="1">
      <c r="A19" s="373">
        <v>46191</v>
      </c>
      <c r="B19" s="377" t="s">
        <v>54</v>
      </c>
      <c r="C19" s="380"/>
      <c r="D19" s="380"/>
      <c r="E19" s="389">
        <f t="shared" si="1"/>
        <v>0</v>
      </c>
      <c r="F19" s="183"/>
      <c r="G19" s="183">
        <f t="shared" si="2"/>
        <v>0</v>
      </c>
      <c r="H19" s="183"/>
      <c r="I19" s="221">
        <f t="shared" si="3"/>
        <v>0</v>
      </c>
      <c r="J19" s="710"/>
      <c r="K19" s="339">
        <f t="shared" si="0"/>
        <v>0</v>
      </c>
      <c r="L19" s="339"/>
      <c r="M19" s="339"/>
      <c r="N19" s="339"/>
      <c r="O19" s="339"/>
      <c r="P19" s="339"/>
      <c r="Q19" s="675"/>
      <c r="R19" s="335"/>
      <c r="S19" s="237"/>
      <c r="T19" s="237">
        <v>100000</v>
      </c>
      <c r="U19" s="295"/>
      <c r="V19" s="295">
        <v>39940</v>
      </c>
      <c r="W19" s="295">
        <v>7050</v>
      </c>
      <c r="X19" s="238">
        <f>Y23</f>
        <v>221187</v>
      </c>
      <c r="Y19" s="685">
        <f>SUM(R19:X19)</f>
        <v>368177</v>
      </c>
      <c r="Z19" s="686"/>
      <c r="AA19" s="686"/>
      <c r="AB19" s="324" t="s">
        <v>734</v>
      </c>
      <c r="AC19" s="243">
        <f>S23</f>
        <v>100000</v>
      </c>
      <c r="AD19" s="312" t="e">
        <f t="shared" si="7"/>
        <v>#DIV/0!</v>
      </c>
      <c r="AE19" s="322"/>
      <c r="AF19" s="243"/>
      <c r="AG19" s="313"/>
      <c r="AI19" s="652" t="s">
        <v>654</v>
      </c>
      <c r="AJ19" s="652"/>
      <c r="AK19" s="652"/>
      <c r="AL19" s="229">
        <v>6000000</v>
      </c>
    </row>
    <row r="20" spans="1:38" ht="30.9" customHeight="1" thickTop="1" thickBot="1">
      <c r="A20" s="373">
        <v>46192</v>
      </c>
      <c r="B20" s="377" t="s">
        <v>55</v>
      </c>
      <c r="C20" s="380"/>
      <c r="D20" s="380"/>
      <c r="E20" s="389">
        <f t="shared" si="1"/>
        <v>0</v>
      </c>
      <c r="F20" s="183"/>
      <c r="G20" s="183">
        <f t="shared" si="2"/>
        <v>0</v>
      </c>
      <c r="H20" s="183"/>
      <c r="I20" s="221">
        <f t="shared" si="3"/>
        <v>0</v>
      </c>
      <c r="J20" s="710"/>
      <c r="K20" s="339">
        <f t="shared" si="0"/>
        <v>0</v>
      </c>
      <c r="L20" s="339"/>
      <c r="M20" s="339"/>
      <c r="N20" s="339"/>
      <c r="O20" s="339"/>
      <c r="P20" s="339"/>
      <c r="Q20" s="675"/>
      <c r="R20" s="269"/>
      <c r="S20" s="232"/>
      <c r="T20" s="232"/>
      <c r="U20" s="232"/>
      <c r="V20" s="232"/>
      <c r="W20" s="232"/>
      <c r="X20" s="232"/>
      <c r="Y20" s="232"/>
      <c r="Z20" s="310"/>
      <c r="AA20" s="310"/>
      <c r="AB20" s="324" t="s">
        <v>746</v>
      </c>
      <c r="AC20" s="243">
        <f>X4</f>
        <v>0</v>
      </c>
      <c r="AD20" s="312" t="e">
        <f t="shared" si="7"/>
        <v>#DIV/0!</v>
      </c>
      <c r="AE20" s="314"/>
      <c r="AF20" s="243"/>
      <c r="AG20" s="313"/>
      <c r="AI20" s="652" t="s">
        <v>655</v>
      </c>
      <c r="AJ20" s="652"/>
      <c r="AK20" s="652"/>
      <c r="AL20" s="229">
        <v>6000000</v>
      </c>
    </row>
    <row r="21" spans="1:38" ht="30.9" customHeight="1" thickTop="1" thickBot="1">
      <c r="A21" s="373">
        <v>46193</v>
      </c>
      <c r="B21" s="378" t="s">
        <v>57</v>
      </c>
      <c r="C21" s="380"/>
      <c r="D21" s="380"/>
      <c r="E21" s="389">
        <f t="shared" si="1"/>
        <v>0</v>
      </c>
      <c r="F21" s="183"/>
      <c r="G21" s="183">
        <f t="shared" si="2"/>
        <v>0</v>
      </c>
      <c r="H21" s="183"/>
      <c r="I21" s="221">
        <f t="shared" si="3"/>
        <v>0</v>
      </c>
      <c r="J21" s="710"/>
      <c r="K21" s="339">
        <f t="shared" si="0"/>
        <v>0</v>
      </c>
      <c r="L21" s="339"/>
      <c r="M21" s="339"/>
      <c r="N21" s="339"/>
      <c r="O21" s="339"/>
      <c r="P21" s="339"/>
      <c r="Q21" s="675"/>
      <c r="R21" s="687" t="s">
        <v>772</v>
      </c>
      <c r="S21" s="687"/>
      <c r="T21" s="687"/>
      <c r="U21" s="687"/>
      <c r="V21" s="687"/>
      <c r="W21" s="687"/>
      <c r="X21" s="687"/>
      <c r="Y21" s="687"/>
      <c r="Z21" s="687"/>
      <c r="AA21" s="687"/>
      <c r="AB21" s="326" t="s">
        <v>709</v>
      </c>
      <c r="AC21" s="318">
        <f>SUM(AC16:AC20)</f>
        <v>174200</v>
      </c>
      <c r="AD21" s="315" t="e">
        <f>SUM(AD16:AD20)</f>
        <v>#DIV/0!</v>
      </c>
      <c r="AE21" s="323" t="s">
        <v>709</v>
      </c>
      <c r="AF21" s="318">
        <f>SUM(AF16:AF20)</f>
        <v>4987</v>
      </c>
      <c r="AG21" s="316" t="e">
        <f>SUM(AG16:AG20)</f>
        <v>#DIV/0!</v>
      </c>
      <c r="AI21" s="653" t="s">
        <v>247</v>
      </c>
      <c r="AJ21" s="653"/>
      <c r="AK21" s="653"/>
      <c r="AL21" s="270">
        <f>SUM(AL12:AL20)</f>
        <v>12000000</v>
      </c>
    </row>
    <row r="22" spans="1:38" ht="30.9" customHeight="1" thickTop="1" thickBot="1">
      <c r="A22" s="373">
        <v>46194</v>
      </c>
      <c r="B22" s="378" t="s">
        <v>59</v>
      </c>
      <c r="C22" s="380"/>
      <c r="D22" s="380"/>
      <c r="E22" s="389">
        <f t="shared" si="1"/>
        <v>0</v>
      </c>
      <c r="F22" s="183"/>
      <c r="G22" s="183">
        <f t="shared" si="2"/>
        <v>0</v>
      </c>
      <c r="H22" s="183"/>
      <c r="I22" s="221">
        <f t="shared" si="3"/>
        <v>0</v>
      </c>
      <c r="J22" s="710"/>
      <c r="K22" s="339">
        <f t="shared" si="0"/>
        <v>0</v>
      </c>
      <c r="L22" s="339"/>
      <c r="M22" s="339"/>
      <c r="N22" s="339"/>
      <c r="O22" s="339"/>
      <c r="P22" s="339"/>
      <c r="Q22" s="675"/>
      <c r="R22" s="336" t="s">
        <v>625</v>
      </c>
      <c r="S22" s="299" t="s">
        <v>770</v>
      </c>
      <c r="T22" s="761" t="s">
        <v>733</v>
      </c>
      <c r="U22" s="762"/>
      <c r="V22" s="761" t="s">
        <v>728</v>
      </c>
      <c r="W22" s="762"/>
      <c r="X22" s="299" t="s">
        <v>727</v>
      </c>
      <c r="Y22" s="690" t="s">
        <v>247</v>
      </c>
      <c r="Z22" s="741"/>
      <c r="AA22" s="691"/>
      <c r="AB22" s="694" t="s">
        <v>745</v>
      </c>
      <c r="AC22" s="695"/>
      <c r="AD22" s="695"/>
      <c r="AE22" s="695"/>
      <c r="AF22" s="721" t="e">
        <f>AF14+AF2</f>
        <v>#DIV/0!</v>
      </c>
      <c r="AG22" s="721"/>
      <c r="AI22" s="661"/>
      <c r="AJ22" s="662"/>
      <c r="AK22" s="662"/>
      <c r="AL22" s="662"/>
    </row>
    <row r="23" spans="1:38" ht="30.9" customHeight="1" thickTop="1" thickBot="1">
      <c r="A23" s="373">
        <v>46195</v>
      </c>
      <c r="B23" s="377" t="s">
        <v>61</v>
      </c>
      <c r="C23" s="380"/>
      <c r="D23" s="380"/>
      <c r="E23" s="389">
        <f t="shared" si="1"/>
        <v>0</v>
      </c>
      <c r="F23" s="183"/>
      <c r="G23" s="183">
        <f t="shared" si="2"/>
        <v>0</v>
      </c>
      <c r="H23" s="183"/>
      <c r="I23" s="221">
        <f t="shared" si="3"/>
        <v>0</v>
      </c>
      <c r="J23" s="710"/>
      <c r="K23" s="339">
        <f t="shared" si="0"/>
        <v>0</v>
      </c>
      <c r="L23" s="339"/>
      <c r="M23" s="339"/>
      <c r="N23" s="339"/>
      <c r="O23" s="339"/>
      <c r="P23" s="339"/>
      <c r="Q23" s="675"/>
      <c r="R23" s="335">
        <v>4987</v>
      </c>
      <c r="S23" s="423">
        <v>100000</v>
      </c>
      <c r="T23" s="423">
        <v>12000</v>
      </c>
      <c r="U23" s="423"/>
      <c r="V23" s="423">
        <v>42000</v>
      </c>
      <c r="W23" s="423"/>
      <c r="X23" s="298">
        <v>62200</v>
      </c>
      <c r="Y23" s="692">
        <f>SUM(R23:X23)</f>
        <v>221187</v>
      </c>
      <c r="Z23" s="742"/>
      <c r="AA23" s="693"/>
      <c r="AB23" s="696"/>
      <c r="AC23" s="697"/>
      <c r="AD23" s="697"/>
      <c r="AE23" s="697"/>
      <c r="AF23" s="722"/>
      <c r="AG23" s="722"/>
      <c r="AI23" s="647" t="s">
        <v>665</v>
      </c>
      <c r="AJ23" s="647"/>
      <c r="AK23" s="647"/>
      <c r="AL23" s="647"/>
    </row>
    <row r="24" spans="1:38" ht="30.9" customHeight="1" thickTop="1" thickBot="1">
      <c r="A24" s="373">
        <v>46196</v>
      </c>
      <c r="B24" s="379" t="s">
        <v>63</v>
      </c>
      <c r="C24" s="380"/>
      <c r="D24" s="380"/>
      <c r="E24" s="389">
        <f t="shared" si="1"/>
        <v>0</v>
      </c>
      <c r="F24" s="183"/>
      <c r="G24" s="183">
        <f t="shared" si="2"/>
        <v>0</v>
      </c>
      <c r="H24" s="183"/>
      <c r="I24" s="221">
        <f t="shared" si="3"/>
        <v>0</v>
      </c>
      <c r="J24" s="710"/>
      <c r="K24" s="339">
        <f t="shared" si="0"/>
        <v>0</v>
      </c>
      <c r="L24" s="339"/>
      <c r="M24" s="339"/>
      <c r="N24" s="339"/>
      <c r="O24" s="339"/>
      <c r="P24" s="339"/>
      <c r="Q24" s="675"/>
      <c r="AB24" s="711" t="s">
        <v>735</v>
      </c>
      <c r="AC24" s="711"/>
      <c r="AD24" s="711"/>
      <c r="AE24" s="711"/>
      <c r="AF24" s="711"/>
      <c r="AG24" s="711"/>
      <c r="AI24" s="656" t="s">
        <v>666</v>
      </c>
      <c r="AJ24" s="658"/>
      <c r="AK24" s="657"/>
      <c r="AL24" s="232"/>
    </row>
    <row r="25" spans="1:38" ht="30.9" customHeight="1" thickTop="1" thickBot="1">
      <c r="A25" s="373">
        <v>46197</v>
      </c>
      <c r="B25" s="377" t="s">
        <v>65</v>
      </c>
      <c r="C25" s="380"/>
      <c r="D25" s="380"/>
      <c r="E25" s="389">
        <f t="shared" si="1"/>
        <v>0</v>
      </c>
      <c r="F25" s="350"/>
      <c r="G25" s="183">
        <f t="shared" si="2"/>
        <v>0</v>
      </c>
      <c r="H25" s="183"/>
      <c r="I25" s="221">
        <f t="shared" si="3"/>
        <v>0</v>
      </c>
      <c r="J25" s="710"/>
      <c r="K25" s="339">
        <f t="shared" si="0"/>
        <v>0</v>
      </c>
      <c r="L25" s="339"/>
      <c r="M25" s="339"/>
      <c r="N25" s="339"/>
      <c r="O25" s="339"/>
      <c r="P25" s="339"/>
      <c r="Q25" s="675"/>
      <c r="R25" s="689" t="s">
        <v>672</v>
      </c>
      <c r="S25" s="664"/>
      <c r="T25" s="664"/>
      <c r="U25" s="664"/>
      <c r="V25" s="664"/>
      <c r="W25" s="664"/>
      <c r="X25" s="664"/>
      <c r="Y25" s="664"/>
      <c r="Z25" s="285"/>
      <c r="AA25" s="285"/>
      <c r="AB25" s="300"/>
      <c r="AC25" s="712" t="s">
        <v>739</v>
      </c>
      <c r="AD25" s="712"/>
      <c r="AE25" s="301" t="s">
        <v>738</v>
      </c>
      <c r="AF25" s="712" t="s">
        <v>740</v>
      </c>
      <c r="AG25" s="712"/>
      <c r="AI25" s="263"/>
      <c r="AJ25" s="650"/>
      <c r="AK25" s="650"/>
      <c r="AL25" s="232"/>
    </row>
    <row r="26" spans="1:38" ht="30.9" customHeight="1" thickTop="1" thickBot="1">
      <c r="A26" s="373">
        <v>46198</v>
      </c>
      <c r="B26" s="377" t="s">
        <v>54</v>
      </c>
      <c r="C26" s="380"/>
      <c r="D26" s="380"/>
      <c r="E26" s="389">
        <f t="shared" si="1"/>
        <v>0</v>
      </c>
      <c r="F26" s="350"/>
      <c r="G26" s="183">
        <f t="shared" si="2"/>
        <v>0</v>
      </c>
      <c r="H26" s="183"/>
      <c r="I26" s="221">
        <f t="shared" si="3"/>
        <v>0</v>
      </c>
      <c r="J26" s="710"/>
      <c r="K26" s="339">
        <f t="shared" si="0"/>
        <v>0</v>
      </c>
      <c r="L26" s="339"/>
      <c r="M26" s="339"/>
      <c r="N26" s="339"/>
      <c r="O26" s="339"/>
      <c r="P26" s="339"/>
      <c r="Q26" s="675"/>
      <c r="R26" s="337"/>
      <c r="S26" s="743" t="s">
        <v>985</v>
      </c>
      <c r="T26" s="744"/>
      <c r="U26" s="744"/>
      <c r="V26" s="744"/>
      <c r="W26" s="745"/>
      <c r="X26" s="746">
        <f>162300+16600+368800+74300+69700</f>
        <v>691700</v>
      </c>
      <c r="Y26" s="747"/>
      <c r="Z26" s="286"/>
      <c r="AA26" s="286"/>
      <c r="AB26" s="302" t="s">
        <v>736</v>
      </c>
      <c r="AC26" s="303">
        <v>17951843</v>
      </c>
      <c r="AD26" s="305">
        <f>(AE26/AC26)-100%</f>
        <v>-1</v>
      </c>
      <c r="AE26" s="304">
        <f>E34</f>
        <v>0</v>
      </c>
      <c r="AF26" s="303">
        <v>16973354</v>
      </c>
      <c r="AG26" s="305">
        <f>AE26/AF26-100%</f>
        <v>-1</v>
      </c>
      <c r="AI26" s="263"/>
      <c r="AJ26" s="650"/>
      <c r="AK26" s="650"/>
      <c r="AL26" s="232"/>
    </row>
    <row r="27" spans="1:38" ht="30.9" customHeight="1" thickTop="1" thickBot="1">
      <c r="A27" s="373">
        <v>46199</v>
      </c>
      <c r="B27" s="377" t="s">
        <v>55</v>
      </c>
      <c r="C27" s="380"/>
      <c r="D27" s="380"/>
      <c r="E27" s="389">
        <f t="shared" si="1"/>
        <v>0</v>
      </c>
      <c r="F27" s="350"/>
      <c r="G27" s="183">
        <f t="shared" si="2"/>
        <v>0</v>
      </c>
      <c r="H27" s="183"/>
      <c r="I27" s="221">
        <f t="shared" si="3"/>
        <v>0</v>
      </c>
      <c r="J27" s="710"/>
      <c r="K27" s="339">
        <f t="shared" si="0"/>
        <v>0</v>
      </c>
      <c r="L27" s="339"/>
      <c r="M27" s="339"/>
      <c r="N27" s="339"/>
      <c r="O27" s="339"/>
      <c r="P27" s="339"/>
      <c r="Q27" s="675"/>
      <c r="R27" s="282"/>
      <c r="S27" s="743" t="s">
        <v>983</v>
      </c>
      <c r="T27" s="744"/>
      <c r="U27" s="744"/>
      <c r="V27" s="744"/>
      <c r="W27" s="745"/>
      <c r="X27" s="746">
        <v>187550</v>
      </c>
      <c r="Y27" s="747"/>
      <c r="Z27" s="286"/>
      <c r="AA27" s="286"/>
      <c r="AB27" s="302" t="s">
        <v>510</v>
      </c>
      <c r="AC27" s="303">
        <v>16197387</v>
      </c>
      <c r="AD27" s="305">
        <f>(AE27/AC27)-100%</f>
        <v>-0.89068749175407125</v>
      </c>
      <c r="AE27" s="304">
        <f>X8</f>
        <v>1770577</v>
      </c>
      <c r="AF27" s="303">
        <v>15715126</v>
      </c>
      <c r="AG27" s="305">
        <f>AE27/AF27-100%</f>
        <v>-0.88733294279664066</v>
      </c>
      <c r="AI27" s="263"/>
      <c r="AJ27" s="650"/>
      <c r="AK27" s="650"/>
      <c r="AL27" s="232"/>
    </row>
    <row r="28" spans="1:38" ht="30.9" customHeight="1" thickTop="1" thickBot="1">
      <c r="A28" s="373">
        <v>46200</v>
      </c>
      <c r="B28" s="378" t="s">
        <v>57</v>
      </c>
      <c r="C28" s="380"/>
      <c r="D28" s="380"/>
      <c r="E28" s="389">
        <f t="shared" si="1"/>
        <v>0</v>
      </c>
      <c r="F28" s="350"/>
      <c r="G28" s="183">
        <f t="shared" si="2"/>
        <v>0</v>
      </c>
      <c r="H28" s="183"/>
      <c r="I28" s="221">
        <f t="shared" si="3"/>
        <v>0</v>
      </c>
      <c r="J28" s="710"/>
      <c r="K28" s="339">
        <f t="shared" si="0"/>
        <v>0</v>
      </c>
      <c r="L28" s="339"/>
      <c r="M28" s="339"/>
      <c r="N28" s="339"/>
      <c r="O28" s="339"/>
      <c r="P28" s="339"/>
      <c r="Q28" s="675"/>
      <c r="R28" s="282"/>
      <c r="S28" s="743" t="s">
        <v>984</v>
      </c>
      <c r="T28" s="744"/>
      <c r="U28" s="744"/>
      <c r="V28" s="744"/>
      <c r="W28" s="745"/>
      <c r="X28" s="746">
        <f>45400*3</f>
        <v>136200</v>
      </c>
      <c r="Y28" s="747"/>
      <c r="Z28" s="286"/>
      <c r="AA28" s="286"/>
      <c r="AB28" s="302" t="s">
        <v>737</v>
      </c>
      <c r="AC28" s="303">
        <v>1696970</v>
      </c>
      <c r="AD28" s="305">
        <f>(AE28/AC28)-100%</f>
        <v>-2.0433755458257954</v>
      </c>
      <c r="AE28" s="304">
        <f>S9</f>
        <v>-1770577</v>
      </c>
      <c r="AF28" s="303">
        <v>1238376</v>
      </c>
      <c r="AG28" s="305">
        <f t="shared" ref="AG28:AG31" si="9">AE28/AF28-100%</f>
        <v>-2.4297571981369148</v>
      </c>
      <c r="AI28" s="263"/>
      <c r="AJ28" s="650"/>
      <c r="AK28" s="650"/>
      <c r="AL28" s="232"/>
    </row>
    <row r="29" spans="1:38" ht="30.9" customHeight="1" thickTop="1" thickBot="1">
      <c r="A29" s="373">
        <v>46201</v>
      </c>
      <c r="B29" s="378" t="s">
        <v>59</v>
      </c>
      <c r="C29" s="380"/>
      <c r="D29" s="380"/>
      <c r="E29" s="389">
        <f t="shared" si="1"/>
        <v>0</v>
      </c>
      <c r="F29" s="350"/>
      <c r="G29" s="183">
        <f t="shared" si="2"/>
        <v>0</v>
      </c>
      <c r="H29" s="183"/>
      <c r="I29" s="221">
        <f t="shared" si="3"/>
        <v>0</v>
      </c>
      <c r="J29" s="710"/>
      <c r="K29" s="339">
        <f t="shared" si="0"/>
        <v>0</v>
      </c>
      <c r="L29" s="339"/>
      <c r="M29" s="339"/>
      <c r="N29" s="339"/>
      <c r="O29" s="339"/>
      <c r="P29" s="339"/>
      <c r="Q29" s="675"/>
      <c r="R29" s="282"/>
      <c r="S29" s="743"/>
      <c r="T29" s="744"/>
      <c r="U29" s="744"/>
      <c r="V29" s="744"/>
      <c r="W29" s="745"/>
      <c r="X29" s="746"/>
      <c r="Y29" s="747"/>
      <c r="Z29" s="286"/>
      <c r="AA29" s="286"/>
      <c r="AB29" s="302" t="s">
        <v>757</v>
      </c>
      <c r="AC29" s="341">
        <v>4895</v>
      </c>
      <c r="AD29" s="305">
        <f t="shared" ref="AD29:AD31" si="10">(AE29/AC29)-100%</f>
        <v>0</v>
      </c>
      <c r="AE29" s="342">
        <v>4895</v>
      </c>
      <c r="AF29" s="341">
        <v>3761</v>
      </c>
      <c r="AG29" s="305">
        <f t="shared" si="9"/>
        <v>0.30151555437383681</v>
      </c>
      <c r="AI29" s="650" t="s">
        <v>667</v>
      </c>
      <c r="AJ29" s="650"/>
      <c r="AK29" s="650"/>
      <c r="AL29" s="232"/>
    </row>
    <row r="30" spans="1:38" ht="30.9" customHeight="1" thickTop="1" thickBot="1">
      <c r="A30" s="373">
        <v>46202</v>
      </c>
      <c r="B30" s="377" t="s">
        <v>61</v>
      </c>
      <c r="C30" s="380"/>
      <c r="D30" s="380"/>
      <c r="E30" s="389">
        <f t="shared" si="1"/>
        <v>0</v>
      </c>
      <c r="F30" s="350"/>
      <c r="G30" s="183">
        <f t="shared" si="2"/>
        <v>0</v>
      </c>
      <c r="H30" s="183"/>
      <c r="I30" s="221">
        <f t="shared" si="3"/>
        <v>0</v>
      </c>
      <c r="J30" s="710"/>
      <c r="K30" s="339">
        <f t="shared" si="0"/>
        <v>0</v>
      </c>
      <c r="L30" s="339"/>
      <c r="M30" s="339"/>
      <c r="N30" s="339"/>
      <c r="O30" s="339"/>
      <c r="P30" s="339"/>
      <c r="Q30" s="675"/>
      <c r="R30" s="282"/>
      <c r="S30" s="739"/>
      <c r="T30" s="740"/>
      <c r="U30" s="740"/>
      <c r="V30" s="740"/>
      <c r="W30" s="740"/>
      <c r="X30" s="740"/>
      <c r="Y30" s="740"/>
      <c r="Z30" s="349"/>
      <c r="AA30" s="286"/>
      <c r="AB30" s="302" t="s">
        <v>758</v>
      </c>
      <c r="AC30" s="303">
        <v>3667.3836567926455</v>
      </c>
      <c r="AD30" s="305">
        <f t="shared" si="10"/>
        <v>-1</v>
      </c>
      <c r="AE30" s="304">
        <f>AE26/AE29</f>
        <v>0</v>
      </c>
      <c r="AF30" s="303">
        <v>4512.9896304174417</v>
      </c>
      <c r="AG30" s="305">
        <f t="shared" si="9"/>
        <v>-1</v>
      </c>
      <c r="AI30" s="263"/>
      <c r="AJ30" s="650"/>
      <c r="AK30" s="650"/>
      <c r="AL30" s="232"/>
    </row>
    <row r="31" spans="1:38" ht="30.9" customHeight="1" thickTop="1" thickBot="1">
      <c r="A31" s="373">
        <v>46203</v>
      </c>
      <c r="B31" s="379" t="s">
        <v>63</v>
      </c>
      <c r="C31" s="380"/>
      <c r="D31" s="380"/>
      <c r="E31" s="389">
        <f t="shared" si="1"/>
        <v>0</v>
      </c>
      <c r="F31" s="350"/>
      <c r="G31" s="183">
        <f t="shared" si="2"/>
        <v>0</v>
      </c>
      <c r="H31" s="183"/>
      <c r="I31" s="221">
        <f t="shared" si="3"/>
        <v>0</v>
      </c>
      <c r="J31" s="710"/>
      <c r="K31" s="339">
        <f t="shared" si="0"/>
        <v>0</v>
      </c>
      <c r="L31" s="339"/>
      <c r="M31" s="339"/>
      <c r="N31" s="339"/>
      <c r="O31" s="339"/>
      <c r="P31" s="339"/>
      <c r="Q31" s="675"/>
      <c r="R31" s="282"/>
      <c r="S31" s="665"/>
      <c r="T31" s="665"/>
      <c r="U31" s="665"/>
      <c r="V31" s="665"/>
      <c r="W31" s="665"/>
      <c r="X31" s="665"/>
      <c r="Y31" s="665"/>
      <c r="Z31" s="286"/>
      <c r="AA31" s="286"/>
      <c r="AB31" s="302" t="s">
        <v>756</v>
      </c>
      <c r="AC31" s="303">
        <v>579091.70967741939</v>
      </c>
      <c r="AD31" s="305">
        <f t="shared" si="10"/>
        <v>-1</v>
      </c>
      <c r="AE31" s="304">
        <f>AE26/31</f>
        <v>0</v>
      </c>
      <c r="AF31" s="303">
        <v>565778.46666666667</v>
      </c>
      <c r="AG31" s="305">
        <f t="shared" si="9"/>
        <v>-1</v>
      </c>
      <c r="AI31" s="232"/>
      <c r="AJ31" s="630"/>
      <c r="AK31" s="630"/>
      <c r="AL31" s="232"/>
    </row>
    <row r="32" spans="1:38" ht="30.9" customHeight="1" thickTop="1" thickBot="1">
      <c r="A32" s="373"/>
      <c r="B32" s="378"/>
      <c r="C32" s="380"/>
      <c r="D32" s="380"/>
      <c r="E32" s="389">
        <f>C32+D32</f>
        <v>0</v>
      </c>
      <c r="F32" s="350"/>
      <c r="G32" s="183">
        <f t="shared" si="2"/>
        <v>0</v>
      </c>
      <c r="H32" s="183"/>
      <c r="I32" s="221">
        <f t="shared" si="3"/>
        <v>0</v>
      </c>
      <c r="J32" s="710"/>
      <c r="K32" s="339">
        <f t="shared" si="0"/>
        <v>0</v>
      </c>
      <c r="L32" s="339"/>
      <c r="M32" s="339"/>
      <c r="N32" s="339"/>
      <c r="O32" s="339"/>
      <c r="P32" s="339"/>
      <c r="Q32" s="675"/>
      <c r="R32" s="348"/>
      <c r="S32" s="665"/>
      <c r="T32" s="665"/>
      <c r="U32" s="665"/>
      <c r="V32" s="665"/>
      <c r="W32" s="665"/>
      <c r="X32" s="665"/>
      <c r="Y32" s="665"/>
      <c r="Z32" s="286"/>
      <c r="AA32" s="286"/>
      <c r="AB32" s="601"/>
      <c r="AC32" s="601"/>
      <c r="AD32" s="601"/>
      <c r="AE32" s="601"/>
      <c r="AF32" s="601"/>
      <c r="AG32" s="601"/>
      <c r="AI32" s="232"/>
      <c r="AJ32" s="630"/>
      <c r="AK32" s="630"/>
      <c r="AL32" s="232"/>
    </row>
    <row r="33" spans="1:40" ht="30.9" customHeight="1" thickTop="1">
      <c r="A33" s="374"/>
      <c r="B33" s="265"/>
      <c r="C33" s="265"/>
      <c r="D33" s="265"/>
      <c r="E33" s="183"/>
      <c r="F33" s="457"/>
      <c r="G33" s="457"/>
      <c r="H33" s="183"/>
      <c r="I33" s="184">
        <f t="shared" ref="I33" si="11">I32+G33+H33</f>
        <v>0</v>
      </c>
      <c r="J33" s="710"/>
      <c r="K33" s="339">
        <f t="shared" si="0"/>
        <v>0</v>
      </c>
      <c r="L33" s="339"/>
      <c r="M33" s="339"/>
      <c r="N33" s="339"/>
      <c r="O33" s="339">
        <v>0</v>
      </c>
      <c r="P33" s="339"/>
      <c r="Q33" s="675"/>
      <c r="R33" s="348"/>
      <c r="S33" s="743" t="s">
        <v>971</v>
      </c>
      <c r="T33" s="744"/>
      <c r="U33" s="744"/>
      <c r="V33" s="744"/>
      <c r="W33" s="745"/>
      <c r="X33" s="746">
        <v>300000</v>
      </c>
      <c r="Y33" s="747"/>
      <c r="Z33" s="286"/>
      <c r="AA33" s="286"/>
      <c r="AB33" s="490"/>
      <c r="AC33" s="490"/>
      <c r="AD33" s="490"/>
      <c r="AE33" s="490"/>
      <c r="AF33" s="490"/>
      <c r="AG33" s="490"/>
      <c r="AJ33" s="81"/>
      <c r="AK33" s="81"/>
    </row>
    <row r="34" spans="1:40" ht="45" customHeight="1">
      <c r="A34" s="672" t="s">
        <v>247</v>
      </c>
      <c r="B34" s="673"/>
      <c r="C34" s="292">
        <f t="shared" ref="C34:D34" si="12">SUM(C2:C33)</f>
        <v>0</v>
      </c>
      <c r="D34" s="292">
        <f t="shared" si="12"/>
        <v>0</v>
      </c>
      <c r="E34" s="292">
        <f>SUM(E2:E33)</f>
        <v>0</v>
      </c>
      <c r="F34" s="292">
        <f>SUM(F2:F33)</f>
        <v>0</v>
      </c>
      <c r="G34" s="292">
        <f>SUM(G2:G33)</f>
        <v>0</v>
      </c>
      <c r="H34" s="292">
        <f>SUM(H2:H33)</f>
        <v>0</v>
      </c>
      <c r="I34" s="184">
        <f>E34-F34+H34</f>
        <v>0</v>
      </c>
      <c r="J34" s="710"/>
      <c r="K34" s="340">
        <f>SUM(K2:K33)</f>
        <v>0</v>
      </c>
      <c r="L34" s="340">
        <f t="shared" ref="L34:P34" si="13">SUM(L2:L33)</f>
        <v>0</v>
      </c>
      <c r="M34" s="340">
        <f t="shared" si="13"/>
        <v>0</v>
      </c>
      <c r="N34" s="340">
        <f t="shared" si="13"/>
        <v>0</v>
      </c>
      <c r="O34" s="340">
        <f t="shared" si="13"/>
        <v>0</v>
      </c>
      <c r="P34" s="340">
        <f t="shared" si="13"/>
        <v>0</v>
      </c>
      <c r="Q34" s="675"/>
      <c r="AB34" s="490"/>
      <c r="AC34" s="490"/>
      <c r="AD34" s="490"/>
      <c r="AE34" s="490"/>
      <c r="AF34" s="490"/>
      <c r="AG34" s="490"/>
      <c r="AI34" s="674"/>
      <c r="AJ34" s="674"/>
      <c r="AK34" s="674"/>
      <c r="AL34" s="674"/>
      <c r="AM34" s="674"/>
      <c r="AN34" s="674"/>
    </row>
    <row r="35" spans="1:40">
      <c r="A35" s="375"/>
    </row>
    <row r="36" spans="1:40">
      <c r="A36" s="375"/>
    </row>
    <row r="37" spans="1:40">
      <c r="A37" s="375"/>
    </row>
    <row r="38" spans="1:40">
      <c r="A38" s="375"/>
    </row>
    <row r="39" spans="1:40">
      <c r="A39" s="375"/>
      <c r="F39" s="104"/>
    </row>
    <row r="40" spans="1:40" ht="21" customHeight="1">
      <c r="A40" s="375"/>
    </row>
    <row r="41" spans="1:40" ht="23.1" customHeight="1">
      <c r="A41" s="375"/>
    </row>
    <row r="42" spans="1:40">
      <c r="A42" s="375"/>
    </row>
    <row r="43" spans="1:40" ht="29.1" customHeight="1">
      <c r="A43" s="375"/>
    </row>
    <row r="44" spans="1:40" ht="15" customHeight="1">
      <c r="A44" s="375"/>
    </row>
    <row r="45" spans="1:40">
      <c r="A45" s="375"/>
    </row>
    <row r="46" spans="1:40">
      <c r="A46" s="375"/>
    </row>
    <row r="47" spans="1:40">
      <c r="A47" s="375"/>
    </row>
    <row r="48" spans="1:40">
      <c r="A48" s="375"/>
    </row>
    <row r="49" spans="1:1">
      <c r="A49" s="375"/>
    </row>
    <row r="50" spans="1:1">
      <c r="A50" s="375"/>
    </row>
    <row r="51" spans="1:1" ht="18.899999999999999" customHeight="1">
      <c r="A51" s="375"/>
    </row>
  </sheetData>
  <mergeCells count="101">
    <mergeCell ref="AB3:AD3"/>
    <mergeCell ref="A1:B1"/>
    <mergeCell ref="C1:E1"/>
    <mergeCell ref="J1:J34"/>
    <mergeCell ref="Q1:Q34"/>
    <mergeCell ref="R1:AA1"/>
    <mergeCell ref="R3:S3"/>
    <mergeCell ref="X7:AA7"/>
    <mergeCell ref="X8:AA8"/>
    <mergeCell ref="R16:T16"/>
    <mergeCell ref="U16:AA16"/>
    <mergeCell ref="R17:Y17"/>
    <mergeCell ref="X26:Y26"/>
    <mergeCell ref="X29:Y29"/>
    <mergeCell ref="S27:W27"/>
    <mergeCell ref="S33:W33"/>
    <mergeCell ref="AI5:AL5"/>
    <mergeCell ref="R6:AA6"/>
    <mergeCell ref="AI6:AJ6"/>
    <mergeCell ref="AK6:AL6"/>
    <mergeCell ref="AI13:AJ14"/>
    <mergeCell ref="AB14:AD14"/>
    <mergeCell ref="AF14:AG14"/>
    <mergeCell ref="AB1:AG1"/>
    <mergeCell ref="AI1:AL1"/>
    <mergeCell ref="R2:AA2"/>
    <mergeCell ref="AB2:AD2"/>
    <mergeCell ref="AF2:AG2"/>
    <mergeCell ref="AI2:AL2"/>
    <mergeCell ref="AE3:AG3"/>
    <mergeCell ref="S9:AA9"/>
    <mergeCell ref="R10:AA10"/>
    <mergeCell ref="R11:AA11"/>
    <mergeCell ref="AI11:AL11"/>
    <mergeCell ref="T3:U3"/>
    <mergeCell ref="T4:U4"/>
    <mergeCell ref="T5:U5"/>
    <mergeCell ref="V3:W3"/>
    <mergeCell ref="V4:W4"/>
    <mergeCell ref="V5:W5"/>
    <mergeCell ref="Z3:AA3"/>
    <mergeCell ref="Z4:AA4"/>
    <mergeCell ref="Z5:AA5"/>
    <mergeCell ref="X3:Y3"/>
    <mergeCell ref="X4:Y4"/>
    <mergeCell ref="AI12:AK12"/>
    <mergeCell ref="AB15:AD15"/>
    <mergeCell ref="AE15:AG15"/>
    <mergeCell ref="AI15:AI16"/>
    <mergeCell ref="AJ15:AK15"/>
    <mergeCell ref="AJ16:AK16"/>
    <mergeCell ref="AJ17:AK17"/>
    <mergeCell ref="Y18:AA18"/>
    <mergeCell ref="AI18:AK18"/>
    <mergeCell ref="Y19:AA19"/>
    <mergeCell ref="AI19:AK19"/>
    <mergeCell ref="AI20:AK20"/>
    <mergeCell ref="R21:AA21"/>
    <mergeCell ref="AI21:AK21"/>
    <mergeCell ref="Y22:AA22"/>
    <mergeCell ref="AB22:AE23"/>
    <mergeCell ref="AF22:AG23"/>
    <mergeCell ref="AI22:AL22"/>
    <mergeCell ref="Y23:AA23"/>
    <mergeCell ref="AI23:AL23"/>
    <mergeCell ref="S28:W28"/>
    <mergeCell ref="AB24:AG24"/>
    <mergeCell ref="AI24:AK24"/>
    <mergeCell ref="R25:Y25"/>
    <mergeCell ref="AC25:AD25"/>
    <mergeCell ref="AF25:AG25"/>
    <mergeCell ref="AJ25:AK25"/>
    <mergeCell ref="AJ26:AK26"/>
    <mergeCell ref="X27:Y27"/>
    <mergeCell ref="AJ27:AK27"/>
    <mergeCell ref="X28:Y28"/>
    <mergeCell ref="AJ28:AK28"/>
    <mergeCell ref="AI29:AK29"/>
    <mergeCell ref="A34:B34"/>
    <mergeCell ref="AI34:AN34"/>
    <mergeCell ref="S30:Y30"/>
    <mergeCell ref="AJ30:AK30"/>
    <mergeCell ref="S31:Y31"/>
    <mergeCell ref="AJ31:AK31"/>
    <mergeCell ref="S32:Y32"/>
    <mergeCell ref="AB32:AG34"/>
    <mergeCell ref="AJ32:AK32"/>
    <mergeCell ref="S29:W29"/>
    <mergeCell ref="X33:Y33"/>
    <mergeCell ref="X5:Y5"/>
    <mergeCell ref="T7:U7"/>
    <mergeCell ref="T8:U8"/>
    <mergeCell ref="R7:S7"/>
    <mergeCell ref="R8:S8"/>
    <mergeCell ref="V7:W7"/>
    <mergeCell ref="V8:W8"/>
    <mergeCell ref="R4:S5"/>
    <mergeCell ref="U18:W18"/>
    <mergeCell ref="V22:W22"/>
    <mergeCell ref="T22:U22"/>
    <mergeCell ref="S26:W26"/>
  </mergeCells>
  <conditionalFormatting sqref="L2:P32">
    <cfRule type="cellIs" dxfId="9" priority="1" operator="greaterThan">
      <formula>0</formula>
    </cfRule>
    <cfRule type="cellIs" dxfId="8" priority="2" operator="equal">
      <formula>0</formula>
    </cfRule>
    <cfRule type="cellIs" dxfId="7" priority="3" operator="equal">
      <formula>"¥11.055"</formula>
    </cfRule>
    <cfRule type="cellIs" dxfId="6" priority="4" operator="equal">
      <formula>0</formula>
    </cfRule>
  </conditionalFormatting>
  <conditionalFormatting sqref="O33">
    <cfRule type="cellIs" dxfId="5" priority="6" operator="greaterThan">
      <formula>0</formula>
    </cfRule>
    <cfRule type="cellIs" dxfId="4" priority="7" operator="equal">
      <formula>0</formula>
    </cfRule>
    <cfRule type="cellIs" dxfId="3" priority="8" operator="equal">
      <formula>"¥11.055"</formula>
    </cfRule>
    <cfRule type="cellIs" dxfId="2" priority="9" operator="equal">
      <formula>0</formula>
    </cfRule>
  </conditionalFormatting>
  <conditionalFormatting sqref="AL12:AL18">
    <cfRule type="cellIs" dxfId="1" priority="5" operator="greaterThan">
      <formula>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56F4F-D51D-D04F-83D7-BA155DEE4989}">
  <dimension ref="A1:M95"/>
  <sheetViews>
    <sheetView workbookViewId="0">
      <pane xSplit="8" ySplit="12" topLeftCell="I31" activePane="bottomRight" state="frozen"/>
      <selection pane="topRight" activeCell="H1" sqref="H1"/>
      <selection pane="bottomLeft" activeCell="A13" sqref="A13"/>
      <selection pane="bottomRight" activeCell="H13" sqref="H13"/>
    </sheetView>
  </sheetViews>
  <sheetFormatPr defaultColWidth="15.453125" defaultRowHeight="26.1" customHeight="1"/>
  <cols>
    <col min="1" max="1" width="11.1796875" style="33" customWidth="1"/>
    <col min="2" max="16384" width="15.453125" style="33"/>
  </cols>
  <sheetData>
    <row r="1" spans="1:13" ht="35.4" customHeight="1" thickBot="1">
      <c r="A1" s="793" t="s">
        <v>500</v>
      </c>
      <c r="B1" s="794"/>
      <c r="C1" s="794"/>
      <c r="D1" s="794"/>
      <c r="E1" s="794"/>
    </row>
    <row r="2" spans="1:13" ht="26.1" customHeight="1" thickTop="1" thickBot="1">
      <c r="A2" s="390" t="s">
        <v>974</v>
      </c>
      <c r="B2" s="416" t="s">
        <v>829</v>
      </c>
      <c r="C2" s="416" t="s">
        <v>978</v>
      </c>
      <c r="D2" s="417" t="s">
        <v>980</v>
      </c>
      <c r="E2" s="417" t="s">
        <v>981</v>
      </c>
      <c r="F2" s="417" t="s">
        <v>979</v>
      </c>
    </row>
    <row r="3" spans="1:13" ht="26.1" customHeight="1" thickTop="1" thickBot="1">
      <c r="A3" s="391">
        <v>29</v>
      </c>
      <c r="B3" s="414" t="s">
        <v>975</v>
      </c>
      <c r="C3" s="392">
        <v>132000</v>
      </c>
      <c r="D3" s="407">
        <v>192000</v>
      </c>
      <c r="E3" s="407">
        <f>192000+60000</f>
        <v>252000</v>
      </c>
      <c r="F3" s="392">
        <f>192000+60000</f>
        <v>252000</v>
      </c>
    </row>
    <row r="4" spans="1:13" ht="26.1" customHeight="1" thickTop="1" thickBot="1">
      <c r="A4" s="391">
        <v>29</v>
      </c>
      <c r="B4" s="414" t="s">
        <v>976</v>
      </c>
      <c r="C4" s="392">
        <v>13000</v>
      </c>
      <c r="D4" s="407">
        <v>26000</v>
      </c>
      <c r="E4" s="392">
        <v>26000</v>
      </c>
      <c r="F4" s="392">
        <v>26000</v>
      </c>
    </row>
    <row r="5" spans="1:13" ht="30" customHeight="1" thickTop="1" thickBot="1">
      <c r="A5" s="391">
        <v>17</v>
      </c>
      <c r="B5" s="414" t="s">
        <v>501</v>
      </c>
      <c r="C5" s="392">
        <v>60000</v>
      </c>
      <c r="D5" s="407">
        <v>70000</v>
      </c>
      <c r="E5" s="407">
        <v>90000</v>
      </c>
      <c r="F5" s="392">
        <v>90000</v>
      </c>
    </row>
    <row r="6" spans="1:13" ht="26.1" customHeight="1" thickTop="1" thickBot="1">
      <c r="A6" s="391">
        <v>17</v>
      </c>
      <c r="B6" s="414" t="s">
        <v>502</v>
      </c>
      <c r="C6" s="392">
        <v>6000</v>
      </c>
      <c r="D6" s="392">
        <v>5000</v>
      </c>
      <c r="E6" s="392">
        <v>4500</v>
      </c>
      <c r="F6" s="392">
        <v>4500</v>
      </c>
    </row>
    <row r="7" spans="1:13" ht="26.1" customHeight="1" thickTop="1" thickBot="1">
      <c r="A7" s="391">
        <v>25</v>
      </c>
      <c r="B7" s="414" t="s">
        <v>503</v>
      </c>
      <c r="C7" s="392">
        <v>6080</v>
      </c>
      <c r="D7" s="392">
        <v>6080</v>
      </c>
      <c r="E7" s="392">
        <v>6080</v>
      </c>
      <c r="F7" s="392">
        <v>6080</v>
      </c>
    </row>
    <row r="8" spans="1:13" ht="26.1" customHeight="1" thickTop="1" thickBot="1">
      <c r="A8" s="393">
        <v>10</v>
      </c>
      <c r="B8" s="415" t="s">
        <v>504</v>
      </c>
      <c r="C8" s="394">
        <v>800000</v>
      </c>
      <c r="D8" s="408">
        <v>900000</v>
      </c>
      <c r="E8" s="408">
        <v>1100000</v>
      </c>
      <c r="F8" s="408">
        <v>1400000</v>
      </c>
    </row>
    <row r="9" spans="1:13" ht="26.1" customHeight="1" thickBot="1">
      <c r="A9" s="795" t="s">
        <v>247</v>
      </c>
      <c r="B9" s="796"/>
      <c r="C9" s="406">
        <f>SUM(C3:C8)</f>
        <v>1017080</v>
      </c>
      <c r="D9" s="406">
        <f>SUM(D3:D8)</f>
        <v>1199080</v>
      </c>
      <c r="E9" s="406">
        <f>SUM(E3:E8)</f>
        <v>1478580</v>
      </c>
      <c r="F9" s="406">
        <f>SUM(F3:F8)</f>
        <v>1778580</v>
      </c>
    </row>
    <row r="10" spans="1:13" ht="26.1" customHeight="1" thickBot="1"/>
    <row r="11" spans="1:13" s="409" customFormat="1" ht="26.1" customHeight="1" thickTop="1" thickBot="1">
      <c r="A11" s="395" t="s">
        <v>977</v>
      </c>
      <c r="B11" s="396" t="s">
        <v>715</v>
      </c>
      <c r="C11" s="396" t="s">
        <v>657</v>
      </c>
      <c r="D11" s="785" t="s">
        <v>658</v>
      </c>
      <c r="E11" s="786"/>
      <c r="F11" s="787" t="s">
        <v>659</v>
      </c>
      <c r="G11" s="788"/>
      <c r="H11" s="789" t="s">
        <v>660</v>
      </c>
      <c r="I11" s="790"/>
      <c r="J11" s="791" t="s">
        <v>661</v>
      </c>
      <c r="K11" s="792"/>
      <c r="L11" s="395" t="s">
        <v>662</v>
      </c>
      <c r="M11" s="410" t="s">
        <v>663</v>
      </c>
    </row>
    <row r="12" spans="1:13" ht="26.1" customHeight="1" thickTop="1" thickBot="1">
      <c r="A12" s="397">
        <v>45383</v>
      </c>
      <c r="B12" s="398">
        <v>13000</v>
      </c>
      <c r="C12" s="398">
        <v>132000</v>
      </c>
      <c r="D12" s="399">
        <v>76953</v>
      </c>
      <c r="E12" s="400">
        <f t="shared" ref="E12:E26" si="0">D12/$C$5</f>
        <v>1.2825500000000001</v>
      </c>
      <c r="F12" s="401">
        <v>6319</v>
      </c>
      <c r="G12" s="402">
        <f t="shared" ref="G12:G26" si="1">F12/$C$6</f>
        <v>1.0531666666666666</v>
      </c>
      <c r="H12" s="403">
        <v>11000</v>
      </c>
      <c r="I12" s="404">
        <f t="shared" ref="I12:I26" si="2">H12/$C$7</f>
        <v>1.8092105263157894</v>
      </c>
      <c r="J12" s="243">
        <v>810750</v>
      </c>
      <c r="K12" s="405">
        <f t="shared" ref="K12:K26" si="3">J12/$C$8</f>
        <v>1.0134375</v>
      </c>
      <c r="L12" s="413">
        <f>SUM(B12,C12,D12,F12,H12,J12)</f>
        <v>1050022</v>
      </c>
      <c r="M12" s="411">
        <f t="shared" ref="M12:M26" si="4">L12/$C$9</f>
        <v>1.0323887993078225</v>
      </c>
    </row>
    <row r="13" spans="1:13" ht="26.1" customHeight="1" thickTop="1" thickBot="1">
      <c r="A13" s="397">
        <v>45413</v>
      </c>
      <c r="B13" s="398">
        <v>13000</v>
      </c>
      <c r="C13" s="398">
        <v>132000</v>
      </c>
      <c r="D13" s="399">
        <v>83514</v>
      </c>
      <c r="E13" s="400">
        <f t="shared" si="0"/>
        <v>1.3918999999999999</v>
      </c>
      <c r="F13" s="401">
        <v>6300</v>
      </c>
      <c r="G13" s="402">
        <f t="shared" si="1"/>
        <v>1.05</v>
      </c>
      <c r="H13" s="403">
        <v>10698</v>
      </c>
      <c r="I13" s="404">
        <f t="shared" si="2"/>
        <v>1.7595394736842105</v>
      </c>
      <c r="J13" s="243">
        <v>790950</v>
      </c>
      <c r="K13" s="405">
        <f t="shared" si="3"/>
        <v>0.98868750000000005</v>
      </c>
      <c r="L13" s="413">
        <f t="shared" ref="L13:L76" si="5">SUM(B13,C13,D13,F13,H13,J13)</f>
        <v>1036462</v>
      </c>
      <c r="M13" s="411">
        <f t="shared" si="4"/>
        <v>1.0190565147284383</v>
      </c>
    </row>
    <row r="14" spans="1:13" ht="26.1" customHeight="1" thickTop="1" thickBot="1">
      <c r="A14" s="397">
        <v>45444</v>
      </c>
      <c r="B14" s="398">
        <v>13000</v>
      </c>
      <c r="C14" s="398">
        <v>132000</v>
      </c>
      <c r="D14" s="399">
        <v>121017</v>
      </c>
      <c r="E14" s="400">
        <f t="shared" si="0"/>
        <v>2.01695</v>
      </c>
      <c r="F14" s="401">
        <v>6308</v>
      </c>
      <c r="G14" s="402">
        <f t="shared" si="1"/>
        <v>1.0513333333333332</v>
      </c>
      <c r="H14" s="403">
        <v>10698</v>
      </c>
      <c r="I14" s="404">
        <f t="shared" si="2"/>
        <v>1.7595394736842105</v>
      </c>
      <c r="J14" s="243">
        <v>776600</v>
      </c>
      <c r="K14" s="405">
        <f t="shared" si="3"/>
        <v>0.97075</v>
      </c>
      <c r="L14" s="413">
        <f t="shared" si="5"/>
        <v>1059623</v>
      </c>
      <c r="M14" s="411">
        <f t="shared" si="4"/>
        <v>1.0418285680575765</v>
      </c>
    </row>
    <row r="15" spans="1:13" ht="26.1" customHeight="1" thickTop="1" thickBot="1">
      <c r="A15" s="397">
        <v>45474</v>
      </c>
      <c r="B15" s="398">
        <v>13000</v>
      </c>
      <c r="C15" s="398">
        <v>132000</v>
      </c>
      <c r="D15" s="399">
        <v>160840</v>
      </c>
      <c r="E15" s="400">
        <f t="shared" si="0"/>
        <v>2.6806666666666668</v>
      </c>
      <c r="F15" s="401">
        <v>6308</v>
      </c>
      <c r="G15" s="402">
        <f t="shared" si="1"/>
        <v>1.0513333333333332</v>
      </c>
      <c r="H15" s="403">
        <v>10698</v>
      </c>
      <c r="I15" s="404">
        <f t="shared" si="2"/>
        <v>1.7595394736842105</v>
      </c>
      <c r="J15" s="243">
        <v>858800</v>
      </c>
      <c r="K15" s="405">
        <f t="shared" si="3"/>
        <v>1.0734999999999999</v>
      </c>
      <c r="L15" s="413">
        <f t="shared" si="5"/>
        <v>1181646</v>
      </c>
      <c r="M15" s="411">
        <f t="shared" si="4"/>
        <v>1.161802414755968</v>
      </c>
    </row>
    <row r="16" spans="1:13" ht="26.1" customHeight="1" thickTop="1" thickBot="1">
      <c r="A16" s="397">
        <v>45505</v>
      </c>
      <c r="B16" s="398">
        <v>13000</v>
      </c>
      <c r="C16" s="398">
        <v>132000</v>
      </c>
      <c r="D16" s="399">
        <v>120441</v>
      </c>
      <c r="E16" s="400">
        <f t="shared" si="0"/>
        <v>2.0073500000000002</v>
      </c>
      <c r="F16" s="401">
        <v>6308</v>
      </c>
      <c r="G16" s="402">
        <f t="shared" si="1"/>
        <v>1.0513333333333332</v>
      </c>
      <c r="H16" s="403">
        <v>10698</v>
      </c>
      <c r="I16" s="404">
        <f t="shared" si="2"/>
        <v>1.7595394736842105</v>
      </c>
      <c r="J16" s="243">
        <v>847500</v>
      </c>
      <c r="K16" s="405">
        <f t="shared" si="3"/>
        <v>1.059375</v>
      </c>
      <c r="L16" s="413">
        <f t="shared" si="5"/>
        <v>1129947</v>
      </c>
      <c r="M16" s="411">
        <f t="shared" si="4"/>
        <v>1.110971604986825</v>
      </c>
    </row>
    <row r="17" spans="1:13" ht="26.1" customHeight="1" thickTop="1" thickBot="1">
      <c r="A17" s="397">
        <v>45536</v>
      </c>
      <c r="B17" s="398">
        <v>13000</v>
      </c>
      <c r="C17" s="398">
        <v>132000</v>
      </c>
      <c r="D17" s="399">
        <v>140141</v>
      </c>
      <c r="E17" s="400">
        <f t="shared" si="0"/>
        <v>2.3356833333333333</v>
      </c>
      <c r="F17" s="401">
        <v>6308</v>
      </c>
      <c r="G17" s="402">
        <f t="shared" si="1"/>
        <v>1.0513333333333332</v>
      </c>
      <c r="H17" s="403">
        <v>10698</v>
      </c>
      <c r="I17" s="404">
        <f t="shared" si="2"/>
        <v>1.7595394736842105</v>
      </c>
      <c r="J17" s="243">
        <v>957500</v>
      </c>
      <c r="K17" s="405">
        <f t="shared" si="3"/>
        <v>1.1968749999999999</v>
      </c>
      <c r="L17" s="413">
        <f t="shared" si="5"/>
        <v>1259647</v>
      </c>
      <c r="M17" s="411">
        <f t="shared" si="4"/>
        <v>1.2384935304990758</v>
      </c>
    </row>
    <row r="18" spans="1:13" ht="26.1" customHeight="1" thickTop="1" thickBot="1">
      <c r="A18" s="397">
        <v>45566</v>
      </c>
      <c r="B18" s="398">
        <v>13000</v>
      </c>
      <c r="C18" s="398">
        <v>132000</v>
      </c>
      <c r="D18" s="399">
        <v>98451</v>
      </c>
      <c r="E18" s="400">
        <f t="shared" si="0"/>
        <v>1.6408499999999999</v>
      </c>
      <c r="F18" s="401">
        <v>6308</v>
      </c>
      <c r="G18" s="402">
        <f t="shared" si="1"/>
        <v>1.0513333333333332</v>
      </c>
      <c r="H18" s="403">
        <v>10698</v>
      </c>
      <c r="I18" s="404">
        <f t="shared" si="2"/>
        <v>1.7595394736842105</v>
      </c>
      <c r="J18" s="243">
        <v>986930</v>
      </c>
      <c r="K18" s="405">
        <f t="shared" si="3"/>
        <v>1.2336625000000001</v>
      </c>
      <c r="L18" s="413">
        <f t="shared" si="5"/>
        <v>1247387</v>
      </c>
      <c r="M18" s="411">
        <f t="shared" si="4"/>
        <v>1.2264394147952964</v>
      </c>
    </row>
    <row r="19" spans="1:13" ht="26.1" customHeight="1" thickTop="1" thickBot="1">
      <c r="A19" s="397">
        <v>45597</v>
      </c>
      <c r="B19" s="398">
        <v>13000</v>
      </c>
      <c r="C19" s="398">
        <v>132000</v>
      </c>
      <c r="D19" s="399">
        <v>90451</v>
      </c>
      <c r="E19" s="400">
        <f t="shared" si="0"/>
        <v>1.5075166666666666</v>
      </c>
      <c r="F19" s="401">
        <v>6308</v>
      </c>
      <c r="G19" s="402">
        <f t="shared" si="1"/>
        <v>1.0513333333333332</v>
      </c>
      <c r="H19" s="403">
        <v>10698</v>
      </c>
      <c r="I19" s="404">
        <f t="shared" si="2"/>
        <v>1.7595394736842105</v>
      </c>
      <c r="J19" s="243">
        <v>1093110</v>
      </c>
      <c r="K19" s="405">
        <f t="shared" si="3"/>
        <v>1.3663875000000001</v>
      </c>
      <c r="L19" s="413">
        <f t="shared" si="5"/>
        <v>1345567</v>
      </c>
      <c r="M19" s="411">
        <f t="shared" si="4"/>
        <v>1.3229706611082708</v>
      </c>
    </row>
    <row r="20" spans="1:13" ht="26.1" customHeight="1" thickTop="1" thickBot="1">
      <c r="A20" s="397">
        <v>45627</v>
      </c>
      <c r="B20" s="398">
        <v>13000</v>
      </c>
      <c r="C20" s="398">
        <v>132000</v>
      </c>
      <c r="D20" s="399">
        <v>70641</v>
      </c>
      <c r="E20" s="400">
        <f t="shared" si="0"/>
        <v>1.1773499999999999</v>
      </c>
      <c r="F20" s="401">
        <v>6308</v>
      </c>
      <c r="G20" s="402">
        <f t="shared" si="1"/>
        <v>1.0513333333333332</v>
      </c>
      <c r="H20" s="403">
        <v>10698</v>
      </c>
      <c r="I20" s="404">
        <f t="shared" si="2"/>
        <v>1.7595394736842105</v>
      </c>
      <c r="J20" s="243">
        <v>980050</v>
      </c>
      <c r="K20" s="405">
        <f t="shared" si="3"/>
        <v>1.2250624999999999</v>
      </c>
      <c r="L20" s="413">
        <f t="shared" si="5"/>
        <v>1212697</v>
      </c>
      <c r="M20" s="411">
        <f t="shared" si="4"/>
        <v>1.1923319699531993</v>
      </c>
    </row>
    <row r="21" spans="1:13" ht="26.1" customHeight="1" thickTop="1" thickBot="1">
      <c r="A21" s="397">
        <v>45658</v>
      </c>
      <c r="B21" s="398">
        <v>13000</v>
      </c>
      <c r="C21" s="398">
        <v>132000</v>
      </c>
      <c r="D21" s="399">
        <v>68488</v>
      </c>
      <c r="E21" s="400">
        <f t="shared" si="0"/>
        <v>1.1414666666666666</v>
      </c>
      <c r="F21" s="401">
        <v>6308</v>
      </c>
      <c r="G21" s="402">
        <f t="shared" si="1"/>
        <v>1.0513333333333332</v>
      </c>
      <c r="H21" s="403">
        <v>10698</v>
      </c>
      <c r="I21" s="404">
        <f t="shared" si="2"/>
        <v>1.7595394736842105</v>
      </c>
      <c r="J21" s="243">
        <v>1008000</v>
      </c>
      <c r="K21" s="405">
        <f t="shared" si="3"/>
        <v>1.26</v>
      </c>
      <c r="L21" s="413">
        <f t="shared" si="5"/>
        <v>1238494</v>
      </c>
      <c r="M21" s="411">
        <f t="shared" si="4"/>
        <v>1.2176957564793329</v>
      </c>
    </row>
    <row r="22" spans="1:13" ht="26.1" customHeight="1" thickTop="1" thickBot="1">
      <c r="A22" s="397">
        <v>45689</v>
      </c>
      <c r="B22" s="398">
        <v>13000</v>
      </c>
      <c r="C22" s="398">
        <v>132000</v>
      </c>
      <c r="D22" s="399">
        <f>23466+26297</f>
        <v>49763</v>
      </c>
      <c r="E22" s="400">
        <f t="shared" si="0"/>
        <v>0.82938333333333336</v>
      </c>
      <c r="F22" s="401">
        <v>6308</v>
      </c>
      <c r="G22" s="402">
        <f t="shared" si="1"/>
        <v>1.0513333333333332</v>
      </c>
      <c r="H22" s="403">
        <f>6080</f>
        <v>6080</v>
      </c>
      <c r="I22" s="404">
        <f t="shared" si="2"/>
        <v>1</v>
      </c>
      <c r="J22" s="243">
        <f>'2025_2'!L16</f>
        <v>963800</v>
      </c>
      <c r="K22" s="405">
        <f t="shared" si="3"/>
        <v>1.20475</v>
      </c>
      <c r="L22" s="413">
        <f t="shared" si="5"/>
        <v>1170951</v>
      </c>
      <c r="M22" s="411">
        <f t="shared" si="4"/>
        <v>1.1512870177370511</v>
      </c>
    </row>
    <row r="23" spans="1:13" ht="26.1" customHeight="1" thickTop="1" thickBot="1">
      <c r="A23" s="397">
        <v>45717</v>
      </c>
      <c r="B23" s="398">
        <v>13000</v>
      </c>
      <c r="C23" s="398">
        <v>132000</v>
      </c>
      <c r="D23" s="399">
        <f>21714+26683</f>
        <v>48397</v>
      </c>
      <c r="E23" s="400">
        <f t="shared" si="0"/>
        <v>0.80661666666666665</v>
      </c>
      <c r="F23" s="401">
        <f>2890+3396</f>
        <v>6286</v>
      </c>
      <c r="G23" s="402">
        <f t="shared" si="1"/>
        <v>1.0476666666666667</v>
      </c>
      <c r="H23" s="403">
        <v>6080</v>
      </c>
      <c r="I23" s="404">
        <f t="shared" si="2"/>
        <v>1</v>
      </c>
      <c r="J23" s="243">
        <f>'2025_3'!L16</f>
        <v>976776</v>
      </c>
      <c r="K23" s="405">
        <f t="shared" si="3"/>
        <v>1.2209700000000001</v>
      </c>
      <c r="L23" s="413">
        <f t="shared" si="5"/>
        <v>1182539</v>
      </c>
      <c r="M23" s="411">
        <f t="shared" si="4"/>
        <v>1.1626804184528257</v>
      </c>
    </row>
    <row r="24" spans="1:13" ht="26.1" customHeight="1" thickTop="1" thickBot="1">
      <c r="A24" s="397">
        <v>45748</v>
      </c>
      <c r="B24" s="398">
        <v>13000</v>
      </c>
      <c r="C24" s="398">
        <v>132000</v>
      </c>
      <c r="D24" s="399">
        <f>38673+29311</f>
        <v>67984</v>
      </c>
      <c r="E24" s="400">
        <f t="shared" si="0"/>
        <v>1.1330666666666667</v>
      </c>
      <c r="F24" s="401">
        <f>2890+3396</f>
        <v>6286</v>
      </c>
      <c r="G24" s="402">
        <f t="shared" si="1"/>
        <v>1.0476666666666667</v>
      </c>
      <c r="H24" s="403">
        <v>6080</v>
      </c>
      <c r="I24" s="404">
        <f t="shared" si="2"/>
        <v>1</v>
      </c>
      <c r="J24" s="243">
        <f>'2025_4'!J9</f>
        <v>954902</v>
      </c>
      <c r="K24" s="405">
        <f t="shared" si="3"/>
        <v>1.1936275000000001</v>
      </c>
      <c r="L24" s="413">
        <f t="shared" si="5"/>
        <v>1180252</v>
      </c>
      <c r="M24" s="411">
        <f t="shared" si="4"/>
        <v>1.1604318244385889</v>
      </c>
    </row>
    <row r="25" spans="1:13" ht="26.1" customHeight="1" thickTop="1" thickBot="1">
      <c r="A25" s="397">
        <v>45778</v>
      </c>
      <c r="B25" s="398">
        <v>13000</v>
      </c>
      <c r="C25" s="398">
        <v>132000</v>
      </c>
      <c r="D25" s="399">
        <f>36798+47376</f>
        <v>84174</v>
      </c>
      <c r="E25" s="400">
        <f t="shared" si="0"/>
        <v>1.4029</v>
      </c>
      <c r="F25" s="401">
        <f t="shared" ref="F25:F27" si="6">2890+3396</f>
        <v>6286</v>
      </c>
      <c r="G25" s="402">
        <f t="shared" si="1"/>
        <v>1.0476666666666667</v>
      </c>
      <c r="H25" s="403">
        <v>6080</v>
      </c>
      <c r="I25" s="404">
        <f t="shared" si="2"/>
        <v>1</v>
      </c>
      <c r="J25" s="243">
        <f>'2025_5'!T16</f>
        <v>999600</v>
      </c>
      <c r="K25" s="405">
        <f t="shared" si="3"/>
        <v>1.2495000000000001</v>
      </c>
      <c r="L25" s="413">
        <f t="shared" si="5"/>
        <v>1241140</v>
      </c>
      <c r="M25" s="411">
        <f t="shared" si="4"/>
        <v>1.2202973217446023</v>
      </c>
    </row>
    <row r="26" spans="1:13" ht="26.1" customHeight="1" thickTop="1" thickBot="1">
      <c r="A26" s="397">
        <v>45809</v>
      </c>
      <c r="B26" s="398">
        <v>13000</v>
      </c>
      <c r="C26" s="398">
        <v>132000</v>
      </c>
      <c r="D26" s="399">
        <f>46537+45857</f>
        <v>92394</v>
      </c>
      <c r="E26" s="400">
        <f t="shared" si="0"/>
        <v>1.5399</v>
      </c>
      <c r="F26" s="401">
        <f t="shared" si="6"/>
        <v>6286</v>
      </c>
      <c r="G26" s="402">
        <f t="shared" si="1"/>
        <v>1.0476666666666667</v>
      </c>
      <c r="H26" s="403">
        <v>6080</v>
      </c>
      <c r="I26" s="404">
        <f t="shared" si="2"/>
        <v>1</v>
      </c>
      <c r="J26" s="243">
        <f>'2025_6'!T16</f>
        <v>968900</v>
      </c>
      <c r="K26" s="405">
        <f t="shared" si="3"/>
        <v>1.211125</v>
      </c>
      <c r="L26" s="413">
        <f t="shared" si="5"/>
        <v>1218660</v>
      </c>
      <c r="M26" s="411">
        <f t="shared" si="4"/>
        <v>1.1981948322649152</v>
      </c>
    </row>
    <row r="27" spans="1:13" ht="26.1" customHeight="1" thickTop="1" thickBot="1">
      <c r="A27" s="418">
        <v>45839</v>
      </c>
      <c r="B27" s="419">
        <v>26000</v>
      </c>
      <c r="C27" s="419">
        <v>192000</v>
      </c>
      <c r="D27" s="419">
        <f>60876+76936</f>
        <v>137812</v>
      </c>
      <c r="E27" s="420">
        <f>D27/$D$5</f>
        <v>1.9687428571428571</v>
      </c>
      <c r="F27" s="419">
        <f t="shared" si="6"/>
        <v>6286</v>
      </c>
      <c r="G27" s="420">
        <f>F27/$D$6</f>
        <v>1.2572000000000001</v>
      </c>
      <c r="H27" s="419">
        <v>6080</v>
      </c>
      <c r="I27" s="420">
        <f>H27/$D$7</f>
        <v>1</v>
      </c>
      <c r="J27" s="419">
        <f>'2025_7'!T16+'2025_7'!S19</f>
        <v>1063700</v>
      </c>
      <c r="K27" s="420">
        <f>J27/$D$8</f>
        <v>1.181888888888889</v>
      </c>
      <c r="L27" s="421">
        <f t="shared" si="5"/>
        <v>1431878</v>
      </c>
      <c r="M27" s="422">
        <f>L27/$D$9</f>
        <v>1.1941471795042866</v>
      </c>
    </row>
    <row r="28" spans="1:13" ht="26.1" customHeight="1" thickTop="1" thickBot="1">
      <c r="A28" s="397">
        <v>45870</v>
      </c>
      <c r="B28" s="398">
        <v>26000</v>
      </c>
      <c r="C28" s="398">
        <v>192000</v>
      </c>
      <c r="D28" s="399">
        <f>79626+58727</f>
        <v>138353</v>
      </c>
      <c r="E28" s="400">
        <f t="shared" ref="E28:E34" si="7">D28/$D$5</f>
        <v>1.9764714285714287</v>
      </c>
      <c r="F28" s="401">
        <v>3143</v>
      </c>
      <c r="G28" s="402">
        <f t="shared" ref="G28:G33" si="8">F28/$D$6</f>
        <v>0.62860000000000005</v>
      </c>
      <c r="H28" s="403">
        <v>6080</v>
      </c>
      <c r="I28" s="404">
        <f t="shared" ref="I28:I37" si="9">H28/$D$7</f>
        <v>1</v>
      </c>
      <c r="J28" s="243">
        <f>'2025_8'!T16+'2025_8'!S19</f>
        <v>1130000</v>
      </c>
      <c r="K28" s="405">
        <f t="shared" ref="K28:K34" si="10">J28/$D$8</f>
        <v>1.2555555555555555</v>
      </c>
      <c r="L28" s="413">
        <f t="shared" si="5"/>
        <v>1495576</v>
      </c>
      <c r="M28" s="411">
        <f t="shared" ref="M28:M34" si="11">L28/$D$9</f>
        <v>1.2472695733395602</v>
      </c>
    </row>
    <row r="29" spans="1:13" ht="26.1" customHeight="1" thickTop="1" thickBot="1">
      <c r="A29" s="397">
        <v>45901</v>
      </c>
      <c r="B29" s="398">
        <v>26000</v>
      </c>
      <c r="C29" s="398">
        <v>192000</v>
      </c>
      <c r="D29" s="399">
        <f>79626+58727</f>
        <v>138353</v>
      </c>
      <c r="E29" s="400">
        <f t="shared" si="7"/>
        <v>1.9764714285714287</v>
      </c>
      <c r="F29" s="401">
        <v>3143</v>
      </c>
      <c r="G29" s="402">
        <f t="shared" si="8"/>
        <v>0.62860000000000005</v>
      </c>
      <c r="H29" s="403">
        <v>6080</v>
      </c>
      <c r="I29" s="404">
        <f t="shared" si="9"/>
        <v>1</v>
      </c>
      <c r="J29" s="243">
        <f>'2025_9'!R8</f>
        <v>924450</v>
      </c>
      <c r="K29" s="405">
        <f t="shared" si="10"/>
        <v>1.0271666666666666</v>
      </c>
      <c r="L29" s="413">
        <f t="shared" si="5"/>
        <v>1290026</v>
      </c>
      <c r="M29" s="411">
        <f t="shared" si="11"/>
        <v>1.0758464823030991</v>
      </c>
    </row>
    <row r="30" spans="1:13" ht="26.1" customHeight="1" thickTop="1" thickBot="1">
      <c r="A30" s="397">
        <v>45931</v>
      </c>
      <c r="B30" s="398">
        <v>26000</v>
      </c>
      <c r="C30" s="398">
        <v>192000</v>
      </c>
      <c r="D30" s="399">
        <f>46075+38086</f>
        <v>84161</v>
      </c>
      <c r="E30" s="400">
        <f t="shared" si="7"/>
        <v>1.2022999999999999</v>
      </c>
      <c r="F30" s="401">
        <v>3143</v>
      </c>
      <c r="G30" s="402">
        <f t="shared" si="8"/>
        <v>0.62860000000000005</v>
      </c>
      <c r="H30" s="403">
        <v>6080</v>
      </c>
      <c r="I30" s="404">
        <f t="shared" si="9"/>
        <v>1</v>
      </c>
      <c r="J30" s="243">
        <f>'2025_10'!R8</f>
        <v>949050</v>
      </c>
      <c r="K30" s="405">
        <f t="shared" si="10"/>
        <v>1.0545</v>
      </c>
      <c r="L30" s="413">
        <f t="shared" si="5"/>
        <v>1260434</v>
      </c>
      <c r="M30" s="411">
        <f t="shared" si="11"/>
        <v>1.0511675617973779</v>
      </c>
    </row>
    <row r="31" spans="1:13" ht="26.1" customHeight="1" thickTop="1" thickBot="1">
      <c r="A31" s="397">
        <v>45962</v>
      </c>
      <c r="B31" s="398">
        <v>26000</v>
      </c>
      <c r="C31" s="398">
        <v>192000</v>
      </c>
      <c r="D31" s="399">
        <f t="shared" ref="D31:D34" si="12">46075+38086</f>
        <v>84161</v>
      </c>
      <c r="E31" s="400">
        <f t="shared" si="7"/>
        <v>1.2022999999999999</v>
      </c>
      <c r="F31" s="401">
        <v>3143</v>
      </c>
      <c r="G31" s="402">
        <f t="shared" si="8"/>
        <v>0.62860000000000005</v>
      </c>
      <c r="H31" s="403">
        <v>6080</v>
      </c>
      <c r="I31" s="404">
        <f t="shared" si="9"/>
        <v>1</v>
      </c>
      <c r="J31" s="243">
        <f>'2025_11'!T16+'2025_11'!S19</f>
        <v>937150</v>
      </c>
      <c r="K31" s="405">
        <f t="shared" si="10"/>
        <v>1.0412777777777777</v>
      </c>
      <c r="L31" s="413">
        <f t="shared" si="5"/>
        <v>1248534</v>
      </c>
      <c r="M31" s="411">
        <f t="shared" si="11"/>
        <v>1.041243286519665</v>
      </c>
    </row>
    <row r="32" spans="1:13" ht="26.1" customHeight="1" thickTop="1" thickBot="1">
      <c r="A32" s="397">
        <v>45992</v>
      </c>
      <c r="B32" s="398">
        <v>26000</v>
      </c>
      <c r="C32" s="398">
        <v>192000</v>
      </c>
      <c r="D32" s="399">
        <f t="shared" si="12"/>
        <v>84161</v>
      </c>
      <c r="E32" s="400">
        <f t="shared" si="7"/>
        <v>1.2022999999999999</v>
      </c>
      <c r="F32" s="401">
        <v>3143</v>
      </c>
      <c r="G32" s="402">
        <f t="shared" si="8"/>
        <v>0.62860000000000005</v>
      </c>
      <c r="H32" s="403">
        <v>6080</v>
      </c>
      <c r="I32" s="404">
        <f t="shared" si="9"/>
        <v>1</v>
      </c>
      <c r="J32" s="243">
        <f>'2025_12'!T16+'2025_12'!S19</f>
        <v>1034600</v>
      </c>
      <c r="K32" s="405">
        <f t="shared" si="10"/>
        <v>1.1495555555555557</v>
      </c>
      <c r="L32" s="413">
        <f t="shared" si="5"/>
        <v>1345984</v>
      </c>
      <c r="M32" s="411">
        <f t="shared" si="11"/>
        <v>1.1225139273442972</v>
      </c>
    </row>
    <row r="33" spans="1:13" ht="26.1" customHeight="1" thickTop="1" thickBot="1">
      <c r="A33" s="397">
        <v>46023</v>
      </c>
      <c r="B33" s="398">
        <v>26000</v>
      </c>
      <c r="C33" s="398">
        <v>192000</v>
      </c>
      <c r="D33" s="399">
        <f t="shared" si="12"/>
        <v>84161</v>
      </c>
      <c r="E33" s="400">
        <f t="shared" si="7"/>
        <v>1.2022999999999999</v>
      </c>
      <c r="F33" s="401">
        <v>3143</v>
      </c>
      <c r="G33" s="402">
        <f t="shared" si="8"/>
        <v>0.62860000000000005</v>
      </c>
      <c r="H33" s="403">
        <v>6080</v>
      </c>
      <c r="I33" s="404">
        <f t="shared" si="9"/>
        <v>1</v>
      </c>
      <c r="J33" s="243">
        <f>'2026_1'!S16+'2026_1'!R19</f>
        <v>979875</v>
      </c>
      <c r="K33" s="405">
        <f t="shared" si="10"/>
        <v>1.0887500000000001</v>
      </c>
      <c r="L33" s="413">
        <f t="shared" si="5"/>
        <v>1291259</v>
      </c>
      <c r="M33" s="411">
        <f t="shared" si="11"/>
        <v>1.0768747706575041</v>
      </c>
    </row>
    <row r="34" spans="1:13" ht="26.1" customHeight="1" thickTop="1" thickBot="1">
      <c r="A34" s="397">
        <v>46054</v>
      </c>
      <c r="B34" s="398">
        <v>26000</v>
      </c>
      <c r="C34" s="398">
        <v>192000</v>
      </c>
      <c r="D34" s="399">
        <f t="shared" si="12"/>
        <v>84161</v>
      </c>
      <c r="E34" s="400">
        <f t="shared" si="7"/>
        <v>1.2022999999999999</v>
      </c>
      <c r="F34" s="401">
        <v>3143</v>
      </c>
      <c r="G34" s="402">
        <f>F34/$D$6</f>
        <v>0.62860000000000005</v>
      </c>
      <c r="H34" s="403">
        <v>6080</v>
      </c>
      <c r="I34" s="404">
        <f t="shared" si="9"/>
        <v>1</v>
      </c>
      <c r="J34" s="243">
        <f>'2026_2'!S16+'2026_2'!R19</f>
        <v>992050</v>
      </c>
      <c r="K34" s="405">
        <f t="shared" si="10"/>
        <v>1.1022777777777777</v>
      </c>
      <c r="L34" s="413">
        <f t="shared" si="5"/>
        <v>1303434</v>
      </c>
      <c r="M34" s="411">
        <f t="shared" si="11"/>
        <v>1.0870283884311305</v>
      </c>
    </row>
    <row r="35" spans="1:13" ht="26.1" customHeight="1" thickTop="1" thickBot="1">
      <c r="A35" s="418">
        <v>46082</v>
      </c>
      <c r="B35" s="419">
        <v>26000</v>
      </c>
      <c r="C35" s="419">
        <f>192000+60000</f>
        <v>252000</v>
      </c>
      <c r="D35" s="419">
        <v>56000</v>
      </c>
      <c r="E35" s="420">
        <f>D35/$E$5</f>
        <v>0.62222222222222223</v>
      </c>
      <c r="F35" s="419">
        <v>3145</v>
      </c>
      <c r="G35" s="420">
        <f>F35/$E$6</f>
        <v>0.69888888888888889</v>
      </c>
      <c r="H35" s="419">
        <v>6080</v>
      </c>
      <c r="I35" s="420">
        <f t="shared" si="9"/>
        <v>1</v>
      </c>
      <c r="J35" s="419">
        <v>1050000</v>
      </c>
      <c r="K35" s="420">
        <f>J35/$E$8</f>
        <v>0.95454545454545459</v>
      </c>
      <c r="L35" s="421">
        <f t="shared" si="5"/>
        <v>1393225</v>
      </c>
      <c r="M35" s="422">
        <f>L35/$E$9</f>
        <v>0.94227231532957301</v>
      </c>
    </row>
    <row r="36" spans="1:13" ht="26.1" customHeight="1" thickTop="1" thickBot="1">
      <c r="A36" s="397">
        <v>46113</v>
      </c>
      <c r="B36" s="398">
        <v>26000</v>
      </c>
      <c r="C36" s="398">
        <f t="shared" ref="C36:C75" si="13">192000+60000</f>
        <v>252000</v>
      </c>
      <c r="D36" s="399">
        <v>67200</v>
      </c>
      <c r="E36" s="400">
        <f t="shared" ref="E36" si="14">D36/$E$5</f>
        <v>0.7466666666666667</v>
      </c>
      <c r="F36" s="401">
        <v>3145</v>
      </c>
      <c r="G36" s="402">
        <f t="shared" ref="G36:G37" si="15">F36/$E$6</f>
        <v>0.69888888888888889</v>
      </c>
      <c r="H36" s="403">
        <v>6080</v>
      </c>
      <c r="I36" s="404">
        <f t="shared" si="9"/>
        <v>1</v>
      </c>
      <c r="J36" s="243">
        <v>1084900</v>
      </c>
      <c r="K36" s="405">
        <f t="shared" ref="K36" si="16">J36/$E$8</f>
        <v>0.9862727272727273</v>
      </c>
      <c r="L36" s="413">
        <f t="shared" si="5"/>
        <v>1439325</v>
      </c>
      <c r="M36" s="411">
        <f>L36/$E$9</f>
        <v>0.97345087854563161</v>
      </c>
    </row>
    <row r="37" spans="1:13" ht="26.1" customHeight="1" thickTop="1" thickBot="1">
      <c r="A37" s="418">
        <v>46143</v>
      </c>
      <c r="B37" s="419">
        <v>26000</v>
      </c>
      <c r="C37" s="419">
        <f t="shared" si="13"/>
        <v>252000</v>
      </c>
      <c r="D37" s="419">
        <v>58410</v>
      </c>
      <c r="E37" s="420">
        <f>D37/$E$5</f>
        <v>0.64900000000000002</v>
      </c>
      <c r="F37" s="419">
        <v>3145</v>
      </c>
      <c r="G37" s="420">
        <f t="shared" si="15"/>
        <v>0.69888888888888889</v>
      </c>
      <c r="H37" s="419">
        <v>6080</v>
      </c>
      <c r="I37" s="420">
        <f t="shared" si="9"/>
        <v>1</v>
      </c>
      <c r="J37" s="419">
        <v>1387900</v>
      </c>
      <c r="K37" s="420">
        <f>J37/$F$8</f>
        <v>0.99135714285714283</v>
      </c>
      <c r="L37" s="421">
        <f t="shared" si="5"/>
        <v>1733535</v>
      </c>
      <c r="M37" s="422">
        <f>L37/$F$9</f>
        <v>0.97467361603076608</v>
      </c>
    </row>
    <row r="38" spans="1:13" ht="26.1" customHeight="1" thickTop="1" thickBot="1">
      <c r="A38" s="397">
        <v>46174</v>
      </c>
      <c r="B38" s="398">
        <v>26000</v>
      </c>
      <c r="C38" s="398">
        <f t="shared" si="13"/>
        <v>252000</v>
      </c>
      <c r="D38" s="399">
        <f>44116+52888+10000</f>
        <v>107004</v>
      </c>
      <c r="E38" s="400">
        <f>D38/$F$5</f>
        <v>1.1889333333333334</v>
      </c>
      <c r="F38" s="401"/>
      <c r="G38" s="402">
        <f>F38/$F$6</f>
        <v>0</v>
      </c>
      <c r="H38" s="403">
        <v>6080</v>
      </c>
      <c r="I38" s="404">
        <f>H38/$F$7</f>
        <v>1</v>
      </c>
      <c r="J38" s="243">
        <f>'2026_6'!T8</f>
        <v>1402400</v>
      </c>
      <c r="K38" s="405">
        <f>J38/$F$8</f>
        <v>1.0017142857142858</v>
      </c>
      <c r="L38" s="413">
        <f>SUM(B38,C38,D38,F38,H38,J38)</f>
        <v>1793484</v>
      </c>
      <c r="M38" s="411">
        <f>L38/$F$9</f>
        <v>1.0083797186519583</v>
      </c>
    </row>
    <row r="39" spans="1:13" ht="26.1" customHeight="1" thickTop="1" thickBot="1">
      <c r="A39" s="397">
        <v>46204</v>
      </c>
      <c r="B39" s="398">
        <v>26000</v>
      </c>
      <c r="C39" s="398">
        <f t="shared" si="13"/>
        <v>252000</v>
      </c>
      <c r="D39" s="399"/>
      <c r="E39" s="399"/>
      <c r="F39" s="401"/>
      <c r="G39" s="401"/>
      <c r="H39" s="403"/>
      <c r="I39" s="403"/>
      <c r="J39" s="243"/>
      <c r="K39" s="243"/>
      <c r="L39" s="413">
        <f t="shared" si="5"/>
        <v>278000</v>
      </c>
      <c r="M39" s="412"/>
    </row>
    <row r="40" spans="1:13" ht="26.1" customHeight="1" thickTop="1" thickBot="1">
      <c r="A40" s="397">
        <v>46235</v>
      </c>
      <c r="B40" s="398">
        <v>26000</v>
      </c>
      <c r="C40" s="398">
        <f t="shared" si="13"/>
        <v>252000</v>
      </c>
      <c r="D40" s="399"/>
      <c r="E40" s="399"/>
      <c r="F40" s="401"/>
      <c r="G40" s="401"/>
      <c r="H40" s="403"/>
      <c r="I40" s="403"/>
      <c r="J40" s="243"/>
      <c r="K40" s="243"/>
      <c r="L40" s="413">
        <f t="shared" si="5"/>
        <v>278000</v>
      </c>
      <c r="M40" s="412"/>
    </row>
    <row r="41" spans="1:13" ht="26.1" customHeight="1" thickTop="1" thickBot="1">
      <c r="A41" s="397">
        <v>46266</v>
      </c>
      <c r="B41" s="398">
        <v>26000</v>
      </c>
      <c r="C41" s="398">
        <f t="shared" si="13"/>
        <v>252000</v>
      </c>
      <c r="D41" s="399"/>
      <c r="E41" s="399"/>
      <c r="F41" s="401"/>
      <c r="G41" s="401"/>
      <c r="H41" s="403"/>
      <c r="I41" s="403"/>
      <c r="J41" s="243"/>
      <c r="K41" s="243"/>
      <c r="L41" s="413">
        <f t="shared" si="5"/>
        <v>278000</v>
      </c>
      <c r="M41" s="412"/>
    </row>
    <row r="42" spans="1:13" ht="26.1" customHeight="1" thickTop="1" thickBot="1">
      <c r="A42" s="397">
        <v>46296</v>
      </c>
      <c r="B42" s="398">
        <v>26000</v>
      </c>
      <c r="C42" s="398">
        <f t="shared" si="13"/>
        <v>252000</v>
      </c>
      <c r="D42" s="399"/>
      <c r="E42" s="399"/>
      <c r="F42" s="401"/>
      <c r="G42" s="401"/>
      <c r="H42" s="403"/>
      <c r="I42" s="403"/>
      <c r="J42" s="243"/>
      <c r="K42" s="243"/>
      <c r="L42" s="413">
        <f t="shared" si="5"/>
        <v>278000</v>
      </c>
      <c r="M42" s="412"/>
    </row>
    <row r="43" spans="1:13" ht="26.1" customHeight="1" thickTop="1" thickBot="1">
      <c r="A43" s="397">
        <v>46327</v>
      </c>
      <c r="B43" s="398">
        <v>26000</v>
      </c>
      <c r="C43" s="398">
        <f t="shared" si="13"/>
        <v>252000</v>
      </c>
      <c r="D43" s="399"/>
      <c r="E43" s="399"/>
      <c r="F43" s="401"/>
      <c r="G43" s="401"/>
      <c r="H43" s="403"/>
      <c r="I43" s="403"/>
      <c r="J43" s="243"/>
      <c r="K43" s="243"/>
      <c r="L43" s="413">
        <f t="shared" si="5"/>
        <v>278000</v>
      </c>
      <c r="M43" s="412"/>
    </row>
    <row r="44" spans="1:13" ht="26.1" customHeight="1" thickTop="1" thickBot="1">
      <c r="A44" s="397">
        <v>46357</v>
      </c>
      <c r="B44" s="398">
        <v>26000</v>
      </c>
      <c r="C44" s="398">
        <f t="shared" si="13"/>
        <v>252000</v>
      </c>
      <c r="D44" s="399"/>
      <c r="E44" s="399"/>
      <c r="F44" s="401"/>
      <c r="G44" s="401"/>
      <c r="H44" s="403"/>
      <c r="I44" s="403"/>
      <c r="J44" s="243"/>
      <c r="K44" s="243"/>
      <c r="L44" s="413">
        <f t="shared" si="5"/>
        <v>278000</v>
      </c>
      <c r="M44" s="412"/>
    </row>
    <row r="45" spans="1:13" ht="26.1" customHeight="1" thickTop="1" thickBot="1">
      <c r="A45" s="397">
        <v>46388</v>
      </c>
      <c r="B45" s="398">
        <v>26000</v>
      </c>
      <c r="C45" s="398">
        <f t="shared" si="13"/>
        <v>252000</v>
      </c>
      <c r="D45" s="399"/>
      <c r="E45" s="399"/>
      <c r="F45" s="401"/>
      <c r="G45" s="401"/>
      <c r="H45" s="403"/>
      <c r="I45" s="403"/>
      <c r="J45" s="243"/>
      <c r="K45" s="243"/>
      <c r="L45" s="413">
        <f t="shared" si="5"/>
        <v>278000</v>
      </c>
      <c r="M45" s="412"/>
    </row>
    <row r="46" spans="1:13" ht="26.1" customHeight="1" thickTop="1" thickBot="1">
      <c r="A46" s="397">
        <v>46419</v>
      </c>
      <c r="B46" s="398">
        <v>26000</v>
      </c>
      <c r="C46" s="398">
        <f t="shared" si="13"/>
        <v>252000</v>
      </c>
      <c r="D46" s="399"/>
      <c r="E46" s="399"/>
      <c r="F46" s="401"/>
      <c r="G46" s="401"/>
      <c r="H46" s="403"/>
      <c r="I46" s="403"/>
      <c r="J46" s="243"/>
      <c r="K46" s="243"/>
      <c r="L46" s="413">
        <f t="shared" si="5"/>
        <v>278000</v>
      </c>
      <c r="M46" s="412"/>
    </row>
    <row r="47" spans="1:13" ht="26.1" customHeight="1" thickTop="1" thickBot="1">
      <c r="A47" s="397">
        <v>46447</v>
      </c>
      <c r="B47" s="398">
        <v>26000</v>
      </c>
      <c r="C47" s="398">
        <f t="shared" si="13"/>
        <v>252000</v>
      </c>
      <c r="D47" s="399"/>
      <c r="E47" s="399"/>
      <c r="F47" s="401"/>
      <c r="G47" s="401"/>
      <c r="H47" s="403"/>
      <c r="I47" s="403"/>
      <c r="J47" s="243"/>
      <c r="K47" s="243"/>
      <c r="L47" s="413">
        <f t="shared" si="5"/>
        <v>278000</v>
      </c>
      <c r="M47" s="412"/>
    </row>
    <row r="48" spans="1:13" ht="26.1" customHeight="1" thickTop="1" thickBot="1">
      <c r="A48" s="397">
        <v>46478</v>
      </c>
      <c r="B48" s="398">
        <v>26000</v>
      </c>
      <c r="C48" s="398">
        <f t="shared" si="13"/>
        <v>252000</v>
      </c>
      <c r="D48" s="399"/>
      <c r="E48" s="399"/>
      <c r="F48" s="401"/>
      <c r="G48" s="401"/>
      <c r="H48" s="403"/>
      <c r="I48" s="403"/>
      <c r="J48" s="243"/>
      <c r="K48" s="243"/>
      <c r="L48" s="413">
        <f t="shared" si="5"/>
        <v>278000</v>
      </c>
      <c r="M48" s="412"/>
    </row>
    <row r="49" spans="1:13" ht="26.1" customHeight="1" thickTop="1" thickBot="1">
      <c r="A49" s="397">
        <v>46508</v>
      </c>
      <c r="B49" s="398">
        <v>26000</v>
      </c>
      <c r="C49" s="398">
        <f t="shared" si="13"/>
        <v>252000</v>
      </c>
      <c r="D49" s="399"/>
      <c r="E49" s="399"/>
      <c r="F49" s="401"/>
      <c r="G49" s="401"/>
      <c r="H49" s="403"/>
      <c r="I49" s="403"/>
      <c r="J49" s="243"/>
      <c r="K49" s="243"/>
      <c r="L49" s="413">
        <f t="shared" si="5"/>
        <v>278000</v>
      </c>
      <c r="M49" s="412"/>
    </row>
    <row r="50" spans="1:13" ht="26.1" customHeight="1" thickTop="1" thickBot="1">
      <c r="A50" s="397">
        <v>46539</v>
      </c>
      <c r="B50" s="398">
        <v>26000</v>
      </c>
      <c r="C50" s="398">
        <f t="shared" si="13"/>
        <v>252000</v>
      </c>
      <c r="D50" s="399"/>
      <c r="E50" s="399"/>
      <c r="F50" s="401"/>
      <c r="G50" s="401"/>
      <c r="H50" s="403"/>
      <c r="I50" s="403"/>
      <c r="J50" s="243"/>
      <c r="K50" s="243"/>
      <c r="L50" s="413">
        <f t="shared" si="5"/>
        <v>278000</v>
      </c>
      <c r="M50" s="412"/>
    </row>
    <row r="51" spans="1:13" ht="26.1" customHeight="1" thickTop="1" thickBot="1">
      <c r="A51" s="397">
        <v>46569</v>
      </c>
      <c r="B51" s="398">
        <v>26000</v>
      </c>
      <c r="C51" s="398">
        <f t="shared" si="13"/>
        <v>252000</v>
      </c>
      <c r="D51" s="399"/>
      <c r="E51" s="399"/>
      <c r="F51" s="401"/>
      <c r="G51" s="401"/>
      <c r="H51" s="403"/>
      <c r="I51" s="403"/>
      <c r="J51" s="243"/>
      <c r="K51" s="243"/>
      <c r="L51" s="413">
        <f t="shared" si="5"/>
        <v>278000</v>
      </c>
      <c r="M51" s="412"/>
    </row>
    <row r="52" spans="1:13" ht="26.1" customHeight="1" thickTop="1" thickBot="1">
      <c r="A52" s="397">
        <v>46600</v>
      </c>
      <c r="B52" s="398">
        <v>26000</v>
      </c>
      <c r="C52" s="398">
        <f t="shared" si="13"/>
        <v>252000</v>
      </c>
      <c r="D52" s="399"/>
      <c r="E52" s="399"/>
      <c r="F52" s="401"/>
      <c r="G52" s="401"/>
      <c r="H52" s="403"/>
      <c r="I52" s="403"/>
      <c r="J52" s="243"/>
      <c r="K52" s="243"/>
      <c r="L52" s="413">
        <f t="shared" si="5"/>
        <v>278000</v>
      </c>
      <c r="M52" s="412"/>
    </row>
    <row r="53" spans="1:13" ht="26.1" customHeight="1" thickTop="1" thickBot="1">
      <c r="A53" s="397">
        <v>46631</v>
      </c>
      <c r="B53" s="398">
        <v>26000</v>
      </c>
      <c r="C53" s="398">
        <f t="shared" si="13"/>
        <v>252000</v>
      </c>
      <c r="D53" s="399"/>
      <c r="E53" s="399"/>
      <c r="F53" s="401"/>
      <c r="G53" s="401"/>
      <c r="H53" s="403"/>
      <c r="I53" s="403"/>
      <c r="J53" s="243"/>
      <c r="K53" s="243"/>
      <c r="L53" s="413">
        <f t="shared" si="5"/>
        <v>278000</v>
      </c>
      <c r="M53" s="412"/>
    </row>
    <row r="54" spans="1:13" ht="26.1" customHeight="1" thickTop="1" thickBot="1">
      <c r="A54" s="397">
        <v>46661</v>
      </c>
      <c r="B54" s="398">
        <v>26000</v>
      </c>
      <c r="C54" s="398">
        <f t="shared" si="13"/>
        <v>252000</v>
      </c>
      <c r="D54" s="399"/>
      <c r="E54" s="399"/>
      <c r="F54" s="401"/>
      <c r="G54" s="401"/>
      <c r="H54" s="403"/>
      <c r="I54" s="403"/>
      <c r="J54" s="243"/>
      <c r="K54" s="243"/>
      <c r="L54" s="413">
        <f t="shared" si="5"/>
        <v>278000</v>
      </c>
      <c r="M54" s="412"/>
    </row>
    <row r="55" spans="1:13" ht="26.1" customHeight="1" thickTop="1" thickBot="1">
      <c r="A55" s="397">
        <v>46692</v>
      </c>
      <c r="B55" s="398">
        <v>26000</v>
      </c>
      <c r="C55" s="398">
        <f t="shared" si="13"/>
        <v>252000</v>
      </c>
      <c r="D55" s="399"/>
      <c r="E55" s="399"/>
      <c r="F55" s="401"/>
      <c r="G55" s="401"/>
      <c r="H55" s="403"/>
      <c r="I55" s="403"/>
      <c r="J55" s="243"/>
      <c r="K55" s="243"/>
      <c r="L55" s="413">
        <f t="shared" si="5"/>
        <v>278000</v>
      </c>
      <c r="M55" s="412"/>
    </row>
    <row r="56" spans="1:13" ht="26.1" customHeight="1" thickTop="1" thickBot="1">
      <c r="A56" s="397">
        <v>46722</v>
      </c>
      <c r="B56" s="398">
        <v>26000</v>
      </c>
      <c r="C56" s="398">
        <f t="shared" si="13"/>
        <v>252000</v>
      </c>
      <c r="D56" s="399"/>
      <c r="E56" s="399"/>
      <c r="F56" s="401"/>
      <c r="G56" s="401"/>
      <c r="H56" s="403"/>
      <c r="I56" s="403"/>
      <c r="J56" s="243"/>
      <c r="K56" s="243"/>
      <c r="L56" s="413">
        <f t="shared" si="5"/>
        <v>278000</v>
      </c>
      <c r="M56" s="412"/>
    </row>
    <row r="57" spans="1:13" ht="26.1" customHeight="1" thickTop="1" thickBot="1">
      <c r="A57" s="397">
        <v>46753</v>
      </c>
      <c r="B57" s="398">
        <v>26000</v>
      </c>
      <c r="C57" s="398">
        <f t="shared" si="13"/>
        <v>252000</v>
      </c>
      <c r="D57" s="399"/>
      <c r="E57" s="399"/>
      <c r="F57" s="401"/>
      <c r="G57" s="401"/>
      <c r="H57" s="403"/>
      <c r="I57" s="403"/>
      <c r="J57" s="243"/>
      <c r="K57" s="243"/>
      <c r="L57" s="413">
        <f t="shared" si="5"/>
        <v>278000</v>
      </c>
      <c r="M57" s="412"/>
    </row>
    <row r="58" spans="1:13" ht="26.1" customHeight="1" thickTop="1" thickBot="1">
      <c r="A58" s="397">
        <v>46784</v>
      </c>
      <c r="B58" s="398">
        <v>26000</v>
      </c>
      <c r="C58" s="398">
        <f t="shared" si="13"/>
        <v>252000</v>
      </c>
      <c r="D58" s="399"/>
      <c r="E58" s="399"/>
      <c r="F58" s="401"/>
      <c r="G58" s="401"/>
      <c r="H58" s="403"/>
      <c r="I58" s="403"/>
      <c r="J58" s="243"/>
      <c r="K58" s="243"/>
      <c r="L58" s="413">
        <f t="shared" si="5"/>
        <v>278000</v>
      </c>
      <c r="M58" s="412"/>
    </row>
    <row r="59" spans="1:13" ht="26.1" customHeight="1" thickTop="1" thickBot="1">
      <c r="A59" s="397">
        <v>46813</v>
      </c>
      <c r="B59" s="398">
        <v>26000</v>
      </c>
      <c r="C59" s="398">
        <f t="shared" si="13"/>
        <v>252000</v>
      </c>
      <c r="D59" s="399"/>
      <c r="E59" s="399"/>
      <c r="F59" s="401"/>
      <c r="G59" s="401"/>
      <c r="H59" s="403"/>
      <c r="I59" s="403"/>
      <c r="J59" s="243"/>
      <c r="K59" s="243"/>
      <c r="L59" s="413">
        <f t="shared" si="5"/>
        <v>278000</v>
      </c>
      <c r="M59" s="412"/>
    </row>
    <row r="60" spans="1:13" ht="26.1" customHeight="1" thickTop="1" thickBot="1">
      <c r="A60" s="397">
        <v>46844</v>
      </c>
      <c r="B60" s="398">
        <v>26000</v>
      </c>
      <c r="C60" s="398">
        <f t="shared" si="13"/>
        <v>252000</v>
      </c>
      <c r="D60" s="399"/>
      <c r="E60" s="399"/>
      <c r="F60" s="401"/>
      <c r="G60" s="401"/>
      <c r="H60" s="403"/>
      <c r="I60" s="403"/>
      <c r="J60" s="243"/>
      <c r="K60" s="243"/>
      <c r="L60" s="413">
        <f t="shared" si="5"/>
        <v>278000</v>
      </c>
      <c r="M60" s="412"/>
    </row>
    <row r="61" spans="1:13" ht="26.1" customHeight="1" thickTop="1" thickBot="1">
      <c r="A61" s="397">
        <v>46874</v>
      </c>
      <c r="B61" s="398">
        <v>26000</v>
      </c>
      <c r="C61" s="398">
        <f t="shared" si="13"/>
        <v>252000</v>
      </c>
      <c r="D61" s="399"/>
      <c r="E61" s="399"/>
      <c r="F61" s="401"/>
      <c r="G61" s="401"/>
      <c r="H61" s="403"/>
      <c r="I61" s="403"/>
      <c r="J61" s="243"/>
      <c r="K61" s="243"/>
      <c r="L61" s="413">
        <f t="shared" si="5"/>
        <v>278000</v>
      </c>
      <c r="M61" s="412"/>
    </row>
    <row r="62" spans="1:13" ht="26.1" customHeight="1" thickTop="1" thickBot="1">
      <c r="A62" s="397">
        <v>46905</v>
      </c>
      <c r="B62" s="398">
        <v>26000</v>
      </c>
      <c r="C62" s="398">
        <f t="shared" si="13"/>
        <v>252000</v>
      </c>
      <c r="D62" s="399"/>
      <c r="E62" s="399"/>
      <c r="F62" s="401"/>
      <c r="G62" s="401"/>
      <c r="H62" s="403"/>
      <c r="I62" s="403"/>
      <c r="J62" s="243"/>
      <c r="K62" s="243"/>
      <c r="L62" s="413">
        <f t="shared" si="5"/>
        <v>278000</v>
      </c>
      <c r="M62" s="412"/>
    </row>
    <row r="63" spans="1:13" ht="26.1" customHeight="1" thickTop="1" thickBot="1">
      <c r="A63" s="397">
        <v>46935</v>
      </c>
      <c r="B63" s="398">
        <v>26000</v>
      </c>
      <c r="C63" s="398">
        <f t="shared" si="13"/>
        <v>252000</v>
      </c>
      <c r="D63" s="399"/>
      <c r="E63" s="399"/>
      <c r="F63" s="401"/>
      <c r="G63" s="401"/>
      <c r="H63" s="403"/>
      <c r="I63" s="403"/>
      <c r="J63" s="243"/>
      <c r="K63" s="243"/>
      <c r="L63" s="413">
        <f t="shared" si="5"/>
        <v>278000</v>
      </c>
      <c r="M63" s="412"/>
    </row>
    <row r="64" spans="1:13" ht="26.1" customHeight="1" thickTop="1" thickBot="1">
      <c r="A64" s="397">
        <v>46966</v>
      </c>
      <c r="B64" s="398">
        <v>26000</v>
      </c>
      <c r="C64" s="398">
        <f t="shared" si="13"/>
        <v>252000</v>
      </c>
      <c r="D64" s="399"/>
      <c r="E64" s="399"/>
      <c r="F64" s="401"/>
      <c r="G64" s="401"/>
      <c r="H64" s="403"/>
      <c r="I64" s="403"/>
      <c r="J64" s="243"/>
      <c r="K64" s="243"/>
      <c r="L64" s="413">
        <f t="shared" si="5"/>
        <v>278000</v>
      </c>
      <c r="M64" s="412"/>
    </row>
    <row r="65" spans="1:13" ht="26.1" customHeight="1" thickTop="1" thickBot="1">
      <c r="A65" s="397">
        <v>46997</v>
      </c>
      <c r="B65" s="398">
        <v>26000</v>
      </c>
      <c r="C65" s="398">
        <f t="shared" si="13"/>
        <v>252000</v>
      </c>
      <c r="D65" s="399"/>
      <c r="E65" s="399"/>
      <c r="F65" s="401"/>
      <c r="G65" s="401"/>
      <c r="H65" s="403"/>
      <c r="I65" s="403"/>
      <c r="J65" s="243"/>
      <c r="K65" s="243"/>
      <c r="L65" s="413">
        <f t="shared" si="5"/>
        <v>278000</v>
      </c>
      <c r="M65" s="412"/>
    </row>
    <row r="66" spans="1:13" ht="26.1" customHeight="1" thickTop="1" thickBot="1">
      <c r="A66" s="397">
        <v>47027</v>
      </c>
      <c r="B66" s="398">
        <v>26000</v>
      </c>
      <c r="C66" s="398">
        <f t="shared" si="13"/>
        <v>252000</v>
      </c>
      <c r="D66" s="399"/>
      <c r="E66" s="399"/>
      <c r="F66" s="401"/>
      <c r="G66" s="401"/>
      <c r="H66" s="403"/>
      <c r="I66" s="403"/>
      <c r="J66" s="243"/>
      <c r="K66" s="243"/>
      <c r="L66" s="413">
        <f t="shared" si="5"/>
        <v>278000</v>
      </c>
      <c r="M66" s="412"/>
    </row>
    <row r="67" spans="1:13" ht="26.1" customHeight="1" thickTop="1" thickBot="1">
      <c r="A67" s="397">
        <v>47058</v>
      </c>
      <c r="B67" s="398">
        <v>26000</v>
      </c>
      <c r="C67" s="398">
        <f t="shared" si="13"/>
        <v>252000</v>
      </c>
      <c r="D67" s="399"/>
      <c r="E67" s="399"/>
      <c r="F67" s="401"/>
      <c r="G67" s="401"/>
      <c r="H67" s="403"/>
      <c r="I67" s="403"/>
      <c r="J67" s="243"/>
      <c r="K67" s="243"/>
      <c r="L67" s="413">
        <f t="shared" si="5"/>
        <v>278000</v>
      </c>
      <c r="M67" s="412"/>
    </row>
    <row r="68" spans="1:13" ht="26.1" customHeight="1" thickTop="1" thickBot="1">
      <c r="A68" s="397">
        <v>47088</v>
      </c>
      <c r="B68" s="398">
        <v>26000</v>
      </c>
      <c r="C68" s="398">
        <f t="shared" si="13"/>
        <v>252000</v>
      </c>
      <c r="D68" s="399"/>
      <c r="E68" s="399"/>
      <c r="F68" s="401"/>
      <c r="G68" s="401"/>
      <c r="H68" s="403"/>
      <c r="I68" s="403"/>
      <c r="J68" s="243"/>
      <c r="K68" s="243"/>
      <c r="L68" s="413">
        <f t="shared" si="5"/>
        <v>278000</v>
      </c>
      <c r="M68" s="412"/>
    </row>
    <row r="69" spans="1:13" ht="26.1" customHeight="1" thickTop="1" thickBot="1">
      <c r="A69" s="397">
        <v>47119</v>
      </c>
      <c r="B69" s="398">
        <v>26000</v>
      </c>
      <c r="C69" s="398">
        <f t="shared" si="13"/>
        <v>252000</v>
      </c>
      <c r="D69" s="399"/>
      <c r="E69" s="399"/>
      <c r="F69" s="401"/>
      <c r="G69" s="401"/>
      <c r="H69" s="403"/>
      <c r="I69" s="403"/>
      <c r="J69" s="243"/>
      <c r="K69" s="243"/>
      <c r="L69" s="413">
        <f t="shared" si="5"/>
        <v>278000</v>
      </c>
      <c r="M69" s="412"/>
    </row>
    <row r="70" spans="1:13" ht="26.1" customHeight="1" thickTop="1" thickBot="1">
      <c r="A70" s="397">
        <v>47150</v>
      </c>
      <c r="B70" s="398">
        <v>26000</v>
      </c>
      <c r="C70" s="398">
        <f t="shared" si="13"/>
        <v>252000</v>
      </c>
      <c r="D70" s="399"/>
      <c r="E70" s="399"/>
      <c r="F70" s="401"/>
      <c r="G70" s="401"/>
      <c r="H70" s="403"/>
      <c r="I70" s="403"/>
      <c r="J70" s="243"/>
      <c r="K70" s="243"/>
      <c r="L70" s="413">
        <f t="shared" si="5"/>
        <v>278000</v>
      </c>
      <c r="M70" s="412"/>
    </row>
    <row r="71" spans="1:13" ht="26.1" customHeight="1" thickTop="1" thickBot="1">
      <c r="A71" s="397">
        <v>47178</v>
      </c>
      <c r="B71" s="398">
        <v>26000</v>
      </c>
      <c r="C71" s="398">
        <f t="shared" si="13"/>
        <v>252000</v>
      </c>
      <c r="D71" s="399"/>
      <c r="E71" s="399"/>
      <c r="F71" s="401"/>
      <c r="G71" s="401"/>
      <c r="H71" s="403"/>
      <c r="I71" s="403"/>
      <c r="J71" s="243"/>
      <c r="K71" s="243"/>
      <c r="L71" s="413">
        <f t="shared" si="5"/>
        <v>278000</v>
      </c>
      <c r="M71" s="412"/>
    </row>
    <row r="72" spans="1:13" ht="26.1" customHeight="1" thickTop="1" thickBot="1">
      <c r="A72" s="397">
        <v>47209</v>
      </c>
      <c r="B72" s="398">
        <v>26000</v>
      </c>
      <c r="C72" s="398">
        <f t="shared" si="13"/>
        <v>252000</v>
      </c>
      <c r="D72" s="399"/>
      <c r="E72" s="399"/>
      <c r="F72" s="401"/>
      <c r="G72" s="401"/>
      <c r="H72" s="403"/>
      <c r="I72" s="403"/>
      <c r="J72" s="243"/>
      <c r="K72" s="243"/>
      <c r="L72" s="413">
        <f t="shared" si="5"/>
        <v>278000</v>
      </c>
      <c r="M72" s="412"/>
    </row>
    <row r="73" spans="1:13" ht="26.1" customHeight="1" thickTop="1" thickBot="1">
      <c r="A73" s="397">
        <v>47239</v>
      </c>
      <c r="B73" s="398">
        <v>26000</v>
      </c>
      <c r="C73" s="398">
        <f t="shared" si="13"/>
        <v>252000</v>
      </c>
      <c r="D73" s="399"/>
      <c r="E73" s="399"/>
      <c r="F73" s="401"/>
      <c r="G73" s="401"/>
      <c r="H73" s="403"/>
      <c r="I73" s="403"/>
      <c r="J73" s="243"/>
      <c r="K73" s="243"/>
      <c r="L73" s="413">
        <f t="shared" si="5"/>
        <v>278000</v>
      </c>
      <c r="M73" s="412"/>
    </row>
    <row r="74" spans="1:13" ht="26.1" customHeight="1" thickTop="1" thickBot="1">
      <c r="A74" s="397">
        <v>47270</v>
      </c>
      <c r="B74" s="398">
        <v>26000</v>
      </c>
      <c r="C74" s="398">
        <f t="shared" si="13"/>
        <v>252000</v>
      </c>
      <c r="D74" s="399"/>
      <c r="E74" s="399"/>
      <c r="F74" s="401"/>
      <c r="G74" s="401"/>
      <c r="H74" s="403"/>
      <c r="I74" s="403"/>
      <c r="J74" s="243"/>
      <c r="K74" s="243"/>
      <c r="L74" s="413">
        <f t="shared" si="5"/>
        <v>278000</v>
      </c>
      <c r="M74" s="412"/>
    </row>
    <row r="75" spans="1:13" ht="26.1" customHeight="1" thickTop="1" thickBot="1">
      <c r="A75" s="397">
        <v>47300</v>
      </c>
      <c r="B75" s="398">
        <v>26000</v>
      </c>
      <c r="C75" s="398">
        <f t="shared" si="13"/>
        <v>252000</v>
      </c>
      <c r="D75" s="399"/>
      <c r="E75" s="399"/>
      <c r="F75" s="401"/>
      <c r="G75" s="401"/>
      <c r="H75" s="403"/>
      <c r="I75" s="403"/>
      <c r="J75" s="243"/>
      <c r="K75" s="243"/>
      <c r="L75" s="413">
        <f t="shared" si="5"/>
        <v>278000</v>
      </c>
      <c r="M75" s="412"/>
    </row>
    <row r="76" spans="1:13" ht="26.1" customHeight="1" thickTop="1" thickBot="1">
      <c r="A76" s="397">
        <v>47331</v>
      </c>
      <c r="B76" s="398">
        <v>26000</v>
      </c>
      <c r="C76" s="398">
        <v>192000</v>
      </c>
      <c r="D76" s="399"/>
      <c r="E76" s="399"/>
      <c r="F76" s="401"/>
      <c r="G76" s="401"/>
      <c r="H76" s="403"/>
      <c r="I76" s="403"/>
      <c r="J76" s="243"/>
      <c r="K76" s="243"/>
      <c r="L76" s="413">
        <f t="shared" si="5"/>
        <v>218000</v>
      </c>
      <c r="M76" s="412"/>
    </row>
    <row r="77" spans="1:13" ht="26.1" customHeight="1" thickTop="1" thickBot="1">
      <c r="A77" s="397">
        <v>47362</v>
      </c>
      <c r="B77" s="398">
        <v>26000</v>
      </c>
      <c r="C77" s="398">
        <v>192000</v>
      </c>
      <c r="D77" s="399"/>
      <c r="E77" s="399"/>
      <c r="F77" s="401"/>
      <c r="G77" s="401"/>
      <c r="H77" s="403"/>
      <c r="I77" s="403"/>
      <c r="J77" s="243"/>
      <c r="K77" s="243"/>
      <c r="L77" s="413">
        <f t="shared" ref="L77:L94" si="17">SUM(B77,C77,D77,F77,H77,J77)</f>
        <v>218000</v>
      </c>
      <c r="M77" s="412"/>
    </row>
    <row r="78" spans="1:13" ht="26.1" customHeight="1" thickTop="1" thickBot="1">
      <c r="A78" s="397">
        <v>47392</v>
      </c>
      <c r="B78" s="398">
        <v>26000</v>
      </c>
      <c r="C78" s="398">
        <v>192000</v>
      </c>
      <c r="D78" s="399"/>
      <c r="E78" s="399"/>
      <c r="F78" s="401"/>
      <c r="G78" s="401"/>
      <c r="H78" s="403"/>
      <c r="I78" s="403"/>
      <c r="J78" s="243"/>
      <c r="K78" s="243"/>
      <c r="L78" s="413">
        <f t="shared" si="17"/>
        <v>218000</v>
      </c>
      <c r="M78" s="412"/>
    </row>
    <row r="79" spans="1:13" ht="26.1" customHeight="1" thickTop="1" thickBot="1">
      <c r="A79" s="397">
        <v>47423</v>
      </c>
      <c r="B79" s="398">
        <v>26000</v>
      </c>
      <c r="C79" s="398">
        <v>192000</v>
      </c>
      <c r="D79" s="399"/>
      <c r="E79" s="399"/>
      <c r="F79" s="401"/>
      <c r="G79" s="401"/>
      <c r="H79" s="403"/>
      <c r="I79" s="403"/>
      <c r="J79" s="243"/>
      <c r="K79" s="243"/>
      <c r="L79" s="413">
        <f t="shared" si="17"/>
        <v>218000</v>
      </c>
      <c r="M79" s="412"/>
    </row>
    <row r="80" spans="1:13" ht="26.1" customHeight="1" thickTop="1" thickBot="1">
      <c r="A80" s="397">
        <v>47453</v>
      </c>
      <c r="B80" s="398">
        <v>26000</v>
      </c>
      <c r="C80" s="398">
        <v>192000</v>
      </c>
      <c r="D80" s="399"/>
      <c r="E80" s="399"/>
      <c r="F80" s="401"/>
      <c r="G80" s="401"/>
      <c r="H80" s="403"/>
      <c r="I80" s="403"/>
      <c r="J80" s="243"/>
      <c r="K80" s="243"/>
      <c r="L80" s="413">
        <f t="shared" si="17"/>
        <v>218000</v>
      </c>
      <c r="M80" s="412"/>
    </row>
    <row r="81" spans="1:13" ht="26.1" customHeight="1" thickTop="1" thickBot="1">
      <c r="A81" s="397">
        <v>47484</v>
      </c>
      <c r="B81" s="398">
        <v>26000</v>
      </c>
      <c r="C81" s="398">
        <v>192000</v>
      </c>
      <c r="D81" s="399"/>
      <c r="E81" s="399"/>
      <c r="F81" s="401"/>
      <c r="G81" s="401"/>
      <c r="H81" s="403"/>
      <c r="I81" s="403"/>
      <c r="J81" s="243"/>
      <c r="K81" s="243"/>
      <c r="L81" s="413">
        <f t="shared" si="17"/>
        <v>218000</v>
      </c>
      <c r="M81" s="412"/>
    </row>
    <row r="82" spans="1:13" ht="26.1" customHeight="1" thickTop="1" thickBot="1">
      <c r="A82" s="397">
        <v>47515</v>
      </c>
      <c r="B82" s="398">
        <v>26000</v>
      </c>
      <c r="C82" s="398">
        <v>192000</v>
      </c>
      <c r="D82" s="399"/>
      <c r="E82" s="399"/>
      <c r="F82" s="401"/>
      <c r="G82" s="401"/>
      <c r="H82" s="403"/>
      <c r="I82" s="403"/>
      <c r="J82" s="243"/>
      <c r="K82" s="243"/>
      <c r="L82" s="413">
        <f t="shared" si="17"/>
        <v>218000</v>
      </c>
      <c r="M82" s="412"/>
    </row>
    <row r="83" spans="1:13" ht="26.1" customHeight="1" thickTop="1" thickBot="1">
      <c r="A83" s="397">
        <v>47543</v>
      </c>
      <c r="B83" s="398">
        <v>26000</v>
      </c>
      <c r="C83" s="398">
        <v>192000</v>
      </c>
      <c r="D83" s="399"/>
      <c r="E83" s="399"/>
      <c r="F83" s="401"/>
      <c r="G83" s="401"/>
      <c r="H83" s="403"/>
      <c r="I83" s="403"/>
      <c r="J83" s="243"/>
      <c r="K83" s="243"/>
      <c r="L83" s="413">
        <f t="shared" si="17"/>
        <v>218000</v>
      </c>
      <c r="M83" s="412"/>
    </row>
    <row r="84" spans="1:13" ht="26.1" customHeight="1" thickTop="1" thickBot="1">
      <c r="A84" s="397">
        <v>47574</v>
      </c>
      <c r="B84" s="398">
        <v>26000</v>
      </c>
      <c r="C84" s="398">
        <v>192000</v>
      </c>
      <c r="D84" s="399"/>
      <c r="E84" s="399"/>
      <c r="F84" s="401"/>
      <c r="G84" s="401"/>
      <c r="H84" s="403"/>
      <c r="I84" s="403"/>
      <c r="J84" s="243"/>
      <c r="K84" s="243"/>
      <c r="L84" s="413">
        <f t="shared" si="17"/>
        <v>218000</v>
      </c>
      <c r="M84" s="412"/>
    </row>
    <row r="85" spans="1:13" ht="26.1" customHeight="1" thickTop="1" thickBot="1">
      <c r="A85" s="397">
        <v>47604</v>
      </c>
      <c r="B85" s="398">
        <v>26000</v>
      </c>
      <c r="C85" s="398">
        <v>192000</v>
      </c>
      <c r="D85" s="399"/>
      <c r="E85" s="399"/>
      <c r="F85" s="401"/>
      <c r="G85" s="401"/>
      <c r="H85" s="403"/>
      <c r="I85" s="403"/>
      <c r="J85" s="243"/>
      <c r="K85" s="243"/>
      <c r="L85" s="413">
        <f t="shared" si="17"/>
        <v>218000</v>
      </c>
      <c r="M85" s="412"/>
    </row>
    <row r="86" spans="1:13" ht="26.1" customHeight="1" thickTop="1" thickBot="1">
      <c r="A86" s="397">
        <v>47635</v>
      </c>
      <c r="B86" s="398">
        <v>26000</v>
      </c>
      <c r="C86" s="398">
        <v>192000</v>
      </c>
      <c r="D86" s="399"/>
      <c r="E86" s="399"/>
      <c r="F86" s="401"/>
      <c r="G86" s="401"/>
      <c r="H86" s="403"/>
      <c r="I86" s="403"/>
      <c r="J86" s="243"/>
      <c r="K86" s="243"/>
      <c r="L86" s="413">
        <f t="shared" si="17"/>
        <v>218000</v>
      </c>
      <c r="M86" s="412"/>
    </row>
    <row r="87" spans="1:13" ht="26.1" customHeight="1" thickTop="1" thickBot="1">
      <c r="A87" s="397">
        <v>47665</v>
      </c>
      <c r="B87" s="398">
        <v>26000</v>
      </c>
      <c r="C87" s="398">
        <v>192000</v>
      </c>
      <c r="D87" s="399"/>
      <c r="E87" s="399"/>
      <c r="F87" s="401"/>
      <c r="G87" s="401"/>
      <c r="H87" s="403"/>
      <c r="I87" s="403"/>
      <c r="J87" s="243"/>
      <c r="K87" s="243"/>
      <c r="L87" s="413">
        <f t="shared" si="17"/>
        <v>218000</v>
      </c>
      <c r="M87" s="412"/>
    </row>
    <row r="88" spans="1:13" ht="26.1" customHeight="1" thickTop="1" thickBot="1">
      <c r="A88" s="397">
        <v>47696</v>
      </c>
      <c r="B88" s="398">
        <v>26000</v>
      </c>
      <c r="C88" s="398">
        <v>192000</v>
      </c>
      <c r="D88" s="399"/>
      <c r="E88" s="399"/>
      <c r="F88" s="401"/>
      <c r="G88" s="401"/>
      <c r="H88" s="403"/>
      <c r="I88" s="403"/>
      <c r="J88" s="243"/>
      <c r="K88" s="243"/>
      <c r="L88" s="413">
        <f t="shared" si="17"/>
        <v>218000</v>
      </c>
      <c r="M88" s="412"/>
    </row>
    <row r="89" spans="1:13" ht="26.1" customHeight="1" thickTop="1" thickBot="1">
      <c r="A89" s="397">
        <v>47727</v>
      </c>
      <c r="B89" s="398">
        <v>26000</v>
      </c>
      <c r="C89" s="398">
        <v>192000</v>
      </c>
      <c r="D89" s="399"/>
      <c r="E89" s="399"/>
      <c r="F89" s="401"/>
      <c r="G89" s="401"/>
      <c r="H89" s="403"/>
      <c r="I89" s="403"/>
      <c r="J89" s="243"/>
      <c r="K89" s="243"/>
      <c r="L89" s="413">
        <f t="shared" si="17"/>
        <v>218000</v>
      </c>
      <c r="M89" s="412"/>
    </row>
    <row r="90" spans="1:13" ht="26.1" customHeight="1" thickTop="1" thickBot="1">
      <c r="A90" s="397">
        <v>47757</v>
      </c>
      <c r="B90" s="398">
        <v>26000</v>
      </c>
      <c r="C90" s="398">
        <v>192000</v>
      </c>
      <c r="D90" s="399"/>
      <c r="E90" s="399"/>
      <c r="F90" s="401"/>
      <c r="G90" s="401"/>
      <c r="H90" s="403"/>
      <c r="I90" s="403"/>
      <c r="J90" s="243"/>
      <c r="K90" s="243"/>
      <c r="L90" s="413">
        <f t="shared" si="17"/>
        <v>218000</v>
      </c>
      <c r="M90" s="412"/>
    </row>
    <row r="91" spans="1:13" ht="26.1" customHeight="1" thickTop="1" thickBot="1">
      <c r="A91" s="397">
        <v>47788</v>
      </c>
      <c r="B91" s="398">
        <v>26000</v>
      </c>
      <c r="C91" s="398">
        <v>192000</v>
      </c>
      <c r="D91" s="399"/>
      <c r="E91" s="399"/>
      <c r="F91" s="401"/>
      <c r="G91" s="401"/>
      <c r="H91" s="403"/>
      <c r="I91" s="403"/>
      <c r="J91" s="243"/>
      <c r="K91" s="243"/>
      <c r="L91" s="413">
        <f t="shared" si="17"/>
        <v>218000</v>
      </c>
      <c r="M91" s="412"/>
    </row>
    <row r="92" spans="1:13" ht="26.1" customHeight="1" thickTop="1" thickBot="1">
      <c r="A92" s="397">
        <v>47818</v>
      </c>
      <c r="B92" s="398">
        <v>26000</v>
      </c>
      <c r="C92" s="398">
        <v>192000</v>
      </c>
      <c r="D92" s="399"/>
      <c r="E92" s="399"/>
      <c r="F92" s="401"/>
      <c r="G92" s="401"/>
      <c r="H92" s="403"/>
      <c r="I92" s="403"/>
      <c r="J92" s="243"/>
      <c r="K92" s="243"/>
      <c r="L92" s="413">
        <f t="shared" si="17"/>
        <v>218000</v>
      </c>
      <c r="M92" s="412"/>
    </row>
    <row r="93" spans="1:13" ht="26.1" customHeight="1" thickTop="1" thickBot="1">
      <c r="A93" s="397">
        <v>47849</v>
      </c>
      <c r="B93" s="398">
        <v>26000</v>
      </c>
      <c r="C93" s="398">
        <v>192000</v>
      </c>
      <c r="D93" s="399"/>
      <c r="E93" s="399"/>
      <c r="F93" s="401"/>
      <c r="G93" s="401"/>
      <c r="H93" s="403"/>
      <c r="I93" s="403"/>
      <c r="J93" s="243"/>
      <c r="K93" s="243"/>
      <c r="L93" s="413">
        <f t="shared" si="17"/>
        <v>218000</v>
      </c>
      <c r="M93" s="412"/>
    </row>
    <row r="94" spans="1:13" ht="26.1" customHeight="1" thickTop="1" thickBot="1">
      <c r="A94" s="397">
        <v>47880</v>
      </c>
      <c r="B94" s="398">
        <v>26000</v>
      </c>
      <c r="C94" s="398">
        <v>192000</v>
      </c>
      <c r="D94" s="399"/>
      <c r="E94" s="399"/>
      <c r="F94" s="401"/>
      <c r="G94" s="401"/>
      <c r="H94" s="403"/>
      <c r="I94" s="403"/>
      <c r="J94" s="243"/>
      <c r="K94" s="243"/>
      <c r="L94" s="413">
        <f t="shared" si="17"/>
        <v>218000</v>
      </c>
      <c r="M94" s="412"/>
    </row>
    <row r="95" spans="1:13" ht="26.1" customHeight="1" thickTop="1"/>
  </sheetData>
  <mergeCells count="6">
    <mergeCell ref="D11:E11"/>
    <mergeCell ref="F11:G11"/>
    <mergeCell ref="H11:I11"/>
    <mergeCell ref="J11:K11"/>
    <mergeCell ref="A1:E1"/>
    <mergeCell ref="A9:B9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5784-B473-254D-B229-EBF9624A241C}">
  <dimension ref="A1:I61"/>
  <sheetViews>
    <sheetView topLeftCell="A25" zoomScale="70" zoomScaleNormal="70" workbookViewId="0">
      <selection activeCell="G41" sqref="G41"/>
    </sheetView>
  </sheetViews>
  <sheetFormatPr defaultColWidth="14.36328125" defaultRowHeight="22.8"/>
  <cols>
    <col min="1" max="1" width="7.36328125" style="424" customWidth="1"/>
    <col min="2" max="2" width="9.453125" style="455" customWidth="1"/>
    <col min="3" max="3" width="16" style="424" customWidth="1"/>
    <col min="4" max="4" width="15.7265625" style="424" customWidth="1"/>
    <col min="5" max="5" width="15.6328125" style="424" customWidth="1"/>
    <col min="6" max="6" width="19.08984375" style="456" customWidth="1"/>
    <col min="7" max="7" width="16.36328125" style="424" customWidth="1"/>
    <col min="8" max="8" width="14.36328125" style="424" customWidth="1"/>
    <col min="9" max="9" width="38.54296875" style="424" customWidth="1"/>
    <col min="10" max="16384" width="14.36328125" style="424"/>
  </cols>
  <sheetData>
    <row r="1" spans="1:9" ht="47.1" customHeight="1" thickTop="1" thickBot="1">
      <c r="A1" s="809" t="s">
        <v>505</v>
      </c>
      <c r="B1" s="810"/>
      <c r="C1" s="810"/>
      <c r="D1" s="810"/>
      <c r="E1" s="810"/>
      <c r="F1" s="810"/>
      <c r="G1" s="803" t="s">
        <v>762</v>
      </c>
      <c r="H1" s="803"/>
      <c r="I1" s="801">
        <f>SUM(G4:G36)</f>
        <v>1700000</v>
      </c>
    </row>
    <row r="2" spans="1:9" ht="33" customHeight="1" thickTop="1" thickBot="1">
      <c r="A2" s="811" t="s">
        <v>682</v>
      </c>
      <c r="B2" s="425" t="s">
        <v>461</v>
      </c>
      <c r="C2" s="426" t="s">
        <v>266</v>
      </c>
      <c r="D2" s="426" t="s">
        <v>462</v>
      </c>
      <c r="E2" s="426" t="s">
        <v>448</v>
      </c>
      <c r="F2" s="427" t="s">
        <v>692</v>
      </c>
      <c r="G2" s="804"/>
      <c r="H2" s="804"/>
      <c r="I2" s="802"/>
    </row>
    <row r="3" spans="1:9" ht="33" customHeight="1" thickTop="1" thickBot="1">
      <c r="A3" s="811"/>
      <c r="B3" s="428" t="s">
        <v>247</v>
      </c>
      <c r="C3" s="429">
        <f>SUM(C4:C36)</f>
        <v>32032600</v>
      </c>
      <c r="D3" s="430">
        <f>SUM(D4:D36)</f>
        <v>26440000</v>
      </c>
      <c r="E3" s="431">
        <f>C3-D3</f>
        <v>5592600</v>
      </c>
      <c r="F3" s="432"/>
      <c r="G3" s="433" t="s">
        <v>691</v>
      </c>
      <c r="H3" s="805" t="s">
        <v>511</v>
      </c>
      <c r="I3" s="806"/>
    </row>
    <row r="4" spans="1:9" ht="30" customHeight="1" thickTop="1" thickBot="1">
      <c r="A4" s="797">
        <v>2023</v>
      </c>
      <c r="B4" s="434"/>
      <c r="C4" s="435">
        <v>2400000</v>
      </c>
      <c r="D4" s="435">
        <v>2400000</v>
      </c>
      <c r="E4" s="435">
        <v>0</v>
      </c>
      <c r="F4" s="436"/>
      <c r="G4" s="437">
        <v>0</v>
      </c>
      <c r="H4" s="438"/>
      <c r="I4" s="439"/>
    </row>
    <row r="5" spans="1:9" ht="30" customHeight="1" thickTop="1" thickBot="1">
      <c r="A5" s="797"/>
      <c r="B5" s="434">
        <v>45077</v>
      </c>
      <c r="C5" s="435">
        <v>0</v>
      </c>
      <c r="D5" s="440"/>
      <c r="E5" s="435">
        <v>0</v>
      </c>
      <c r="F5" s="436" t="s">
        <v>764</v>
      </c>
      <c r="G5" s="437">
        <v>0</v>
      </c>
      <c r="H5" s="438"/>
      <c r="I5" s="439"/>
    </row>
    <row r="6" spans="1:9" ht="30" customHeight="1" thickTop="1" thickBot="1">
      <c r="A6" s="797"/>
      <c r="B6" s="434">
        <v>45107</v>
      </c>
      <c r="C6" s="435">
        <v>1733464</v>
      </c>
      <c r="D6" s="440"/>
      <c r="E6" s="441">
        <f>C6-D6+E5</f>
        <v>1733464</v>
      </c>
      <c r="F6" s="436" t="s">
        <v>764</v>
      </c>
      <c r="G6" s="437">
        <v>0</v>
      </c>
      <c r="H6" s="438"/>
      <c r="I6" s="439"/>
    </row>
    <row r="7" spans="1:9" ht="30" customHeight="1" thickTop="1" thickBot="1">
      <c r="A7" s="797"/>
      <c r="B7" s="434">
        <v>45138</v>
      </c>
      <c r="C7" s="435">
        <v>1060919</v>
      </c>
      <c r="D7" s="440"/>
      <c r="E7" s="441">
        <f t="shared" ref="E7:E22" si="0">C7-D7+E6</f>
        <v>2794383</v>
      </c>
      <c r="F7" s="436" t="s">
        <v>764</v>
      </c>
      <c r="G7" s="437">
        <v>0</v>
      </c>
      <c r="H7" s="438"/>
      <c r="I7" s="439"/>
    </row>
    <row r="8" spans="1:9" ht="30" customHeight="1" thickTop="1" thickBot="1">
      <c r="A8" s="797"/>
      <c r="B8" s="434">
        <v>45169</v>
      </c>
      <c r="C8" s="435">
        <v>661449</v>
      </c>
      <c r="D8" s="440"/>
      <c r="E8" s="441">
        <f t="shared" si="0"/>
        <v>3455832</v>
      </c>
      <c r="F8" s="436" t="s">
        <v>764</v>
      </c>
      <c r="G8" s="437">
        <v>0</v>
      </c>
      <c r="H8" s="438"/>
      <c r="I8" s="439"/>
    </row>
    <row r="9" spans="1:9" ht="30" customHeight="1" thickTop="1" thickBot="1">
      <c r="A9" s="797"/>
      <c r="B9" s="434">
        <v>45199</v>
      </c>
      <c r="C9" s="435">
        <v>1600810</v>
      </c>
      <c r="D9" s="435">
        <v>800000</v>
      </c>
      <c r="E9" s="441">
        <f t="shared" si="0"/>
        <v>4256642</v>
      </c>
      <c r="F9" s="436">
        <v>45199</v>
      </c>
      <c r="G9" s="437">
        <v>0</v>
      </c>
      <c r="H9" s="438"/>
      <c r="I9" s="439"/>
    </row>
    <row r="10" spans="1:9" ht="30" customHeight="1" thickTop="1" thickBot="1">
      <c r="A10" s="797"/>
      <c r="B10" s="434">
        <v>45230</v>
      </c>
      <c r="C10" s="435">
        <v>684141</v>
      </c>
      <c r="D10" s="435">
        <v>2200000</v>
      </c>
      <c r="E10" s="441">
        <f t="shared" si="0"/>
        <v>2740783</v>
      </c>
      <c r="F10" s="436">
        <v>45230</v>
      </c>
      <c r="G10" s="437">
        <v>0</v>
      </c>
      <c r="H10" s="438"/>
      <c r="I10" s="439"/>
    </row>
    <row r="11" spans="1:9" ht="30" customHeight="1" thickTop="1" thickBot="1">
      <c r="A11" s="797"/>
      <c r="B11" s="434">
        <v>45260</v>
      </c>
      <c r="C11" s="435">
        <v>13137</v>
      </c>
      <c r="D11" s="440"/>
      <c r="E11" s="441">
        <f t="shared" si="0"/>
        <v>2753920</v>
      </c>
      <c r="F11" s="436" t="s">
        <v>764</v>
      </c>
      <c r="G11" s="437">
        <v>0</v>
      </c>
      <c r="H11" s="438"/>
      <c r="I11" s="439"/>
    </row>
    <row r="12" spans="1:9" ht="30" customHeight="1" thickTop="1" thickBot="1">
      <c r="A12" s="797"/>
      <c r="B12" s="434">
        <v>45291</v>
      </c>
      <c r="C12" s="435">
        <v>900011</v>
      </c>
      <c r="D12" s="440"/>
      <c r="E12" s="441">
        <f>C12-D12+E11</f>
        <v>3653931</v>
      </c>
      <c r="F12" s="436" t="s">
        <v>764</v>
      </c>
      <c r="G12" s="437">
        <v>0</v>
      </c>
      <c r="H12" s="438"/>
      <c r="I12" s="439"/>
    </row>
    <row r="13" spans="1:9" ht="30" customHeight="1" thickTop="1" thickBot="1">
      <c r="A13" s="807">
        <v>2024</v>
      </c>
      <c r="B13" s="434">
        <v>45322</v>
      </c>
      <c r="C13" s="442">
        <v>-413999</v>
      </c>
      <c r="D13" s="441">
        <v>1600000</v>
      </c>
      <c r="E13" s="441">
        <f>C13-D13+E12</f>
        <v>1639932</v>
      </c>
      <c r="F13" s="443">
        <v>45322</v>
      </c>
      <c r="G13" s="437">
        <v>0</v>
      </c>
      <c r="H13" s="438"/>
      <c r="I13" s="439"/>
    </row>
    <row r="14" spans="1:9" ht="30" customHeight="1" thickTop="1" thickBot="1">
      <c r="A14" s="807"/>
      <c r="B14" s="434">
        <v>45351</v>
      </c>
      <c r="C14" s="442">
        <v>1643754</v>
      </c>
      <c r="D14" s="441">
        <v>1200000</v>
      </c>
      <c r="E14" s="441">
        <f t="shared" si="0"/>
        <v>2083686</v>
      </c>
      <c r="F14" s="443">
        <v>45351</v>
      </c>
      <c r="G14" s="437">
        <v>0</v>
      </c>
      <c r="H14" s="438"/>
      <c r="I14" s="439"/>
    </row>
    <row r="15" spans="1:9" ht="30" customHeight="1" thickTop="1" thickBot="1">
      <c r="A15" s="807"/>
      <c r="B15" s="434">
        <v>45382</v>
      </c>
      <c r="C15" s="442">
        <f>'2024_3'!J9</f>
        <v>1268248</v>
      </c>
      <c r="D15" s="440"/>
      <c r="E15" s="441">
        <f t="shared" si="0"/>
        <v>3351934</v>
      </c>
      <c r="F15" s="436" t="s">
        <v>764</v>
      </c>
      <c r="G15" s="437">
        <v>0</v>
      </c>
      <c r="H15" s="438"/>
      <c r="I15" s="439"/>
    </row>
    <row r="16" spans="1:9" ht="30" customHeight="1" thickTop="1" thickBot="1">
      <c r="A16" s="807"/>
      <c r="B16" s="434">
        <v>45412</v>
      </c>
      <c r="C16" s="442">
        <f>'2024_4'!J9</f>
        <v>1200734</v>
      </c>
      <c r="D16" s="441">
        <v>1000000</v>
      </c>
      <c r="E16" s="441">
        <f t="shared" si="0"/>
        <v>3552668</v>
      </c>
      <c r="F16" s="443">
        <v>45412</v>
      </c>
      <c r="G16" s="437">
        <v>0</v>
      </c>
      <c r="H16" s="438"/>
      <c r="I16" s="439"/>
    </row>
    <row r="17" spans="1:9" ht="30" customHeight="1" thickTop="1" thickBot="1">
      <c r="A17" s="807"/>
      <c r="B17" s="434">
        <v>45443</v>
      </c>
      <c r="C17" s="442">
        <f>'2024_5'!J9</f>
        <v>1179740</v>
      </c>
      <c r="D17" s="444"/>
      <c r="E17" s="441">
        <f t="shared" si="0"/>
        <v>4732408</v>
      </c>
      <c r="F17" s="436" t="s">
        <v>764</v>
      </c>
      <c r="G17" s="437">
        <v>0</v>
      </c>
      <c r="H17" s="438"/>
      <c r="I17" s="439"/>
    </row>
    <row r="18" spans="1:9" ht="30.75" customHeight="1" thickTop="1" thickBot="1">
      <c r="A18" s="807"/>
      <c r="B18" s="434">
        <v>45473</v>
      </c>
      <c r="C18" s="442">
        <f>'2024_6'!J9</f>
        <v>690535</v>
      </c>
      <c r="D18" s="444"/>
      <c r="E18" s="441">
        <f t="shared" si="0"/>
        <v>5422943</v>
      </c>
      <c r="F18" s="436" t="s">
        <v>764</v>
      </c>
      <c r="G18" s="437">
        <v>0</v>
      </c>
      <c r="H18" s="438"/>
      <c r="I18" s="439"/>
    </row>
    <row r="19" spans="1:9" ht="30.75" customHeight="1" thickTop="1" thickBot="1">
      <c r="A19" s="807"/>
      <c r="B19" s="434">
        <v>45504</v>
      </c>
      <c r="C19" s="442">
        <f>'2024_7'!J9</f>
        <v>1430568</v>
      </c>
      <c r="D19" s="442">
        <v>2000000</v>
      </c>
      <c r="E19" s="441">
        <f t="shared" si="0"/>
        <v>4853511</v>
      </c>
      <c r="F19" s="443">
        <v>45504</v>
      </c>
      <c r="G19" s="437">
        <v>0</v>
      </c>
      <c r="H19" s="438"/>
      <c r="I19" s="439"/>
    </row>
    <row r="20" spans="1:9" ht="30.75" customHeight="1" thickTop="1" thickBot="1">
      <c r="A20" s="807"/>
      <c r="B20" s="434">
        <v>45535</v>
      </c>
      <c r="C20" s="442">
        <v>953024</v>
      </c>
      <c r="D20" s="440"/>
      <c r="E20" s="441">
        <f t="shared" si="0"/>
        <v>5806535</v>
      </c>
      <c r="F20" s="436" t="s">
        <v>764</v>
      </c>
      <c r="G20" s="437">
        <v>0</v>
      </c>
      <c r="H20" s="438"/>
      <c r="I20" s="439"/>
    </row>
    <row r="21" spans="1:9" ht="30.75" customHeight="1" thickTop="1" thickBot="1">
      <c r="A21" s="807"/>
      <c r="B21" s="434">
        <v>45565</v>
      </c>
      <c r="C21" s="442">
        <f>'2024_9'!J9</f>
        <v>809212</v>
      </c>
      <c r="D21" s="442">
        <v>1000000</v>
      </c>
      <c r="E21" s="441">
        <f t="shared" si="0"/>
        <v>5615747</v>
      </c>
      <c r="F21" s="436">
        <v>45565</v>
      </c>
      <c r="G21" s="437">
        <v>0</v>
      </c>
      <c r="H21" s="437">
        <v>100000</v>
      </c>
      <c r="I21" s="439"/>
    </row>
    <row r="22" spans="1:9" ht="31.5" customHeight="1" thickTop="1" thickBot="1">
      <c r="A22" s="807"/>
      <c r="B22" s="434">
        <v>45596</v>
      </c>
      <c r="C22" s="442">
        <f>'2024_10'!J9</f>
        <v>1121161</v>
      </c>
      <c r="D22" s="440"/>
      <c r="E22" s="441">
        <f t="shared" si="0"/>
        <v>6736908</v>
      </c>
      <c r="F22" s="436" t="s">
        <v>764</v>
      </c>
      <c r="G22" s="437">
        <v>0</v>
      </c>
      <c r="H22" s="437">
        <v>100000</v>
      </c>
      <c r="I22" s="439"/>
    </row>
    <row r="23" spans="1:9" ht="31.5" customHeight="1" thickTop="1" thickBot="1">
      <c r="A23" s="807"/>
      <c r="B23" s="434">
        <v>45626</v>
      </c>
      <c r="C23" s="442">
        <f>'2024_11'!J9</f>
        <v>856456</v>
      </c>
      <c r="D23" s="440"/>
      <c r="E23" s="441">
        <f>C23-D23+E22</f>
        <v>7593364</v>
      </c>
      <c r="F23" s="436" t="s">
        <v>764</v>
      </c>
      <c r="G23" s="437">
        <v>0</v>
      </c>
      <c r="H23" s="437">
        <v>100000</v>
      </c>
      <c r="I23" s="439"/>
    </row>
    <row r="24" spans="1:9" ht="31.5" customHeight="1" thickTop="1" thickBot="1">
      <c r="A24" s="807"/>
      <c r="B24" s="434">
        <v>45657</v>
      </c>
      <c r="C24" s="442">
        <f>'2024_12'!J9</f>
        <v>973900</v>
      </c>
      <c r="D24" s="441">
        <v>2140000</v>
      </c>
      <c r="E24" s="441">
        <f>C24-D24+E23</f>
        <v>6427264</v>
      </c>
      <c r="F24" s="443">
        <v>45651</v>
      </c>
      <c r="G24" s="437">
        <v>0</v>
      </c>
      <c r="H24" s="437">
        <v>100000</v>
      </c>
      <c r="I24" s="439"/>
    </row>
    <row r="25" spans="1:9" ht="31.5" customHeight="1" thickTop="1" thickBot="1">
      <c r="A25" s="808">
        <v>2025</v>
      </c>
      <c r="B25" s="434">
        <v>45688</v>
      </c>
      <c r="C25" s="442">
        <f>'2025_1'!J9</f>
        <v>1296068</v>
      </c>
      <c r="D25" s="441">
        <v>1000000</v>
      </c>
      <c r="E25" s="441">
        <f>C25-D25+E24</f>
        <v>6723332</v>
      </c>
      <c r="F25" s="443">
        <v>45682</v>
      </c>
      <c r="G25" s="437">
        <v>0</v>
      </c>
      <c r="H25" s="437">
        <v>100000</v>
      </c>
      <c r="I25" s="439"/>
    </row>
    <row r="26" spans="1:9" ht="31.5" customHeight="1" thickTop="1" thickBot="1">
      <c r="A26" s="808"/>
      <c r="B26" s="434">
        <v>45716</v>
      </c>
      <c r="C26" s="442">
        <f>'2025_2'!J9</f>
        <v>1510431</v>
      </c>
      <c r="D26" s="441">
        <v>1000000</v>
      </c>
      <c r="E26" s="441">
        <f>C26-D26+E25</f>
        <v>7233763</v>
      </c>
      <c r="F26" s="443">
        <v>45708</v>
      </c>
      <c r="G26" s="437">
        <v>500000</v>
      </c>
      <c r="H26" s="437">
        <v>100000</v>
      </c>
      <c r="I26" s="439"/>
    </row>
    <row r="27" spans="1:9" ht="31.5" customHeight="1" thickTop="1" thickBot="1">
      <c r="A27" s="808"/>
      <c r="B27" s="434">
        <v>45747</v>
      </c>
      <c r="C27" s="442">
        <f>'2025_3'!J9</f>
        <v>145447</v>
      </c>
      <c r="D27" s="441">
        <v>600000</v>
      </c>
      <c r="E27" s="441">
        <f>C27-D27+E26</f>
        <v>6779210</v>
      </c>
      <c r="F27" s="443">
        <v>45725</v>
      </c>
      <c r="G27" s="437">
        <v>0</v>
      </c>
      <c r="H27" s="437">
        <v>100000</v>
      </c>
      <c r="I27" s="439"/>
    </row>
    <row r="28" spans="1:9" ht="31.5" customHeight="1" thickTop="1" thickBot="1">
      <c r="A28" s="808"/>
      <c r="B28" s="434">
        <v>45777</v>
      </c>
      <c r="C28" s="442">
        <f>'2025_4'!J9</f>
        <v>954902</v>
      </c>
      <c r="D28" s="441">
        <v>1000000</v>
      </c>
      <c r="E28" s="441">
        <f t="shared" ref="E28:E41" si="1">C28-D28+E27</f>
        <v>6734112</v>
      </c>
      <c r="F28" s="443">
        <v>45760</v>
      </c>
      <c r="G28" s="437">
        <v>0</v>
      </c>
      <c r="H28" s="437">
        <v>100000</v>
      </c>
      <c r="I28" s="439"/>
    </row>
    <row r="29" spans="1:9" ht="32.25" customHeight="1" thickTop="1" thickBot="1">
      <c r="A29" s="808"/>
      <c r="B29" s="434">
        <v>45808</v>
      </c>
      <c r="C29" s="442">
        <f>'2025_5'!R9</f>
        <v>2003125</v>
      </c>
      <c r="D29" s="441">
        <v>1000000</v>
      </c>
      <c r="E29" s="441">
        <f t="shared" si="1"/>
        <v>7737237</v>
      </c>
      <c r="F29" s="443">
        <v>45788</v>
      </c>
      <c r="G29" s="437">
        <v>0</v>
      </c>
      <c r="H29" s="437">
        <v>100000</v>
      </c>
      <c r="I29" s="439"/>
    </row>
    <row r="30" spans="1:9" ht="32.25" customHeight="1" thickTop="1" thickBot="1">
      <c r="A30" s="808"/>
      <c r="B30" s="434">
        <v>45838</v>
      </c>
      <c r="C30" s="442">
        <f>'2025_6'!R9-G31</f>
        <v>1038376</v>
      </c>
      <c r="D30" s="441">
        <v>1000000</v>
      </c>
      <c r="E30" s="441">
        <f>C30-D30+E29</f>
        <v>7775613</v>
      </c>
      <c r="F30" s="443">
        <v>45823</v>
      </c>
      <c r="G30" s="437">
        <v>0</v>
      </c>
      <c r="H30" s="437">
        <v>100000</v>
      </c>
      <c r="I30" s="439"/>
    </row>
    <row r="31" spans="1:9" ht="32.25" customHeight="1" thickTop="1" thickBot="1">
      <c r="A31" s="808"/>
      <c r="B31" s="434">
        <v>45869</v>
      </c>
      <c r="C31" s="442">
        <f>'2025_7'!R9</f>
        <v>646795</v>
      </c>
      <c r="D31" s="441">
        <v>1000000</v>
      </c>
      <c r="E31" s="441">
        <f>C31-D31+E30</f>
        <v>7422408</v>
      </c>
      <c r="F31" s="443">
        <v>45851</v>
      </c>
      <c r="G31" s="445">
        <v>200000</v>
      </c>
      <c r="H31" s="437">
        <v>100000</v>
      </c>
      <c r="I31" s="439"/>
    </row>
    <row r="32" spans="1:9" ht="32.25" customHeight="1" thickTop="1" thickBot="1">
      <c r="A32" s="808"/>
      <c r="B32" s="434">
        <v>45900</v>
      </c>
      <c r="C32" s="442">
        <f>'2025_8'!R9</f>
        <v>1373748</v>
      </c>
      <c r="D32" s="441">
        <v>1000000</v>
      </c>
      <c r="E32" s="441">
        <f>C32-D32+E31-G31</f>
        <v>7596156</v>
      </c>
      <c r="F32" s="443">
        <v>45888</v>
      </c>
      <c r="G32" s="445">
        <v>400000</v>
      </c>
      <c r="H32" s="437">
        <v>100000</v>
      </c>
      <c r="I32" s="439"/>
    </row>
    <row r="33" spans="1:9" ht="32.25" customHeight="1" thickTop="1" thickBot="1">
      <c r="A33" s="808"/>
      <c r="B33" s="434">
        <v>45930</v>
      </c>
      <c r="C33" s="442">
        <f>'2025_9'!R9</f>
        <v>772000</v>
      </c>
      <c r="D33" s="441">
        <v>1000000</v>
      </c>
      <c r="E33" s="441">
        <f t="shared" si="1"/>
        <v>7368156</v>
      </c>
      <c r="F33" s="443">
        <v>45914</v>
      </c>
      <c r="G33" s="445">
        <v>200000</v>
      </c>
      <c r="H33" s="437">
        <v>100000</v>
      </c>
      <c r="I33" s="439"/>
    </row>
    <row r="34" spans="1:9" ht="32.25" customHeight="1" thickTop="1" thickBot="1">
      <c r="A34" s="808"/>
      <c r="B34" s="434">
        <v>45961</v>
      </c>
      <c r="C34" s="442">
        <f>'2025_10'!R9</f>
        <v>336102</v>
      </c>
      <c r="D34" s="441">
        <v>1500000</v>
      </c>
      <c r="E34" s="441">
        <f t="shared" si="1"/>
        <v>6204258</v>
      </c>
      <c r="F34" s="443">
        <v>45944</v>
      </c>
      <c r="G34" s="445">
        <v>200000</v>
      </c>
      <c r="H34" s="437">
        <v>100000</v>
      </c>
      <c r="I34" s="439"/>
    </row>
    <row r="35" spans="1:9" ht="32.25" customHeight="1" thickTop="1" thickBot="1">
      <c r="A35" s="808"/>
      <c r="B35" s="434">
        <v>45991</v>
      </c>
      <c r="C35" s="442">
        <f>'2025_11'!R9</f>
        <v>604200</v>
      </c>
      <c r="D35" s="441">
        <v>1000000</v>
      </c>
      <c r="E35" s="441">
        <f t="shared" si="1"/>
        <v>5808458</v>
      </c>
      <c r="F35" s="443">
        <v>45977</v>
      </c>
      <c r="G35" s="445">
        <v>200000</v>
      </c>
      <c r="H35" s="437">
        <v>100000</v>
      </c>
      <c r="I35" s="439"/>
    </row>
    <row r="36" spans="1:9" ht="32.25" customHeight="1" thickTop="1" thickBot="1">
      <c r="A36" s="808"/>
      <c r="B36" s="434">
        <v>46022</v>
      </c>
      <c r="C36" s="442">
        <f>'2025_12'!R9</f>
        <v>584142</v>
      </c>
      <c r="D36" s="441">
        <v>1000000</v>
      </c>
      <c r="E36" s="441">
        <f t="shared" si="1"/>
        <v>5392600</v>
      </c>
      <c r="F36" s="443">
        <v>46022</v>
      </c>
      <c r="G36" s="437"/>
      <c r="H36" s="437">
        <v>100000</v>
      </c>
      <c r="I36" s="439"/>
    </row>
    <row r="37" spans="1:9" ht="32.25" customHeight="1" thickTop="1" thickBot="1">
      <c r="A37" s="799">
        <v>2026</v>
      </c>
      <c r="B37" s="434">
        <v>46053</v>
      </c>
      <c r="C37" s="442">
        <f>'2026_1'!Q9</f>
        <v>704516</v>
      </c>
      <c r="D37" s="441">
        <v>1000000</v>
      </c>
      <c r="E37" s="441">
        <f t="shared" si="1"/>
        <v>5097116</v>
      </c>
      <c r="F37" s="443">
        <v>46045</v>
      </c>
      <c r="G37" s="437"/>
      <c r="H37" s="437">
        <v>100000</v>
      </c>
      <c r="I37" s="439"/>
    </row>
    <row r="38" spans="1:9" ht="32.25" customHeight="1" thickTop="1" thickBot="1">
      <c r="A38" s="799"/>
      <c r="B38" s="434">
        <v>46081</v>
      </c>
      <c r="C38" s="442">
        <f>'2026_2'!Q9</f>
        <v>502628</v>
      </c>
      <c r="D38" s="440"/>
      <c r="E38" s="441">
        <f t="shared" si="1"/>
        <v>5599744</v>
      </c>
      <c r="F38" s="436" t="s">
        <v>764</v>
      </c>
      <c r="G38" s="437"/>
      <c r="H38" s="437">
        <v>100000</v>
      </c>
      <c r="I38" s="439" t="s">
        <v>966</v>
      </c>
    </row>
    <row r="39" spans="1:9" ht="32.25" customHeight="1" thickTop="1" thickBot="1">
      <c r="A39" s="799"/>
      <c r="B39" s="434">
        <v>46112</v>
      </c>
      <c r="C39" s="442">
        <f>'2026_3'!Q9</f>
        <v>314063</v>
      </c>
      <c r="D39" s="440"/>
      <c r="E39" s="441">
        <f t="shared" si="1"/>
        <v>5913807</v>
      </c>
      <c r="F39" s="436" t="s">
        <v>764</v>
      </c>
      <c r="G39" s="437"/>
      <c r="H39" s="437">
        <v>100000</v>
      </c>
      <c r="I39" s="439"/>
    </row>
    <row r="40" spans="1:9" ht="32.25" customHeight="1" thickTop="1" thickBot="1">
      <c r="A40" s="799"/>
      <c r="B40" s="434">
        <v>46142</v>
      </c>
      <c r="C40" s="442">
        <f>'2026_4'!Q9</f>
        <v>-3585838</v>
      </c>
      <c r="D40" s="440"/>
      <c r="E40" s="441">
        <f t="shared" si="1"/>
        <v>2327969</v>
      </c>
      <c r="F40" s="436" t="s">
        <v>764</v>
      </c>
      <c r="G40" s="437"/>
      <c r="H40" s="437">
        <v>100000</v>
      </c>
      <c r="I40" s="439" t="s">
        <v>967</v>
      </c>
    </row>
    <row r="41" spans="1:9" ht="32.25" customHeight="1" thickTop="1" thickBot="1">
      <c r="A41" s="799"/>
      <c r="B41" s="434">
        <v>46173</v>
      </c>
      <c r="C41" s="442">
        <f>'2026_5'!S9</f>
        <v>1978670</v>
      </c>
      <c r="D41" s="440"/>
      <c r="E41" s="446">
        <f t="shared" si="1"/>
        <v>4306639</v>
      </c>
      <c r="F41" s="447" t="s">
        <v>764</v>
      </c>
      <c r="G41" s="437"/>
      <c r="H41" s="437">
        <v>100000</v>
      </c>
      <c r="I41" s="439"/>
    </row>
    <row r="42" spans="1:9" ht="32.25" customHeight="1" thickTop="1" thickBot="1">
      <c r="A42" s="799"/>
      <c r="B42" s="434">
        <v>46203</v>
      </c>
      <c r="C42" s="442"/>
      <c r="D42" s="441"/>
      <c r="E42" s="441">
        <f>C42-D42+E41</f>
        <v>4306639</v>
      </c>
      <c r="F42" s="443"/>
      <c r="G42" s="437"/>
      <c r="H42" s="438"/>
      <c r="I42" s="439"/>
    </row>
    <row r="43" spans="1:9" ht="32.25" customHeight="1" thickTop="1" thickBot="1">
      <c r="A43" s="799"/>
      <c r="B43" s="434">
        <v>46234</v>
      </c>
      <c r="C43" s="442"/>
      <c r="D43" s="441"/>
      <c r="E43" s="441">
        <f t="shared" ref="E43:E60" si="2">C43-D43+E42</f>
        <v>4306639</v>
      </c>
      <c r="F43" s="443"/>
      <c r="G43" s="437"/>
      <c r="H43" s="438"/>
      <c r="I43" s="439"/>
    </row>
    <row r="44" spans="1:9" ht="32.25" customHeight="1" thickTop="1" thickBot="1">
      <c r="A44" s="799"/>
      <c r="B44" s="434">
        <v>46265</v>
      </c>
      <c r="C44" s="442"/>
      <c r="D44" s="441"/>
      <c r="E44" s="441">
        <f t="shared" si="2"/>
        <v>4306639</v>
      </c>
      <c r="F44" s="443"/>
      <c r="G44" s="437"/>
      <c r="H44" s="438"/>
      <c r="I44" s="439"/>
    </row>
    <row r="45" spans="1:9" ht="32.25" customHeight="1" thickTop="1" thickBot="1">
      <c r="A45" s="799"/>
      <c r="B45" s="434">
        <v>46295</v>
      </c>
      <c r="C45" s="442"/>
      <c r="D45" s="441"/>
      <c r="E45" s="441">
        <f t="shared" si="2"/>
        <v>4306639</v>
      </c>
      <c r="F45" s="443"/>
      <c r="G45" s="437"/>
      <c r="H45" s="438"/>
      <c r="I45" s="439"/>
    </row>
    <row r="46" spans="1:9" ht="32.25" customHeight="1" thickTop="1" thickBot="1">
      <c r="A46" s="799"/>
      <c r="B46" s="434">
        <v>46326</v>
      </c>
      <c r="C46" s="442"/>
      <c r="D46" s="441"/>
      <c r="E46" s="441">
        <f t="shared" si="2"/>
        <v>4306639</v>
      </c>
      <c r="F46" s="443"/>
      <c r="G46" s="437"/>
      <c r="H46" s="438"/>
      <c r="I46" s="439"/>
    </row>
    <row r="47" spans="1:9" ht="32.25" customHeight="1" thickTop="1" thickBot="1">
      <c r="A47" s="799"/>
      <c r="B47" s="434">
        <v>46356</v>
      </c>
      <c r="C47" s="442"/>
      <c r="D47" s="441"/>
      <c r="E47" s="441">
        <f t="shared" si="2"/>
        <v>4306639</v>
      </c>
      <c r="F47" s="443"/>
      <c r="G47" s="437"/>
      <c r="H47" s="438"/>
      <c r="I47" s="439"/>
    </row>
    <row r="48" spans="1:9" ht="32.25" customHeight="1" thickTop="1" thickBot="1">
      <c r="A48" s="800"/>
      <c r="B48" s="448">
        <v>46387</v>
      </c>
      <c r="C48" s="449"/>
      <c r="D48" s="450"/>
      <c r="E48" s="441">
        <f t="shared" si="2"/>
        <v>4306639</v>
      </c>
      <c r="F48" s="451"/>
      <c r="G48" s="452"/>
      <c r="H48" s="453"/>
      <c r="I48" s="454"/>
    </row>
    <row r="49" spans="1:9" ht="32.25" customHeight="1" thickTop="1" thickBot="1">
      <c r="A49" s="797">
        <v>2027</v>
      </c>
      <c r="B49" s="434">
        <v>46053</v>
      </c>
      <c r="C49" s="442"/>
      <c r="D49" s="441"/>
      <c r="E49" s="441">
        <f t="shared" si="2"/>
        <v>4306639</v>
      </c>
      <c r="F49" s="443"/>
      <c r="G49" s="437"/>
      <c r="H49" s="437"/>
      <c r="I49" s="439"/>
    </row>
    <row r="50" spans="1:9" ht="32.25" customHeight="1" thickTop="1" thickBot="1">
      <c r="A50" s="797"/>
      <c r="B50" s="434">
        <v>46081</v>
      </c>
      <c r="C50" s="442"/>
      <c r="D50" s="441"/>
      <c r="E50" s="441">
        <f t="shared" si="2"/>
        <v>4306639</v>
      </c>
      <c r="F50" s="436"/>
      <c r="G50" s="437"/>
      <c r="H50" s="437"/>
      <c r="I50" s="439"/>
    </row>
    <row r="51" spans="1:9" ht="32.25" customHeight="1" thickTop="1" thickBot="1">
      <c r="A51" s="797"/>
      <c r="B51" s="434">
        <v>46112</v>
      </c>
      <c r="C51" s="442"/>
      <c r="D51" s="441"/>
      <c r="E51" s="441">
        <f t="shared" si="2"/>
        <v>4306639</v>
      </c>
      <c r="F51" s="436"/>
      <c r="G51" s="437"/>
      <c r="H51" s="437"/>
      <c r="I51" s="439"/>
    </row>
    <row r="52" spans="1:9" ht="32.25" customHeight="1" thickTop="1" thickBot="1">
      <c r="A52" s="797"/>
      <c r="B52" s="434">
        <v>46142</v>
      </c>
      <c r="C52" s="442"/>
      <c r="D52" s="441"/>
      <c r="E52" s="441">
        <f t="shared" si="2"/>
        <v>4306639</v>
      </c>
      <c r="F52" s="436"/>
      <c r="G52" s="437"/>
      <c r="H52" s="437"/>
      <c r="I52" s="439"/>
    </row>
    <row r="53" spans="1:9" ht="32.25" customHeight="1" thickTop="1" thickBot="1">
      <c r="A53" s="797"/>
      <c r="B53" s="434">
        <v>46173</v>
      </c>
      <c r="C53" s="442"/>
      <c r="D53" s="441"/>
      <c r="E53" s="441">
        <f t="shared" si="2"/>
        <v>4306639</v>
      </c>
      <c r="F53" s="447"/>
      <c r="G53" s="437"/>
      <c r="H53" s="437"/>
      <c r="I53" s="439"/>
    </row>
    <row r="54" spans="1:9" ht="32.25" customHeight="1" thickTop="1" thickBot="1">
      <c r="A54" s="797"/>
      <c r="B54" s="434">
        <v>46203</v>
      </c>
      <c r="C54" s="442"/>
      <c r="D54" s="441"/>
      <c r="E54" s="441">
        <f t="shared" si="2"/>
        <v>4306639</v>
      </c>
      <c r="F54" s="443"/>
      <c r="G54" s="437"/>
      <c r="H54" s="438"/>
      <c r="I54" s="439"/>
    </row>
    <row r="55" spans="1:9" ht="32.25" customHeight="1" thickTop="1" thickBot="1">
      <c r="A55" s="797"/>
      <c r="B55" s="434">
        <v>46234</v>
      </c>
      <c r="C55" s="442"/>
      <c r="D55" s="441"/>
      <c r="E55" s="441">
        <f t="shared" si="2"/>
        <v>4306639</v>
      </c>
      <c r="F55" s="443"/>
      <c r="G55" s="437"/>
      <c r="H55" s="438"/>
      <c r="I55" s="439"/>
    </row>
    <row r="56" spans="1:9" ht="32.25" customHeight="1" thickTop="1" thickBot="1">
      <c r="A56" s="797"/>
      <c r="B56" s="434">
        <v>46265</v>
      </c>
      <c r="C56" s="442"/>
      <c r="D56" s="441"/>
      <c r="E56" s="441">
        <f t="shared" si="2"/>
        <v>4306639</v>
      </c>
      <c r="F56" s="443"/>
      <c r="G56" s="437"/>
      <c r="H56" s="438"/>
      <c r="I56" s="439"/>
    </row>
    <row r="57" spans="1:9" ht="32.25" customHeight="1" thickTop="1" thickBot="1">
      <c r="A57" s="797"/>
      <c r="B57" s="434">
        <v>46295</v>
      </c>
      <c r="C57" s="442"/>
      <c r="D57" s="441"/>
      <c r="E57" s="441">
        <f t="shared" si="2"/>
        <v>4306639</v>
      </c>
      <c r="F57" s="443"/>
      <c r="G57" s="437"/>
      <c r="H57" s="438"/>
      <c r="I57" s="439"/>
    </row>
    <row r="58" spans="1:9" ht="32.25" customHeight="1" thickTop="1" thickBot="1">
      <c r="A58" s="797"/>
      <c r="B58" s="434">
        <v>46326</v>
      </c>
      <c r="C58" s="442"/>
      <c r="D58" s="441"/>
      <c r="E58" s="441">
        <f t="shared" si="2"/>
        <v>4306639</v>
      </c>
      <c r="F58" s="443"/>
      <c r="G58" s="437"/>
      <c r="H58" s="438"/>
      <c r="I58" s="439"/>
    </row>
    <row r="59" spans="1:9" ht="32.25" customHeight="1" thickTop="1" thickBot="1">
      <c r="A59" s="797"/>
      <c r="B59" s="434">
        <v>46356</v>
      </c>
      <c r="C59" s="442"/>
      <c r="D59" s="441"/>
      <c r="E59" s="441">
        <f t="shared" si="2"/>
        <v>4306639</v>
      </c>
      <c r="F59" s="443"/>
      <c r="G59" s="437"/>
      <c r="H59" s="438"/>
      <c r="I59" s="439"/>
    </row>
    <row r="60" spans="1:9" ht="32.25" customHeight="1" thickTop="1" thickBot="1">
      <c r="A60" s="798"/>
      <c r="B60" s="448">
        <v>46387</v>
      </c>
      <c r="C60" s="449"/>
      <c r="D60" s="450"/>
      <c r="E60" s="458">
        <f t="shared" si="2"/>
        <v>4306639</v>
      </c>
      <c r="F60" s="451"/>
      <c r="G60" s="452"/>
      <c r="H60" s="453"/>
      <c r="I60" s="454"/>
    </row>
    <row r="61" spans="1:9" ht="23.4" thickTop="1"/>
  </sheetData>
  <mergeCells count="10">
    <mergeCell ref="A49:A60"/>
    <mergeCell ref="A37:A48"/>
    <mergeCell ref="I1:I2"/>
    <mergeCell ref="G1:H2"/>
    <mergeCell ref="H3:I3"/>
    <mergeCell ref="A13:A24"/>
    <mergeCell ref="A25:A36"/>
    <mergeCell ref="A1:F1"/>
    <mergeCell ref="A2:A3"/>
    <mergeCell ref="A4:A12"/>
  </mergeCells>
  <phoneticPr fontId="1"/>
  <conditionalFormatting sqref="G4:G60 H21:H41 H49:H53">
    <cfRule type="cellIs" dxfId="0" priority="1" operator="greaterThan">
      <formula>1</formula>
    </cfRule>
  </conditionalFormatting>
  <pageMargins left="0" right="0" top="0" bottom="0" header="0" footer="0"/>
  <pageSetup paperSize="9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Kiểm toán trong ngày</vt:lpstr>
      <vt:lpstr>Chi tiết_2023_Mẫu</vt:lpstr>
      <vt:lpstr>Báo cáo tháng_Mẫu</vt:lpstr>
      <vt:lpstr>Mẫu 売り上げ</vt:lpstr>
      <vt:lpstr>Hoá đơn_2023_5</vt:lpstr>
      <vt:lpstr>2022_11</vt:lpstr>
      <vt:lpstr>2023_2</vt:lpstr>
      <vt:lpstr>2023_3</vt:lpstr>
      <vt:lpstr>2023_4</vt:lpstr>
      <vt:lpstr>2023_5</vt:lpstr>
      <vt:lpstr>2023_6</vt:lpstr>
      <vt:lpstr>2023_7</vt:lpstr>
      <vt:lpstr>2023_8</vt:lpstr>
      <vt:lpstr>2023_9</vt:lpstr>
      <vt:lpstr>2023_10</vt:lpstr>
      <vt:lpstr>Chi tiết_2023_1１</vt:lpstr>
      <vt:lpstr>2023_11</vt:lpstr>
      <vt:lpstr>Chi tiết_2023_12</vt:lpstr>
      <vt:lpstr>2023_12</vt:lpstr>
      <vt:lpstr>2024_1</vt:lpstr>
      <vt:lpstr>2024_2</vt:lpstr>
      <vt:lpstr>2024_3</vt:lpstr>
      <vt:lpstr>2024_4</vt:lpstr>
      <vt:lpstr>2024_5</vt:lpstr>
      <vt:lpstr>2024_6</vt:lpstr>
      <vt:lpstr>2024_7</vt:lpstr>
      <vt:lpstr>2024_8</vt:lpstr>
      <vt:lpstr>2024_9</vt:lpstr>
      <vt:lpstr>2024_10</vt:lpstr>
      <vt:lpstr>2024_11</vt:lpstr>
      <vt:lpstr>2024_12</vt:lpstr>
      <vt:lpstr>2025_1</vt:lpstr>
      <vt:lpstr>2025_2</vt:lpstr>
      <vt:lpstr>2025_3</vt:lpstr>
      <vt:lpstr>2025_4</vt:lpstr>
      <vt:lpstr>2025_5</vt:lpstr>
      <vt:lpstr>2025_6</vt:lpstr>
      <vt:lpstr>2025_7</vt:lpstr>
      <vt:lpstr>2025_8</vt:lpstr>
      <vt:lpstr>2025_9</vt:lpstr>
      <vt:lpstr>2025_10</vt:lpstr>
      <vt:lpstr>2025_11</vt:lpstr>
      <vt:lpstr>2025_12</vt:lpstr>
      <vt:lpstr>2026_1</vt:lpstr>
      <vt:lpstr>2026_2</vt:lpstr>
      <vt:lpstr>2026_3</vt:lpstr>
      <vt:lpstr>2026_4</vt:lpstr>
      <vt:lpstr>Chi phí quán mới</vt:lpstr>
      <vt:lpstr>2026_5</vt:lpstr>
      <vt:lpstr>2026_6</vt:lpstr>
      <vt:lpstr>Chi phí tháng</vt:lpstr>
      <vt:lpstr>Bảng lợi nhuận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LeVeL infinity</cp:lastModifiedBy>
  <cp:lastPrinted>2026-06-09T05:41:30Z</cp:lastPrinted>
  <dcterms:created xsi:type="dcterms:W3CDTF">2022-11-21T13:45:38Z</dcterms:created>
  <dcterms:modified xsi:type="dcterms:W3CDTF">2026-06-09T06:38:06Z</dcterms:modified>
</cp:coreProperties>
</file>