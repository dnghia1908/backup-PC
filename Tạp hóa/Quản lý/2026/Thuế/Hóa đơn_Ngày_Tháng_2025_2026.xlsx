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2025\Thuế\"/>
    </mc:Choice>
  </mc:AlternateContent>
  <xr:revisionPtr revIDLastSave="0" documentId="13_ncr:1_{9CBF9612-7E11-4E40-8750-8D7C4E67F926}" xr6:coauthVersionLast="47" xr6:coauthVersionMax="47" xr10:uidLastSave="{00000000-0000-0000-0000-000000000000}"/>
  <bookViews>
    <workbookView xWindow="-15456" yWindow="0" windowWidth="15552" windowHeight="16656" firstSheet="6" activeTab="11" xr2:uid="{36B9FD25-67E2-43D1-9274-587FCFF58171}"/>
  </bookViews>
  <sheets>
    <sheet name="2025_4" sheetId="1" r:id="rId1"/>
    <sheet name="2025_5" sheetId="2" r:id="rId2"/>
    <sheet name="2025_6" sheetId="3" r:id="rId3"/>
    <sheet name="2025_7" sheetId="4" r:id="rId4"/>
    <sheet name="2025_8" sheetId="5" r:id="rId5"/>
    <sheet name="2025_9" sheetId="7" r:id="rId6"/>
    <sheet name="2025_10" sheetId="6" r:id="rId7"/>
    <sheet name="2025_11" sheetId="8" r:id="rId8"/>
    <sheet name="2025_12" sheetId="9" r:id="rId9"/>
    <sheet name="2026_1" sheetId="10" r:id="rId10"/>
    <sheet name="2026_2" sheetId="11" r:id="rId11"/>
    <sheet name="2026_3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2" l="1"/>
  <c r="G4" i="12"/>
  <c r="G10" i="12"/>
  <c r="G15" i="12"/>
  <c r="G27" i="12"/>
  <c r="G5" i="12"/>
  <c r="G6" i="12"/>
  <c r="G7" i="12"/>
  <c r="G8" i="12"/>
  <c r="G9" i="12"/>
  <c r="G11" i="12"/>
  <c r="G12" i="12"/>
  <c r="G13" i="12"/>
  <c r="G14" i="12"/>
  <c r="G16" i="12"/>
  <c r="G17" i="12"/>
  <c r="G18" i="12"/>
  <c r="G19" i="12"/>
  <c r="G20" i="12"/>
  <c r="G21" i="12"/>
  <c r="G22" i="12"/>
  <c r="G23" i="12"/>
  <c r="G24" i="12"/>
  <c r="G25" i="12"/>
  <c r="G26" i="12"/>
  <c r="G28" i="12"/>
  <c r="G29" i="12"/>
  <c r="G30" i="12"/>
  <c r="G31" i="12"/>
  <c r="G32" i="12"/>
  <c r="G33" i="12"/>
  <c r="G4" i="11"/>
  <c r="G5" i="11"/>
  <c r="G14" i="11"/>
  <c r="G15" i="11"/>
  <c r="G16" i="11"/>
  <c r="G17" i="11"/>
  <c r="G26" i="11"/>
  <c r="G27" i="11"/>
  <c r="G28" i="11"/>
  <c r="G29" i="11"/>
  <c r="G6" i="11"/>
  <c r="G7" i="11"/>
  <c r="G8" i="11"/>
  <c r="G9" i="11"/>
  <c r="G10" i="11"/>
  <c r="G11" i="11"/>
  <c r="G12" i="11"/>
  <c r="G13" i="11"/>
  <c r="G18" i="11"/>
  <c r="G19" i="11"/>
  <c r="G20" i="11"/>
  <c r="G21" i="11"/>
  <c r="G22" i="11"/>
  <c r="G23" i="11"/>
  <c r="G24" i="11"/>
  <c r="G25" i="11"/>
  <c r="G30" i="11"/>
  <c r="G3" i="11"/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" i="3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" i="4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" i="5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" i="10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" i="9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" i="8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" i="6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" i="7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" i="2"/>
  <c r="G4" i="9" l="1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" i="9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" i="8"/>
  <c r="C1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" i="6"/>
  <c r="C1" i="7"/>
  <c r="C1" i="5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" i="7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2" i="12"/>
  <c r="F2" i="12" s="1"/>
  <c r="G2" i="1" l="1"/>
  <c r="C1" i="12"/>
  <c r="D1" i="12"/>
  <c r="E1" i="12" l="1"/>
  <c r="E2" i="11" l="1"/>
  <c r="F2" i="11" s="1"/>
  <c r="C1" i="11" l="1"/>
  <c r="D1" i="11"/>
  <c r="E2" i="10"/>
  <c r="F2" i="10" s="1"/>
  <c r="C1" i="10"/>
  <c r="E1" i="11" l="1"/>
  <c r="D1" i="10"/>
  <c r="E1" i="10" s="1"/>
  <c r="E2" i="9"/>
  <c r="F2" i="9" s="1"/>
  <c r="E2" i="8"/>
  <c r="F2" i="8" s="1"/>
  <c r="E2" i="7"/>
  <c r="F2" i="7" s="1"/>
  <c r="E1" i="7"/>
  <c r="C1" i="9" l="1"/>
  <c r="D1" i="9"/>
  <c r="C1" i="8"/>
  <c r="D1" i="8"/>
  <c r="E1" i="9" l="1"/>
  <c r="E1" i="8"/>
  <c r="E2" i="6"/>
  <c r="F2" i="6" s="1"/>
  <c r="D1" i="6" l="1"/>
  <c r="E2" i="5"/>
  <c r="F2" i="5" s="1"/>
  <c r="E2" i="4"/>
  <c r="F2" i="4" s="1"/>
  <c r="E2" i="3"/>
  <c r="F2" i="3" s="1"/>
  <c r="E2" i="2"/>
  <c r="F2" i="2" s="1"/>
  <c r="E1" i="6" l="1"/>
  <c r="D1" i="5"/>
  <c r="E1" i="5" s="1"/>
  <c r="C1" i="4"/>
  <c r="D1" i="4"/>
  <c r="C1" i="3"/>
  <c r="D1" i="3"/>
  <c r="C1" i="2"/>
  <c r="D1" i="2"/>
  <c r="E1" i="4" l="1"/>
  <c r="E1" i="3"/>
  <c r="E1" i="2"/>
  <c r="E2" i="1" l="1"/>
  <c r="F2" i="1" s="1"/>
  <c r="C1" i="1"/>
  <c r="D1" i="1" l="1"/>
  <c r="E1" i="1"/>
</calcChain>
</file>

<file path=xl/sharedStrings.xml><?xml version="1.0" encoding="utf-8"?>
<sst xmlns="http://schemas.openxmlformats.org/spreadsheetml/2006/main" count="437" uniqueCount="13">
  <si>
    <t>NGÀY</t>
  </si>
  <si>
    <t>DOANH THU</t>
  </si>
  <si>
    <t>CHI</t>
  </si>
  <si>
    <t>TỔNG</t>
  </si>
  <si>
    <t>Ghi chú</t>
  </si>
  <si>
    <t>THỨ</t>
  </si>
  <si>
    <t>月</t>
  </si>
  <si>
    <t>火</t>
  </si>
  <si>
    <t>水</t>
  </si>
  <si>
    <t>木</t>
  </si>
  <si>
    <t>金</t>
  </si>
  <si>
    <t>土</t>
  </si>
  <si>
    <t>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</si>
</sst>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¥-411]#,##0"/>
    <numFmt numFmtId="165" formatCode="yyyy/mm/dd"/>
  </numFmts>
  <fonts count="6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  <font>
      <b/>
      <sz val="20"/>
      <color theme="1"/>
      <name val="Times New Roman"/>
      <family val="1"/>
      <scheme val="major"/>
    </font>
    <font>
      <b/>
      <sz val="10"/>
      <color theme="1"/>
      <name val="Times New Roman"/>
      <family val="1"/>
      <scheme val="major"/>
    </font>
    <font>
      <sz val="13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shrinkToFit="1"/>
    </xf>
    <xf numFmtId="14" fontId="1" fillId="0" borderId="1" xfId="0" applyNumberFormat="1" applyFont="1" applyBorder="1" applyAlignment="1">
      <alignment shrinkToFit="1"/>
    </xf>
    <xf numFmtId="14" fontId="1" fillId="2" borderId="1" xfId="0" applyNumberFormat="1" applyFont="1" applyFill="1" applyBorder="1" applyAlignment="1">
      <alignment shrinkToFit="1"/>
    </xf>
    <xf numFmtId="0" fontId="1" fillId="0" borderId="1" xfId="0" applyFont="1" applyBorder="1" applyAlignment="1">
      <alignment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center" vertical="center" shrinkToFit="1"/>
    </xf>
    <xf numFmtId="165" fontId="1" fillId="0" borderId="1" xfId="0" applyNumberFormat="1" applyFont="1" applyBorder="1" applyAlignment="1">
      <alignment shrinkToFit="1"/>
    </xf>
    <xf numFmtId="165" fontId="1" fillId="0" borderId="0" xfId="0" applyNumberFormat="1" applyFont="1"/>
    <xf numFmtId="0" fontId="5" fillId="0" borderId="0" xfId="0" applyFont="1"/>
    <xf numFmtId="164" fontId="1" fillId="0" borderId="0" xfId="0" applyNumberFormat="1" applyFont="1"/>
    <xf numFmtId="0" fontId="3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5555-C4D5-4FE5-893C-2E974AC6E77D}">
  <dimension ref="A1:G33"/>
  <sheetViews>
    <sheetView workbookViewId="0">
      <selection activeCell="C3" sqref="C3:C32"/>
    </sheetView>
  </sheetViews>
  <sheetFormatPr defaultColWidth="15.5" defaultRowHeight="22.5" customHeight="1" x14ac:dyDescent="0.3"/>
  <cols>
    <col min="1" max="1" width="12.5" style="1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7" ht="22.5" customHeight="1" x14ac:dyDescent="0.3">
      <c r="A1" s="14" t="s">
        <v>3</v>
      </c>
      <c r="B1" s="14"/>
      <c r="C1" s="3">
        <f>SUM(C3:C33)</f>
        <v>5234916</v>
      </c>
      <c r="D1" s="3">
        <f>SUM(D3:D33)</f>
        <v>0</v>
      </c>
      <c r="E1" s="3">
        <f>C1-D1</f>
        <v>5234916</v>
      </c>
      <c r="F1" s="6" t="s">
        <v>4</v>
      </c>
    </row>
    <row r="2" spans="1:7" ht="22.5" customHeight="1" x14ac:dyDescent="0.3">
      <c r="A2" s="9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IF(E2="土",RAND()*(250000-180000)+150000,IF(E2="日",RAND()*(200000-150000)+150000,RAND()*(150000-110000)+110000))</f>
        <v>112422.62325481451</v>
      </c>
      <c r="G2" s="1">
        <f ca="1">SUM(G3:G32)</f>
        <v>5571177</v>
      </c>
    </row>
    <row r="3" spans="1:7" ht="22.5" customHeight="1" x14ac:dyDescent="0.3">
      <c r="A3" s="10">
        <v>45748</v>
      </c>
      <c r="B3" s="4" t="s">
        <v>7</v>
      </c>
      <c r="C3" s="2">
        <v>182120</v>
      </c>
      <c r="D3" s="3"/>
      <c r="E3" s="3"/>
      <c r="F3" s="6"/>
      <c r="G3" s="1">
        <f t="shared" ref="G3:G32" ca="1" si="0">IF(B3="月",RANDBETWEEN(100000,180000),
 IF(B3="火",RANDBETWEEN(100000,200000),
 IF(B3="水",RANDBETWEEN(100000,200000),
 IF(B3="木",RANDBETWEEN(150000,220000),
 IF(B3="金",RANDBETWEEN(170000,280000),
 IF(B3="土",RANDBETWEEN(250000,300000),
 IF(B3="日",RANDBETWEEN(170000,250000),
 "")))))))</f>
        <v>132209</v>
      </c>
    </row>
    <row r="4" spans="1:7" ht="22.5" customHeight="1" x14ac:dyDescent="0.3">
      <c r="A4" s="10">
        <v>45749</v>
      </c>
      <c r="B4" s="4" t="s">
        <v>8</v>
      </c>
      <c r="C4" s="2">
        <v>114535</v>
      </c>
      <c r="D4" s="3"/>
      <c r="E4" s="3"/>
      <c r="F4" s="6"/>
      <c r="G4" s="1">
        <f t="shared" ca="1" si="0"/>
        <v>166374</v>
      </c>
    </row>
    <row r="5" spans="1:7" ht="22.5" customHeight="1" x14ac:dyDescent="0.3">
      <c r="A5" s="10">
        <v>45750</v>
      </c>
      <c r="B5" s="4" t="s">
        <v>9</v>
      </c>
      <c r="C5" s="2">
        <v>183789</v>
      </c>
      <c r="D5" s="3"/>
      <c r="E5" s="3"/>
      <c r="F5" s="6"/>
      <c r="G5" s="1">
        <f t="shared" ca="1" si="0"/>
        <v>166322</v>
      </c>
    </row>
    <row r="6" spans="1:7" ht="22.5" customHeight="1" x14ac:dyDescent="0.3">
      <c r="A6" s="10">
        <v>45751</v>
      </c>
      <c r="B6" s="5" t="s">
        <v>10</v>
      </c>
      <c r="C6" s="2">
        <v>214258</v>
      </c>
      <c r="D6" s="3"/>
      <c r="E6" s="3"/>
      <c r="F6" s="6"/>
      <c r="G6" s="1">
        <f t="shared" ca="1" si="0"/>
        <v>254343</v>
      </c>
    </row>
    <row r="7" spans="1:7" ht="22.5" customHeight="1" x14ac:dyDescent="0.3">
      <c r="A7" s="10">
        <v>45752</v>
      </c>
      <c r="B7" s="5" t="s">
        <v>11</v>
      </c>
      <c r="C7" s="2">
        <v>257251</v>
      </c>
      <c r="D7" s="3"/>
      <c r="E7" s="3"/>
      <c r="F7" s="6"/>
      <c r="G7" s="1">
        <f t="shared" ca="1" si="0"/>
        <v>279582</v>
      </c>
    </row>
    <row r="8" spans="1:7" ht="22.5" customHeight="1" x14ac:dyDescent="0.3">
      <c r="A8" s="10">
        <v>45753</v>
      </c>
      <c r="B8" s="5" t="s">
        <v>12</v>
      </c>
      <c r="C8" s="2">
        <v>223624</v>
      </c>
      <c r="D8" s="3"/>
      <c r="E8" s="3"/>
      <c r="F8" s="6"/>
      <c r="G8" s="1">
        <f t="shared" ca="1" si="0"/>
        <v>241270</v>
      </c>
    </row>
    <row r="9" spans="1:7" ht="22.5" customHeight="1" x14ac:dyDescent="0.3">
      <c r="A9" s="10">
        <v>45754</v>
      </c>
      <c r="B9" s="4" t="s">
        <v>6</v>
      </c>
      <c r="C9" s="2">
        <v>112554</v>
      </c>
      <c r="D9" s="3"/>
      <c r="E9" s="3"/>
      <c r="F9" s="6"/>
      <c r="G9" s="1">
        <f t="shared" ca="1" si="0"/>
        <v>150973</v>
      </c>
    </row>
    <row r="10" spans="1:7" ht="22.5" customHeight="1" x14ac:dyDescent="0.3">
      <c r="A10" s="10">
        <v>45755</v>
      </c>
      <c r="B10" s="4" t="s">
        <v>7</v>
      </c>
      <c r="C10" s="2">
        <v>156426</v>
      </c>
      <c r="D10" s="3"/>
      <c r="E10" s="3"/>
      <c r="F10" s="6"/>
      <c r="G10" s="1">
        <f t="shared" ca="1" si="0"/>
        <v>197264</v>
      </c>
    </row>
    <row r="11" spans="1:7" ht="22.5" customHeight="1" x14ac:dyDescent="0.3">
      <c r="A11" s="10">
        <v>45756</v>
      </c>
      <c r="B11" s="4" t="s">
        <v>8</v>
      </c>
      <c r="C11" s="2">
        <v>119090</v>
      </c>
      <c r="D11" s="3"/>
      <c r="E11" s="3"/>
      <c r="F11" s="6"/>
      <c r="G11" s="1">
        <f t="shared" ca="1" si="0"/>
        <v>138297</v>
      </c>
    </row>
    <row r="12" spans="1:7" ht="22.5" customHeight="1" x14ac:dyDescent="0.3">
      <c r="A12" s="10">
        <v>45757</v>
      </c>
      <c r="B12" s="4" t="s">
        <v>9</v>
      </c>
      <c r="C12" s="2">
        <v>179786</v>
      </c>
      <c r="D12" s="3"/>
      <c r="E12" s="3"/>
      <c r="F12" s="6"/>
      <c r="G12" s="1">
        <f t="shared" ca="1" si="0"/>
        <v>162406</v>
      </c>
    </row>
    <row r="13" spans="1:7" ht="22.5" customHeight="1" x14ac:dyDescent="0.3">
      <c r="A13" s="10">
        <v>45758</v>
      </c>
      <c r="B13" s="5" t="s">
        <v>10</v>
      </c>
      <c r="C13" s="2">
        <v>175934</v>
      </c>
      <c r="D13" s="3"/>
      <c r="E13" s="3"/>
      <c r="F13" s="6"/>
      <c r="G13" s="1">
        <f t="shared" ca="1" si="0"/>
        <v>173106</v>
      </c>
    </row>
    <row r="14" spans="1:7" ht="22.5" customHeight="1" x14ac:dyDescent="0.3">
      <c r="A14" s="10">
        <v>45759</v>
      </c>
      <c r="B14" s="5" t="s">
        <v>11</v>
      </c>
      <c r="C14" s="2">
        <v>251777</v>
      </c>
      <c r="D14" s="3"/>
      <c r="E14" s="3"/>
      <c r="F14" s="6"/>
      <c r="G14" s="1">
        <f t="shared" ca="1" si="0"/>
        <v>265261</v>
      </c>
    </row>
    <row r="15" spans="1:7" ht="22.5" customHeight="1" x14ac:dyDescent="0.3">
      <c r="A15" s="10">
        <v>45760</v>
      </c>
      <c r="B15" s="5" t="s">
        <v>12</v>
      </c>
      <c r="C15" s="2">
        <v>205162</v>
      </c>
      <c r="D15" s="3"/>
      <c r="E15" s="3"/>
      <c r="F15" s="6"/>
      <c r="G15" s="1">
        <f t="shared" ca="1" si="0"/>
        <v>197044</v>
      </c>
    </row>
    <row r="16" spans="1:7" ht="22.5" customHeight="1" x14ac:dyDescent="0.3">
      <c r="A16" s="10">
        <v>45761</v>
      </c>
      <c r="B16" s="4" t="s">
        <v>6</v>
      </c>
      <c r="C16" s="2">
        <v>111194</v>
      </c>
      <c r="D16" s="3"/>
      <c r="E16" s="3"/>
      <c r="F16" s="6"/>
      <c r="G16" s="1">
        <f t="shared" ca="1" si="0"/>
        <v>117186</v>
      </c>
    </row>
    <row r="17" spans="1:7" ht="22.5" customHeight="1" x14ac:dyDescent="0.3">
      <c r="A17" s="10">
        <v>45762</v>
      </c>
      <c r="B17" s="4" t="s">
        <v>7</v>
      </c>
      <c r="C17" s="2">
        <v>150574</v>
      </c>
      <c r="D17" s="3"/>
      <c r="E17" s="3"/>
      <c r="F17" s="6"/>
      <c r="G17" s="1">
        <f t="shared" ca="1" si="0"/>
        <v>186886</v>
      </c>
    </row>
    <row r="18" spans="1:7" ht="22.5" customHeight="1" x14ac:dyDescent="0.3">
      <c r="A18" s="10">
        <v>45763</v>
      </c>
      <c r="B18" s="4" t="s">
        <v>8</v>
      </c>
      <c r="C18" s="2">
        <v>112162</v>
      </c>
      <c r="D18" s="3"/>
      <c r="E18" s="3"/>
      <c r="F18" s="6"/>
      <c r="G18" s="1">
        <f t="shared" ca="1" si="0"/>
        <v>124367</v>
      </c>
    </row>
    <row r="19" spans="1:7" ht="22.5" customHeight="1" x14ac:dyDescent="0.3">
      <c r="A19" s="10">
        <v>45764</v>
      </c>
      <c r="B19" s="4" t="s">
        <v>9</v>
      </c>
      <c r="C19" s="2">
        <v>170003</v>
      </c>
      <c r="D19" s="3"/>
      <c r="E19" s="3"/>
      <c r="F19" s="6"/>
      <c r="G19" s="1">
        <f t="shared" ca="1" si="0"/>
        <v>162079</v>
      </c>
    </row>
    <row r="20" spans="1:7" ht="22.5" customHeight="1" x14ac:dyDescent="0.3">
      <c r="A20" s="10">
        <v>45765</v>
      </c>
      <c r="B20" s="5" t="s">
        <v>10</v>
      </c>
      <c r="C20" s="2">
        <v>197095</v>
      </c>
      <c r="D20" s="3"/>
      <c r="E20" s="3"/>
      <c r="F20" s="6"/>
      <c r="G20" s="1">
        <f t="shared" ca="1" si="0"/>
        <v>206209</v>
      </c>
    </row>
    <row r="21" spans="1:7" ht="22.5" customHeight="1" x14ac:dyDescent="0.3">
      <c r="A21" s="10">
        <v>45766</v>
      </c>
      <c r="B21" s="5" t="s">
        <v>11</v>
      </c>
      <c r="C21" s="2">
        <v>283842</v>
      </c>
      <c r="D21" s="3"/>
      <c r="E21" s="3"/>
      <c r="F21" s="6"/>
      <c r="G21" s="1">
        <f t="shared" ca="1" si="0"/>
        <v>290034</v>
      </c>
    </row>
    <row r="22" spans="1:7" ht="22.5" customHeight="1" x14ac:dyDescent="0.3">
      <c r="A22" s="10">
        <v>45767</v>
      </c>
      <c r="B22" s="5" t="s">
        <v>12</v>
      </c>
      <c r="C22" s="2">
        <v>229289</v>
      </c>
      <c r="D22" s="3"/>
      <c r="E22" s="3"/>
      <c r="F22" s="6"/>
      <c r="G22" s="1">
        <f t="shared" ca="1" si="0"/>
        <v>170077</v>
      </c>
    </row>
    <row r="23" spans="1:7" ht="22.5" customHeight="1" x14ac:dyDescent="0.3">
      <c r="A23" s="10">
        <v>45768</v>
      </c>
      <c r="B23" s="4" t="s">
        <v>6</v>
      </c>
      <c r="C23" s="2">
        <v>166200</v>
      </c>
      <c r="D23" s="3"/>
      <c r="E23" s="3"/>
      <c r="F23" s="6"/>
      <c r="G23" s="1">
        <f t="shared" ca="1" si="0"/>
        <v>132770</v>
      </c>
    </row>
    <row r="24" spans="1:7" ht="22.5" customHeight="1" x14ac:dyDescent="0.3">
      <c r="A24" s="10">
        <v>45769</v>
      </c>
      <c r="B24" s="4" t="s">
        <v>7</v>
      </c>
      <c r="C24" s="2">
        <v>144684</v>
      </c>
      <c r="D24" s="3"/>
      <c r="E24" s="3"/>
      <c r="F24" s="6"/>
      <c r="G24" s="1">
        <f t="shared" ca="1" si="0"/>
        <v>107189</v>
      </c>
    </row>
    <row r="25" spans="1:7" ht="22.5" customHeight="1" x14ac:dyDescent="0.3">
      <c r="A25" s="10">
        <v>45770</v>
      </c>
      <c r="B25" s="4" t="s">
        <v>8</v>
      </c>
      <c r="C25" s="2">
        <v>106449</v>
      </c>
      <c r="D25" s="3"/>
      <c r="E25" s="3"/>
      <c r="F25" s="6"/>
      <c r="G25" s="1">
        <f t="shared" ca="1" si="0"/>
        <v>157426</v>
      </c>
    </row>
    <row r="26" spans="1:7" ht="22.5" customHeight="1" x14ac:dyDescent="0.3">
      <c r="A26" s="10">
        <v>45771</v>
      </c>
      <c r="B26" s="4" t="s">
        <v>9</v>
      </c>
      <c r="C26" s="2">
        <v>150541</v>
      </c>
      <c r="D26" s="3"/>
      <c r="E26" s="3"/>
      <c r="F26" s="6"/>
      <c r="G26" s="1">
        <f t="shared" ca="1" si="0"/>
        <v>175389</v>
      </c>
    </row>
    <row r="27" spans="1:7" ht="22.5" customHeight="1" x14ac:dyDescent="0.3">
      <c r="A27" s="10">
        <v>45772</v>
      </c>
      <c r="B27" s="5" t="s">
        <v>10</v>
      </c>
      <c r="C27" s="2">
        <v>198551</v>
      </c>
      <c r="D27" s="3"/>
      <c r="E27" s="3"/>
      <c r="F27" s="6"/>
      <c r="G27" s="1">
        <f t="shared" ca="1" si="0"/>
        <v>225838</v>
      </c>
    </row>
    <row r="28" spans="1:7" ht="22.5" customHeight="1" x14ac:dyDescent="0.3">
      <c r="A28" s="10">
        <v>45773</v>
      </c>
      <c r="B28" s="5" t="s">
        <v>11</v>
      </c>
      <c r="C28" s="2">
        <v>274725</v>
      </c>
      <c r="D28" s="3"/>
      <c r="E28" s="3"/>
      <c r="F28" s="6"/>
      <c r="G28" s="1">
        <f t="shared" ca="1" si="0"/>
        <v>277805</v>
      </c>
    </row>
    <row r="29" spans="1:7" ht="22.5" customHeight="1" x14ac:dyDescent="0.3">
      <c r="A29" s="10">
        <v>45774</v>
      </c>
      <c r="B29" s="5" t="s">
        <v>12</v>
      </c>
      <c r="C29" s="2">
        <v>182591</v>
      </c>
      <c r="D29" s="3"/>
      <c r="E29" s="3"/>
      <c r="F29" s="6"/>
      <c r="G29" s="1">
        <f t="shared" ca="1" si="0"/>
        <v>186825</v>
      </c>
    </row>
    <row r="30" spans="1:7" ht="22.5" customHeight="1" x14ac:dyDescent="0.3">
      <c r="A30" s="10">
        <v>45775</v>
      </c>
      <c r="B30" s="4" t="s">
        <v>6</v>
      </c>
      <c r="C30" s="2">
        <v>164576</v>
      </c>
      <c r="D30" s="3"/>
      <c r="E30" s="3"/>
      <c r="F30" s="6"/>
      <c r="G30" s="1">
        <f t="shared" ca="1" si="0"/>
        <v>175139</v>
      </c>
    </row>
    <row r="31" spans="1:7" ht="22.5" customHeight="1" x14ac:dyDescent="0.3">
      <c r="A31" s="10">
        <v>45776</v>
      </c>
      <c r="B31" s="4" t="s">
        <v>7</v>
      </c>
      <c r="C31" s="2">
        <v>100417</v>
      </c>
      <c r="D31" s="3"/>
      <c r="E31" s="3"/>
      <c r="F31" s="6"/>
      <c r="G31" s="1">
        <f t="shared" ca="1" si="0"/>
        <v>185022</v>
      </c>
    </row>
    <row r="32" spans="1:7" ht="22.5" customHeight="1" x14ac:dyDescent="0.3">
      <c r="A32" s="10">
        <v>45777</v>
      </c>
      <c r="B32" s="4" t="s">
        <v>8</v>
      </c>
      <c r="C32" s="2">
        <v>115717</v>
      </c>
      <c r="D32" s="3"/>
      <c r="E32" s="3"/>
      <c r="F32" s="6"/>
      <c r="G32" s="1">
        <f t="shared" ca="1" si="0"/>
        <v>166485</v>
      </c>
    </row>
    <row r="33" spans="1:6" ht="22.5" customHeight="1" x14ac:dyDescent="0.3">
      <c r="A33" s="10"/>
      <c r="B33" s="6"/>
      <c r="C33" s="3"/>
      <c r="D33" s="3"/>
      <c r="E33" s="3"/>
      <c r="F33" s="6"/>
    </row>
  </sheetData>
  <mergeCells count="1">
    <mergeCell ref="A1:B1"/>
  </mergeCells>
  <conditionalFormatting sqref="C1:D1 A1 A2:D2 A33:D33 D3:D32 A3:B3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9934-648D-41CE-BB96-323C2488B688}">
  <dimension ref="A1:H33"/>
  <sheetViews>
    <sheetView workbookViewId="0">
      <selection activeCell="C29" sqref="C29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7" width="15.5" style="1"/>
    <col min="8" max="8" width="15.5" style="12"/>
    <col min="9" max="16384" width="15.5" style="1"/>
  </cols>
  <sheetData>
    <row r="1" spans="1:8" ht="22.5" customHeight="1" x14ac:dyDescent="0.3">
      <c r="A1" s="14" t="s">
        <v>3</v>
      </c>
      <c r="B1" s="14"/>
      <c r="C1" s="3">
        <f>SUM(C3:C33)</f>
        <v>4908482</v>
      </c>
      <c r="D1" s="3">
        <f>SUM(D3:D33)</f>
        <v>0</v>
      </c>
      <c r="E1" s="3">
        <f>C1-D1</f>
        <v>4908482</v>
      </c>
      <c r="F1" s="6" t="s">
        <v>4</v>
      </c>
    </row>
    <row r="2" spans="1:8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IF(E2="土",RAND()*(250000-180000)+150000,IF(E2="日",RAND()*(200000-150000)+150000,RAND()*(150000-110000)+110000))</f>
        <v>115489.16362544913</v>
      </c>
    </row>
    <row r="3" spans="1:8" ht="22.5" customHeight="1" x14ac:dyDescent="0.3">
      <c r="A3" s="10">
        <v>45778</v>
      </c>
      <c r="B3" s="4" t="s">
        <v>9</v>
      </c>
      <c r="C3" s="3">
        <v>153086</v>
      </c>
      <c r="D3" s="3"/>
      <c r="E3" s="3"/>
      <c r="F3" s="6"/>
      <c r="G3" s="1">
        <f ca="1">IF(B3="月",RANDBETWEEN(100000,180000),
 IF(B3="火",RANDBETWEEN(100000,180000),
 IF(B3="水",RANDBETWEEN(100000,180000),
 IF(B3="木",RANDBETWEEN(150000,200000),
 IF(B3="金",RANDBETWEEN(170000,250000),
 IF(B3="土",RANDBETWEEN(250000,280000),
 IF(B3="日",RANDBETWEEN(170000,250000),
 "")))))))</f>
        <v>160706</v>
      </c>
      <c r="H3" s="13">
        <f>C3+3000</f>
        <v>156086</v>
      </c>
    </row>
    <row r="4" spans="1:8" ht="22.5" customHeight="1" x14ac:dyDescent="0.3">
      <c r="A4" s="10">
        <v>45779</v>
      </c>
      <c r="B4" s="5" t="s">
        <v>10</v>
      </c>
      <c r="C4" s="3">
        <v>167220</v>
      </c>
      <c r="D4" s="3"/>
      <c r="E4" s="3"/>
      <c r="F4" s="6"/>
      <c r="G4" s="1">
        <f t="shared" ref="G4:G33" ca="1" si="0">IF(B4="月",RANDBETWEEN(100000,180000),
 IF(B4="火",RANDBETWEEN(100000,180000),
 IF(B4="水",RANDBETWEEN(100000,180000),
 IF(B4="木",RANDBETWEEN(150000,200000),
 IF(B4="金",RANDBETWEEN(170000,250000),
 IF(B4="土",RANDBETWEEN(250000,280000),
 IF(B4="日",RANDBETWEEN(170000,250000),
 "")))))))</f>
        <v>174337</v>
      </c>
      <c r="H4" s="13">
        <f t="shared" ref="H4:H33" si="1">C4+3000</f>
        <v>170220</v>
      </c>
    </row>
    <row r="5" spans="1:8" ht="22.5" customHeight="1" x14ac:dyDescent="0.3">
      <c r="A5" s="10">
        <v>45780</v>
      </c>
      <c r="B5" s="5" t="s">
        <v>11</v>
      </c>
      <c r="C5" s="3">
        <v>240862</v>
      </c>
      <c r="D5" s="3"/>
      <c r="E5" s="3"/>
      <c r="F5" s="6"/>
      <c r="G5" s="1">
        <f t="shared" ca="1" si="0"/>
        <v>270104</v>
      </c>
      <c r="H5" s="13">
        <f t="shared" si="1"/>
        <v>243862</v>
      </c>
    </row>
    <row r="6" spans="1:8" ht="22.5" customHeight="1" x14ac:dyDescent="0.3">
      <c r="A6" s="10">
        <v>45781</v>
      </c>
      <c r="B6" s="5" t="s">
        <v>12</v>
      </c>
      <c r="C6" s="3">
        <v>158166</v>
      </c>
      <c r="D6" s="3"/>
      <c r="E6" s="3"/>
      <c r="F6" s="6"/>
      <c r="G6" s="1">
        <f t="shared" ca="1" si="0"/>
        <v>189604</v>
      </c>
      <c r="H6" s="13">
        <f t="shared" si="1"/>
        <v>161166</v>
      </c>
    </row>
    <row r="7" spans="1:8" ht="22.5" customHeight="1" x14ac:dyDescent="0.3">
      <c r="A7" s="10">
        <v>45782</v>
      </c>
      <c r="B7" s="4" t="s">
        <v>6</v>
      </c>
      <c r="C7" s="3">
        <v>80909</v>
      </c>
      <c r="D7" s="3"/>
      <c r="E7" s="3"/>
      <c r="F7" s="6"/>
      <c r="G7" s="1">
        <f t="shared" ca="1" si="0"/>
        <v>107368</v>
      </c>
      <c r="H7" s="13">
        <f t="shared" si="1"/>
        <v>83909</v>
      </c>
    </row>
    <row r="8" spans="1:8" ht="22.5" customHeight="1" x14ac:dyDescent="0.3">
      <c r="A8" s="10">
        <v>45783</v>
      </c>
      <c r="B8" s="4" t="s">
        <v>7</v>
      </c>
      <c r="C8" s="3">
        <v>126000</v>
      </c>
      <c r="D8" s="3"/>
      <c r="E8" s="6"/>
      <c r="F8" s="6"/>
      <c r="G8" s="1">
        <f t="shared" ca="1" si="0"/>
        <v>143439</v>
      </c>
      <c r="H8" s="13">
        <f t="shared" si="1"/>
        <v>129000</v>
      </c>
    </row>
    <row r="9" spans="1:8" ht="22.5" customHeight="1" x14ac:dyDescent="0.3">
      <c r="A9" s="10">
        <v>45784</v>
      </c>
      <c r="B9" s="4" t="s">
        <v>8</v>
      </c>
      <c r="C9" s="3">
        <v>132197</v>
      </c>
      <c r="D9" s="3"/>
      <c r="E9" s="3"/>
      <c r="F9" s="6"/>
      <c r="G9" s="1">
        <f t="shared" ca="1" si="0"/>
        <v>133403</v>
      </c>
      <c r="H9" s="13">
        <f t="shared" si="1"/>
        <v>135197</v>
      </c>
    </row>
    <row r="10" spans="1:8" ht="22.5" customHeight="1" x14ac:dyDescent="0.3">
      <c r="A10" s="10">
        <v>45785</v>
      </c>
      <c r="B10" s="4" t="s">
        <v>9</v>
      </c>
      <c r="C10" s="3">
        <v>142046</v>
      </c>
      <c r="D10" s="3"/>
      <c r="E10" s="3"/>
      <c r="F10" s="6"/>
      <c r="G10" s="1">
        <f t="shared" ca="1" si="0"/>
        <v>164007</v>
      </c>
      <c r="H10" s="13">
        <f t="shared" si="1"/>
        <v>145046</v>
      </c>
    </row>
    <row r="11" spans="1:8" ht="22.5" customHeight="1" x14ac:dyDescent="0.3">
      <c r="A11" s="10">
        <v>45786</v>
      </c>
      <c r="B11" s="5" t="s">
        <v>10</v>
      </c>
      <c r="C11" s="3">
        <v>149150</v>
      </c>
      <c r="D11" s="3"/>
      <c r="E11" s="3"/>
      <c r="F11" s="6"/>
      <c r="G11" s="1">
        <f t="shared" ca="1" si="0"/>
        <v>202549</v>
      </c>
      <c r="H11" s="13">
        <f t="shared" si="1"/>
        <v>152150</v>
      </c>
    </row>
    <row r="12" spans="1:8" ht="22.5" customHeight="1" x14ac:dyDescent="0.3">
      <c r="A12" s="10">
        <v>45787</v>
      </c>
      <c r="B12" s="5" t="s">
        <v>11</v>
      </c>
      <c r="C12" s="3">
        <v>230212</v>
      </c>
      <c r="D12" s="3"/>
      <c r="E12" s="3"/>
      <c r="F12" s="6"/>
      <c r="G12" s="1">
        <f t="shared" ca="1" si="0"/>
        <v>274063</v>
      </c>
      <c r="H12" s="13">
        <f t="shared" si="1"/>
        <v>233212</v>
      </c>
    </row>
    <row r="13" spans="1:8" ht="22.5" customHeight="1" x14ac:dyDescent="0.3">
      <c r="A13" s="10">
        <v>45788</v>
      </c>
      <c r="B13" s="5" t="s">
        <v>12</v>
      </c>
      <c r="C13" s="3">
        <v>220229</v>
      </c>
      <c r="D13" s="3"/>
      <c r="E13" s="3"/>
      <c r="F13" s="6"/>
      <c r="G13" s="1">
        <f t="shared" ca="1" si="0"/>
        <v>184003</v>
      </c>
      <c r="H13" s="13">
        <f t="shared" si="1"/>
        <v>223229</v>
      </c>
    </row>
    <row r="14" spans="1:8" ht="22.5" customHeight="1" x14ac:dyDescent="0.3">
      <c r="A14" s="10">
        <v>45789</v>
      </c>
      <c r="B14" s="4" t="s">
        <v>6</v>
      </c>
      <c r="C14" s="3">
        <v>146264</v>
      </c>
      <c r="D14" s="3"/>
      <c r="E14" s="3"/>
      <c r="F14" s="6"/>
      <c r="G14" s="1">
        <f t="shared" ca="1" si="0"/>
        <v>123522</v>
      </c>
      <c r="H14" s="13">
        <f t="shared" si="1"/>
        <v>149264</v>
      </c>
    </row>
    <row r="15" spans="1:8" ht="22.5" customHeight="1" x14ac:dyDescent="0.3">
      <c r="A15" s="10">
        <v>45790</v>
      </c>
      <c r="B15" s="4" t="s">
        <v>7</v>
      </c>
      <c r="C15" s="3">
        <v>157067</v>
      </c>
      <c r="D15" s="3"/>
      <c r="E15" s="3"/>
      <c r="F15" s="6"/>
      <c r="G15" s="1">
        <f t="shared" ca="1" si="0"/>
        <v>116189</v>
      </c>
      <c r="H15" s="13">
        <f t="shared" si="1"/>
        <v>160067</v>
      </c>
    </row>
    <row r="16" spans="1:8" ht="22.5" customHeight="1" x14ac:dyDescent="0.3">
      <c r="A16" s="10">
        <v>45791</v>
      </c>
      <c r="B16" s="4" t="s">
        <v>8</v>
      </c>
      <c r="C16" s="3">
        <v>134536</v>
      </c>
      <c r="D16" s="3"/>
      <c r="E16" s="3"/>
      <c r="F16" s="6"/>
      <c r="G16" s="1">
        <f t="shared" ca="1" si="0"/>
        <v>153687</v>
      </c>
      <c r="H16" s="13">
        <f t="shared" si="1"/>
        <v>137536</v>
      </c>
    </row>
    <row r="17" spans="1:8" ht="22.5" customHeight="1" x14ac:dyDescent="0.3">
      <c r="A17" s="10">
        <v>45792</v>
      </c>
      <c r="B17" s="4" t="s">
        <v>9</v>
      </c>
      <c r="C17" s="3">
        <v>136158</v>
      </c>
      <c r="D17" s="3"/>
      <c r="E17" s="3"/>
      <c r="F17" s="6"/>
      <c r="G17" s="1">
        <f t="shared" ca="1" si="0"/>
        <v>170523</v>
      </c>
      <c r="H17" s="13">
        <f t="shared" si="1"/>
        <v>139158</v>
      </c>
    </row>
    <row r="18" spans="1:8" ht="22.5" customHeight="1" x14ac:dyDescent="0.3">
      <c r="A18" s="10">
        <v>45793</v>
      </c>
      <c r="B18" s="5" t="s">
        <v>10</v>
      </c>
      <c r="C18" s="3">
        <v>195183</v>
      </c>
      <c r="D18" s="3"/>
      <c r="E18" s="3"/>
      <c r="F18" s="6"/>
      <c r="G18" s="1">
        <f t="shared" ca="1" si="0"/>
        <v>190013</v>
      </c>
      <c r="H18" s="13">
        <f t="shared" si="1"/>
        <v>198183</v>
      </c>
    </row>
    <row r="19" spans="1:8" ht="22.5" customHeight="1" x14ac:dyDescent="0.3">
      <c r="A19" s="10">
        <v>45794</v>
      </c>
      <c r="B19" s="5" t="s">
        <v>11</v>
      </c>
      <c r="C19" s="3">
        <v>237778</v>
      </c>
      <c r="D19" s="3"/>
      <c r="E19" s="3"/>
      <c r="F19" s="6"/>
      <c r="G19" s="1">
        <f t="shared" ca="1" si="0"/>
        <v>279342</v>
      </c>
      <c r="H19" s="13">
        <f t="shared" si="1"/>
        <v>240778</v>
      </c>
    </row>
    <row r="20" spans="1:8" ht="22.5" customHeight="1" x14ac:dyDescent="0.3">
      <c r="A20" s="10">
        <v>45795</v>
      </c>
      <c r="B20" s="5" t="s">
        <v>12</v>
      </c>
      <c r="C20" s="3">
        <v>174175</v>
      </c>
      <c r="D20" s="3"/>
      <c r="E20" s="3"/>
      <c r="F20" s="6"/>
      <c r="G20" s="1">
        <f t="shared" ca="1" si="0"/>
        <v>240376</v>
      </c>
      <c r="H20" s="13">
        <f t="shared" si="1"/>
        <v>177175</v>
      </c>
    </row>
    <row r="21" spans="1:8" ht="22.5" customHeight="1" x14ac:dyDescent="0.3">
      <c r="A21" s="10">
        <v>45796</v>
      </c>
      <c r="B21" s="4" t="s">
        <v>6</v>
      </c>
      <c r="C21" s="3">
        <v>89332</v>
      </c>
      <c r="D21" s="3"/>
      <c r="E21" s="3"/>
      <c r="F21" s="6"/>
      <c r="G21" s="1">
        <f t="shared" ca="1" si="0"/>
        <v>112434</v>
      </c>
      <c r="H21" s="13">
        <f t="shared" si="1"/>
        <v>92332</v>
      </c>
    </row>
    <row r="22" spans="1:8" ht="22.5" customHeight="1" x14ac:dyDescent="0.3">
      <c r="A22" s="10">
        <v>45797</v>
      </c>
      <c r="B22" s="4" t="s">
        <v>7</v>
      </c>
      <c r="C22" s="3">
        <v>81002</v>
      </c>
      <c r="D22" s="3"/>
      <c r="E22" s="3"/>
      <c r="F22" s="6"/>
      <c r="G22" s="1">
        <f t="shared" ca="1" si="0"/>
        <v>157437</v>
      </c>
      <c r="H22" s="13">
        <f t="shared" si="1"/>
        <v>84002</v>
      </c>
    </row>
    <row r="23" spans="1:8" ht="22.5" customHeight="1" x14ac:dyDescent="0.3">
      <c r="A23" s="10">
        <v>45798</v>
      </c>
      <c r="B23" s="4" t="s">
        <v>8</v>
      </c>
      <c r="C23" s="3">
        <v>120090</v>
      </c>
      <c r="D23" s="3"/>
      <c r="E23" s="3"/>
      <c r="F23" s="6"/>
      <c r="G23" s="1">
        <f t="shared" ca="1" si="0"/>
        <v>147479</v>
      </c>
      <c r="H23" s="13">
        <f t="shared" si="1"/>
        <v>123090</v>
      </c>
    </row>
    <row r="24" spans="1:8" ht="22.5" customHeight="1" x14ac:dyDescent="0.3">
      <c r="A24" s="10">
        <v>45799</v>
      </c>
      <c r="B24" s="4" t="s">
        <v>9</v>
      </c>
      <c r="C24" s="3">
        <v>133500</v>
      </c>
      <c r="D24" s="3"/>
      <c r="E24" s="3"/>
      <c r="F24" s="6"/>
      <c r="G24" s="1">
        <f t="shared" ca="1" si="0"/>
        <v>174433</v>
      </c>
      <c r="H24" s="13">
        <f t="shared" si="1"/>
        <v>136500</v>
      </c>
    </row>
    <row r="25" spans="1:8" ht="22.5" customHeight="1" x14ac:dyDescent="0.3">
      <c r="A25" s="10">
        <v>45800</v>
      </c>
      <c r="B25" s="5" t="s">
        <v>10</v>
      </c>
      <c r="C25" s="3">
        <v>225214</v>
      </c>
      <c r="D25" s="3"/>
      <c r="E25" s="3"/>
      <c r="F25" s="6"/>
      <c r="G25" s="1">
        <f t="shared" ca="1" si="0"/>
        <v>180940</v>
      </c>
      <c r="H25" s="13">
        <f t="shared" si="1"/>
        <v>228214</v>
      </c>
    </row>
    <row r="26" spans="1:8" ht="22.5" customHeight="1" x14ac:dyDescent="0.3">
      <c r="A26" s="10">
        <v>45801</v>
      </c>
      <c r="B26" s="5" t="s">
        <v>11</v>
      </c>
      <c r="C26" s="3">
        <v>252974</v>
      </c>
      <c r="D26" s="3"/>
      <c r="E26" s="3"/>
      <c r="F26" s="6"/>
      <c r="G26" s="1">
        <f t="shared" ca="1" si="0"/>
        <v>264443</v>
      </c>
      <c r="H26" s="13">
        <f t="shared" si="1"/>
        <v>255974</v>
      </c>
    </row>
    <row r="27" spans="1:8" ht="22.5" customHeight="1" x14ac:dyDescent="0.3">
      <c r="A27" s="10">
        <v>45802</v>
      </c>
      <c r="B27" s="5" t="s">
        <v>12</v>
      </c>
      <c r="C27" s="3">
        <v>152025</v>
      </c>
      <c r="D27" s="3"/>
      <c r="E27" s="3"/>
      <c r="F27" s="6"/>
      <c r="G27" s="1">
        <f t="shared" ca="1" si="0"/>
        <v>231581</v>
      </c>
      <c r="H27" s="13">
        <f t="shared" si="1"/>
        <v>155025</v>
      </c>
    </row>
    <row r="28" spans="1:8" ht="22.5" customHeight="1" x14ac:dyDescent="0.3">
      <c r="A28" s="10">
        <v>45803</v>
      </c>
      <c r="B28" s="4" t="s">
        <v>6</v>
      </c>
      <c r="C28" s="3">
        <v>87179</v>
      </c>
      <c r="D28" s="3"/>
      <c r="E28" s="3"/>
      <c r="F28" s="6"/>
      <c r="G28" s="1">
        <f t="shared" ca="1" si="0"/>
        <v>124015</v>
      </c>
      <c r="H28" s="13">
        <f t="shared" si="1"/>
        <v>90179</v>
      </c>
    </row>
    <row r="29" spans="1:8" ht="22.5" customHeight="1" x14ac:dyDescent="0.3">
      <c r="A29" s="10">
        <v>45804</v>
      </c>
      <c r="B29" s="4" t="s">
        <v>7</v>
      </c>
      <c r="C29" s="3">
        <v>103126</v>
      </c>
      <c r="D29" s="3"/>
      <c r="E29" s="3"/>
      <c r="F29" s="6"/>
      <c r="G29" s="1">
        <f t="shared" ca="1" si="0"/>
        <v>107919</v>
      </c>
      <c r="H29" s="13">
        <f t="shared" si="1"/>
        <v>106126</v>
      </c>
    </row>
    <row r="30" spans="1:8" ht="22.5" customHeight="1" x14ac:dyDescent="0.3">
      <c r="A30" s="10">
        <v>45805</v>
      </c>
      <c r="B30" s="4" t="s">
        <v>8</v>
      </c>
      <c r="C30" s="3">
        <v>102690</v>
      </c>
      <c r="D30" s="3"/>
      <c r="E30" s="3"/>
      <c r="F30" s="6"/>
      <c r="G30" s="1">
        <f t="shared" ca="1" si="0"/>
        <v>150294</v>
      </c>
      <c r="H30" s="13">
        <f t="shared" si="1"/>
        <v>105690</v>
      </c>
    </row>
    <row r="31" spans="1:8" ht="22.5" customHeight="1" x14ac:dyDescent="0.3">
      <c r="A31" s="10">
        <v>45806</v>
      </c>
      <c r="B31" s="4" t="s">
        <v>9</v>
      </c>
      <c r="C31" s="3">
        <v>156859</v>
      </c>
      <c r="D31" s="3"/>
      <c r="E31" s="3"/>
      <c r="F31" s="6"/>
      <c r="G31" s="1">
        <f t="shared" ca="1" si="0"/>
        <v>165409</v>
      </c>
      <c r="H31" s="13">
        <f t="shared" si="1"/>
        <v>159859</v>
      </c>
    </row>
    <row r="32" spans="1:8" ht="22.5" customHeight="1" x14ac:dyDescent="0.3">
      <c r="A32" s="10">
        <v>45807</v>
      </c>
      <c r="B32" s="5" t="s">
        <v>10</v>
      </c>
      <c r="C32" s="3">
        <v>186553</v>
      </c>
      <c r="D32" s="3"/>
      <c r="E32" s="3"/>
      <c r="F32" s="6"/>
      <c r="G32" s="1">
        <f t="shared" ca="1" si="0"/>
        <v>235153</v>
      </c>
      <c r="H32" s="13">
        <f t="shared" si="1"/>
        <v>189553</v>
      </c>
    </row>
    <row r="33" spans="1:8" ht="22.5" customHeight="1" x14ac:dyDescent="0.3">
      <c r="A33" s="10">
        <v>45808</v>
      </c>
      <c r="B33" s="5" t="s">
        <v>11</v>
      </c>
      <c r="C33" s="3">
        <v>236700</v>
      </c>
      <c r="D33" s="3"/>
      <c r="E33" s="3"/>
      <c r="F33" s="6"/>
      <c r="G33" s="1">
        <f t="shared" ca="1" si="0"/>
        <v>257526</v>
      </c>
      <c r="H33" s="13">
        <f t="shared" si="1"/>
        <v>239700</v>
      </c>
    </row>
  </sheetData>
  <mergeCells count="1">
    <mergeCell ref="A1:B1"/>
  </mergeCells>
  <conditionalFormatting sqref="A3:A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B3:B3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28E4-1178-458C-8E1C-49F5D758CBD2}">
  <dimension ref="A1:H33"/>
  <sheetViews>
    <sheetView topLeftCell="A7" workbookViewId="0">
      <selection activeCell="C3" sqref="C3:C32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8" ht="22.5" customHeight="1" x14ac:dyDescent="0.3">
      <c r="A1" s="14" t="s">
        <v>3</v>
      </c>
      <c r="B1" s="14"/>
      <c r="C1" s="3">
        <f>SUM(C3:C33)</f>
        <v>4865430</v>
      </c>
      <c r="D1" s="3">
        <f>SUM(D3:D33)</f>
        <v>0</v>
      </c>
      <c r="E1" s="3">
        <f>C1-D1</f>
        <v>4865430</v>
      </c>
      <c r="F1" s="6" t="s">
        <v>4</v>
      </c>
    </row>
    <row r="2" spans="1:8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IF(E2="土",RAND()*(250000-180000)+150000,IF(E2="日",RAND()*(200000-150000)+150000,RAND()*(150000-110000)+110000))</f>
        <v>123063.52289322739</v>
      </c>
    </row>
    <row r="3" spans="1:8" ht="22.5" customHeight="1" x14ac:dyDescent="0.3">
      <c r="A3" s="10">
        <v>45809</v>
      </c>
      <c r="B3" s="5" t="s">
        <v>12</v>
      </c>
      <c r="C3" s="3">
        <v>199631</v>
      </c>
      <c r="D3" s="3"/>
      <c r="E3" s="3"/>
      <c r="F3" s="6"/>
      <c r="G3" s="1">
        <f ca="1">IF(B3="月",RANDBETWEEN(100000,180000),
 IF(B3="火",RANDBETWEEN(100000,180000),
 IF(B3="水",RANDBETWEEN(100000,180000),
 IF(B3="木",RANDBETWEEN(150000,200000),
 IF(B3="金",RANDBETWEEN(170000,250000),
 IF(B3="土",RANDBETWEEN(250000,280000),
 IF(B3="日",RANDBETWEEN(170000,250000),
 "")))))))</f>
        <v>220305</v>
      </c>
      <c r="H3" s="13">
        <f>C3-2000</f>
        <v>197631</v>
      </c>
    </row>
    <row r="4" spans="1:8" ht="22.5" customHeight="1" x14ac:dyDescent="0.3">
      <c r="A4" s="10">
        <v>45810</v>
      </c>
      <c r="B4" s="4" t="s">
        <v>6</v>
      </c>
      <c r="C4" s="3">
        <v>116944</v>
      </c>
      <c r="D4" s="3"/>
      <c r="E4" s="3"/>
      <c r="F4" s="6"/>
      <c r="G4" s="1">
        <f t="shared" ref="G4:G32" ca="1" si="0">IF(B4="月",RANDBETWEEN(100000,180000),
 IF(B4="火",RANDBETWEEN(100000,180000),
 IF(B4="水",RANDBETWEEN(100000,180000),
 IF(B4="木",RANDBETWEEN(150000,200000),
 IF(B4="金",RANDBETWEEN(170000,250000),
 IF(B4="土",RANDBETWEEN(250000,280000),
 IF(B4="日",RANDBETWEEN(170000,250000),
 "")))))))</f>
        <v>134271</v>
      </c>
      <c r="H4" s="13">
        <f t="shared" ref="H4:H32" si="1">C4-2000</f>
        <v>114944</v>
      </c>
    </row>
    <row r="5" spans="1:8" ht="22.5" customHeight="1" x14ac:dyDescent="0.3">
      <c r="A5" s="10">
        <v>45811</v>
      </c>
      <c r="B5" s="4" t="s">
        <v>7</v>
      </c>
      <c r="C5" s="3">
        <v>107161</v>
      </c>
      <c r="D5" s="3"/>
      <c r="E5" s="3"/>
      <c r="F5" s="6"/>
      <c r="G5" s="1">
        <f t="shared" ca="1" si="0"/>
        <v>128827</v>
      </c>
      <c r="H5" s="13">
        <f t="shared" si="1"/>
        <v>105161</v>
      </c>
    </row>
    <row r="6" spans="1:8" ht="22.5" customHeight="1" x14ac:dyDescent="0.3">
      <c r="A6" s="10">
        <v>45812</v>
      </c>
      <c r="B6" s="4" t="s">
        <v>8</v>
      </c>
      <c r="C6" s="3">
        <v>108770</v>
      </c>
      <c r="D6" s="3"/>
      <c r="E6" s="3"/>
      <c r="F6" s="6"/>
      <c r="G6" s="1">
        <f t="shared" ca="1" si="0"/>
        <v>131108</v>
      </c>
      <c r="H6" s="13">
        <f t="shared" si="1"/>
        <v>106770</v>
      </c>
    </row>
    <row r="7" spans="1:8" ht="22.5" customHeight="1" x14ac:dyDescent="0.3">
      <c r="A7" s="10">
        <v>45813</v>
      </c>
      <c r="B7" s="4" t="s">
        <v>9</v>
      </c>
      <c r="C7" s="3">
        <v>137219</v>
      </c>
      <c r="D7" s="3"/>
      <c r="E7" s="3"/>
      <c r="F7" s="6"/>
      <c r="G7" s="1">
        <f t="shared" ca="1" si="0"/>
        <v>163741</v>
      </c>
      <c r="H7" s="13">
        <f t="shared" si="1"/>
        <v>135219</v>
      </c>
    </row>
    <row r="8" spans="1:8" ht="22.5" customHeight="1" x14ac:dyDescent="0.3">
      <c r="A8" s="10">
        <v>45814</v>
      </c>
      <c r="B8" s="5" t="s">
        <v>10</v>
      </c>
      <c r="C8" s="3">
        <v>204344</v>
      </c>
      <c r="D8" s="3"/>
      <c r="E8" s="6"/>
      <c r="F8" s="6"/>
      <c r="G8" s="1">
        <f t="shared" ca="1" si="0"/>
        <v>217259</v>
      </c>
      <c r="H8" s="13">
        <f t="shared" si="1"/>
        <v>202344</v>
      </c>
    </row>
    <row r="9" spans="1:8" ht="22.5" customHeight="1" x14ac:dyDescent="0.3">
      <c r="A9" s="10">
        <v>45815</v>
      </c>
      <c r="B9" s="5" t="s">
        <v>11</v>
      </c>
      <c r="C9" s="3">
        <v>238447</v>
      </c>
      <c r="D9" s="3"/>
      <c r="E9" s="3"/>
      <c r="F9" s="6"/>
      <c r="G9" s="1">
        <f t="shared" ca="1" si="0"/>
        <v>263423</v>
      </c>
      <c r="H9" s="13">
        <f t="shared" si="1"/>
        <v>236447</v>
      </c>
    </row>
    <row r="10" spans="1:8" ht="22.5" customHeight="1" x14ac:dyDescent="0.3">
      <c r="A10" s="10">
        <v>45816</v>
      </c>
      <c r="B10" s="5" t="s">
        <v>12</v>
      </c>
      <c r="C10" s="3">
        <v>150511</v>
      </c>
      <c r="D10" s="3"/>
      <c r="E10" s="3"/>
      <c r="F10" s="6"/>
      <c r="G10" s="1">
        <f t="shared" ca="1" si="0"/>
        <v>226160</v>
      </c>
      <c r="H10" s="13">
        <f t="shared" si="1"/>
        <v>148511</v>
      </c>
    </row>
    <row r="11" spans="1:8" ht="22.5" customHeight="1" x14ac:dyDescent="0.3">
      <c r="A11" s="10">
        <v>45817</v>
      </c>
      <c r="B11" s="4" t="s">
        <v>6</v>
      </c>
      <c r="C11" s="3">
        <v>123371</v>
      </c>
      <c r="D11" s="3"/>
      <c r="E11" s="3"/>
      <c r="F11" s="6"/>
      <c r="G11" s="1">
        <f t="shared" ca="1" si="0"/>
        <v>156371</v>
      </c>
      <c r="H11" s="13">
        <f t="shared" si="1"/>
        <v>121371</v>
      </c>
    </row>
    <row r="12" spans="1:8" ht="22.5" customHeight="1" x14ac:dyDescent="0.3">
      <c r="A12" s="10">
        <v>45818</v>
      </c>
      <c r="B12" s="4" t="s">
        <v>7</v>
      </c>
      <c r="C12" s="3">
        <v>149800</v>
      </c>
      <c r="D12" s="3"/>
      <c r="E12" s="3"/>
      <c r="F12" s="6"/>
      <c r="G12" s="1">
        <f t="shared" ca="1" si="0"/>
        <v>146118</v>
      </c>
      <c r="H12" s="13">
        <f t="shared" si="1"/>
        <v>147800</v>
      </c>
    </row>
    <row r="13" spans="1:8" ht="22.5" customHeight="1" x14ac:dyDescent="0.3">
      <c r="A13" s="10">
        <v>45819</v>
      </c>
      <c r="B13" s="4" t="s">
        <v>8</v>
      </c>
      <c r="C13" s="3">
        <v>153019</v>
      </c>
      <c r="D13" s="3"/>
      <c r="E13" s="3"/>
      <c r="F13" s="6"/>
      <c r="G13" s="1">
        <f t="shared" ca="1" si="0"/>
        <v>127901</v>
      </c>
      <c r="H13" s="13">
        <f t="shared" si="1"/>
        <v>151019</v>
      </c>
    </row>
    <row r="14" spans="1:8" ht="22.5" customHeight="1" x14ac:dyDescent="0.3">
      <c r="A14" s="10">
        <v>45820</v>
      </c>
      <c r="B14" s="4" t="s">
        <v>9</v>
      </c>
      <c r="C14" s="3">
        <v>133906</v>
      </c>
      <c r="D14" s="3"/>
      <c r="E14" s="3"/>
      <c r="F14" s="6"/>
      <c r="G14" s="1">
        <f t="shared" ca="1" si="0"/>
        <v>174413</v>
      </c>
      <c r="H14" s="13">
        <f t="shared" si="1"/>
        <v>131906</v>
      </c>
    </row>
    <row r="15" spans="1:8" ht="22.5" customHeight="1" x14ac:dyDescent="0.3">
      <c r="A15" s="10">
        <v>45821</v>
      </c>
      <c r="B15" s="5" t="s">
        <v>10</v>
      </c>
      <c r="C15" s="3">
        <v>199637</v>
      </c>
      <c r="D15" s="3"/>
      <c r="E15" s="3"/>
      <c r="F15" s="6"/>
      <c r="G15" s="1">
        <f t="shared" ca="1" si="0"/>
        <v>222147</v>
      </c>
      <c r="H15" s="13">
        <f t="shared" si="1"/>
        <v>197637</v>
      </c>
    </row>
    <row r="16" spans="1:8" ht="22.5" customHeight="1" x14ac:dyDescent="0.3">
      <c r="A16" s="10">
        <v>45822</v>
      </c>
      <c r="B16" s="5" t="s">
        <v>11</v>
      </c>
      <c r="C16" s="3">
        <v>242664</v>
      </c>
      <c r="D16" s="3"/>
      <c r="E16" s="3"/>
      <c r="F16" s="6"/>
      <c r="G16" s="1">
        <f t="shared" ca="1" si="0"/>
        <v>250969</v>
      </c>
      <c r="H16" s="13">
        <f t="shared" si="1"/>
        <v>240664</v>
      </c>
    </row>
    <row r="17" spans="1:8" ht="22.5" customHeight="1" x14ac:dyDescent="0.3">
      <c r="A17" s="10">
        <v>45823</v>
      </c>
      <c r="B17" s="5" t="s">
        <v>12</v>
      </c>
      <c r="C17" s="3">
        <v>156647</v>
      </c>
      <c r="D17" s="3"/>
      <c r="E17" s="3"/>
      <c r="F17" s="6"/>
      <c r="G17" s="1">
        <f t="shared" ca="1" si="0"/>
        <v>236944</v>
      </c>
      <c r="H17" s="13">
        <f t="shared" si="1"/>
        <v>154647</v>
      </c>
    </row>
    <row r="18" spans="1:8" ht="22.5" customHeight="1" x14ac:dyDescent="0.3">
      <c r="A18" s="10">
        <v>45824</v>
      </c>
      <c r="B18" s="4" t="s">
        <v>6</v>
      </c>
      <c r="C18" s="3">
        <v>142277</v>
      </c>
      <c r="D18" s="3"/>
      <c r="E18" s="3"/>
      <c r="F18" s="6"/>
      <c r="G18" s="1">
        <f t="shared" ca="1" si="0"/>
        <v>173310</v>
      </c>
      <c r="H18" s="13">
        <f t="shared" si="1"/>
        <v>140277</v>
      </c>
    </row>
    <row r="19" spans="1:8" ht="22.5" customHeight="1" x14ac:dyDescent="0.3">
      <c r="A19" s="10">
        <v>45825</v>
      </c>
      <c r="B19" s="4" t="s">
        <v>7</v>
      </c>
      <c r="C19" s="3">
        <v>114575</v>
      </c>
      <c r="D19" s="3"/>
      <c r="E19" s="3"/>
      <c r="F19" s="6"/>
      <c r="G19" s="1">
        <f t="shared" ca="1" si="0"/>
        <v>154508</v>
      </c>
      <c r="H19" s="13">
        <f t="shared" si="1"/>
        <v>112575</v>
      </c>
    </row>
    <row r="20" spans="1:8" ht="22.5" customHeight="1" x14ac:dyDescent="0.3">
      <c r="A20" s="10">
        <v>45826</v>
      </c>
      <c r="B20" s="4" t="s">
        <v>8</v>
      </c>
      <c r="C20" s="3">
        <v>125478</v>
      </c>
      <c r="D20" s="3"/>
      <c r="E20" s="3"/>
      <c r="F20" s="6"/>
      <c r="G20" s="1">
        <f t="shared" ca="1" si="0"/>
        <v>154720</v>
      </c>
      <c r="H20" s="13">
        <f t="shared" si="1"/>
        <v>123478</v>
      </c>
    </row>
    <row r="21" spans="1:8" ht="22.5" customHeight="1" x14ac:dyDescent="0.3">
      <c r="A21" s="10">
        <v>45827</v>
      </c>
      <c r="B21" s="4" t="s">
        <v>9</v>
      </c>
      <c r="C21" s="3">
        <v>162811</v>
      </c>
      <c r="D21" s="3"/>
      <c r="E21" s="3"/>
      <c r="F21" s="6"/>
      <c r="G21" s="1">
        <f t="shared" ca="1" si="0"/>
        <v>163155</v>
      </c>
      <c r="H21" s="13">
        <f t="shared" si="1"/>
        <v>160811</v>
      </c>
    </row>
    <row r="22" spans="1:8" ht="22.5" customHeight="1" x14ac:dyDescent="0.3">
      <c r="A22" s="10">
        <v>45828</v>
      </c>
      <c r="B22" s="5" t="s">
        <v>10</v>
      </c>
      <c r="C22" s="3">
        <v>197538</v>
      </c>
      <c r="D22" s="3"/>
      <c r="E22" s="3"/>
      <c r="F22" s="6"/>
      <c r="G22" s="1">
        <f t="shared" ca="1" si="0"/>
        <v>174285</v>
      </c>
      <c r="H22" s="13">
        <f t="shared" si="1"/>
        <v>195538</v>
      </c>
    </row>
    <row r="23" spans="1:8" ht="22.5" customHeight="1" x14ac:dyDescent="0.3">
      <c r="A23" s="10">
        <v>45829</v>
      </c>
      <c r="B23" s="5" t="s">
        <v>11</v>
      </c>
      <c r="C23" s="3">
        <v>241631</v>
      </c>
      <c r="D23" s="3"/>
      <c r="E23" s="3"/>
      <c r="F23" s="6"/>
      <c r="G23" s="1">
        <f t="shared" ca="1" si="0"/>
        <v>265794</v>
      </c>
      <c r="H23" s="13">
        <f t="shared" si="1"/>
        <v>239631</v>
      </c>
    </row>
    <row r="24" spans="1:8" ht="22.5" customHeight="1" x14ac:dyDescent="0.3">
      <c r="A24" s="10">
        <v>45830</v>
      </c>
      <c r="B24" s="5" t="s">
        <v>12</v>
      </c>
      <c r="C24" s="3">
        <v>221813</v>
      </c>
      <c r="D24" s="3"/>
      <c r="E24" s="3"/>
      <c r="F24" s="6"/>
      <c r="G24" s="1">
        <f t="shared" ca="1" si="0"/>
        <v>249103</v>
      </c>
      <c r="H24" s="13">
        <f t="shared" si="1"/>
        <v>219813</v>
      </c>
    </row>
    <row r="25" spans="1:8" ht="22.5" customHeight="1" x14ac:dyDescent="0.3">
      <c r="A25" s="10">
        <v>45831</v>
      </c>
      <c r="B25" s="4" t="s">
        <v>6</v>
      </c>
      <c r="C25" s="3">
        <v>80701</v>
      </c>
      <c r="D25" s="3"/>
      <c r="E25" s="3"/>
      <c r="F25" s="6"/>
      <c r="G25" s="1">
        <f t="shared" ca="1" si="0"/>
        <v>109904</v>
      </c>
      <c r="H25" s="13">
        <f t="shared" si="1"/>
        <v>78701</v>
      </c>
    </row>
    <row r="26" spans="1:8" ht="22.5" customHeight="1" x14ac:dyDescent="0.3">
      <c r="A26" s="10">
        <v>45832</v>
      </c>
      <c r="B26" s="4" t="s">
        <v>7</v>
      </c>
      <c r="C26" s="3">
        <v>143734</v>
      </c>
      <c r="D26" s="3"/>
      <c r="E26" s="3"/>
      <c r="F26" s="6"/>
      <c r="G26" s="1">
        <f t="shared" ca="1" si="0"/>
        <v>121319</v>
      </c>
      <c r="H26" s="13">
        <f t="shared" si="1"/>
        <v>141734</v>
      </c>
    </row>
    <row r="27" spans="1:8" ht="22.5" customHeight="1" x14ac:dyDescent="0.3">
      <c r="A27" s="10">
        <v>45833</v>
      </c>
      <c r="B27" s="4" t="s">
        <v>8</v>
      </c>
      <c r="C27" s="3">
        <v>155542</v>
      </c>
      <c r="D27" s="3"/>
      <c r="E27" s="3"/>
      <c r="F27" s="6"/>
      <c r="G27" s="1">
        <f t="shared" ca="1" si="0"/>
        <v>174212</v>
      </c>
      <c r="H27" s="13">
        <f t="shared" si="1"/>
        <v>153542</v>
      </c>
    </row>
    <row r="28" spans="1:8" ht="22.5" customHeight="1" x14ac:dyDescent="0.3">
      <c r="A28" s="10">
        <v>45834</v>
      </c>
      <c r="B28" s="4" t="s">
        <v>9</v>
      </c>
      <c r="C28" s="3">
        <v>137212</v>
      </c>
      <c r="D28" s="3"/>
      <c r="E28" s="3"/>
      <c r="F28" s="6"/>
      <c r="G28" s="1">
        <f t="shared" ca="1" si="0"/>
        <v>188555</v>
      </c>
      <c r="H28" s="13">
        <f t="shared" si="1"/>
        <v>135212</v>
      </c>
    </row>
    <row r="29" spans="1:8" ht="22.5" customHeight="1" x14ac:dyDescent="0.3">
      <c r="A29" s="10">
        <v>45835</v>
      </c>
      <c r="B29" s="5" t="s">
        <v>10</v>
      </c>
      <c r="C29" s="3">
        <v>201821</v>
      </c>
      <c r="D29" s="3"/>
      <c r="E29" s="3"/>
      <c r="F29" s="6"/>
      <c r="G29" s="1">
        <f t="shared" ca="1" si="0"/>
        <v>187217</v>
      </c>
      <c r="H29" s="13">
        <f t="shared" si="1"/>
        <v>199821</v>
      </c>
    </row>
    <row r="30" spans="1:8" ht="22.5" customHeight="1" x14ac:dyDescent="0.3">
      <c r="A30" s="10">
        <v>45836</v>
      </c>
      <c r="B30" s="5" t="s">
        <v>11</v>
      </c>
      <c r="C30" s="3">
        <v>230382</v>
      </c>
      <c r="D30" s="3"/>
      <c r="E30" s="3"/>
      <c r="F30" s="6"/>
      <c r="G30" s="1">
        <f t="shared" ca="1" si="0"/>
        <v>273317</v>
      </c>
      <c r="H30" s="13">
        <f t="shared" si="1"/>
        <v>228382</v>
      </c>
    </row>
    <row r="31" spans="1:8" ht="22.5" customHeight="1" x14ac:dyDescent="0.3">
      <c r="A31" s="10">
        <v>45837</v>
      </c>
      <c r="B31" s="5" t="s">
        <v>12</v>
      </c>
      <c r="C31" s="3">
        <v>155468</v>
      </c>
      <c r="D31" s="3"/>
      <c r="E31" s="3"/>
      <c r="F31" s="6"/>
      <c r="G31" s="1">
        <f t="shared" ca="1" si="0"/>
        <v>208389</v>
      </c>
      <c r="H31" s="13">
        <f t="shared" si="1"/>
        <v>153468</v>
      </c>
    </row>
    <row r="32" spans="1:8" ht="22.5" customHeight="1" x14ac:dyDescent="0.3">
      <c r="A32" s="10">
        <v>45838</v>
      </c>
      <c r="B32" s="4" t="s">
        <v>6</v>
      </c>
      <c r="C32" s="3">
        <v>132376</v>
      </c>
      <c r="D32" s="3"/>
      <c r="E32" s="3"/>
      <c r="F32" s="6"/>
      <c r="G32" s="1">
        <f t="shared" ca="1" si="0"/>
        <v>163512</v>
      </c>
      <c r="H32" s="13">
        <f t="shared" si="1"/>
        <v>130376</v>
      </c>
    </row>
    <row r="33" spans="1:6" ht="22.5" customHeight="1" x14ac:dyDescent="0.3">
      <c r="A33" s="4"/>
      <c r="B33" s="4"/>
      <c r="C33" s="3"/>
      <c r="D33" s="3"/>
      <c r="E33" s="3"/>
      <c r="F33" s="6"/>
    </row>
  </sheetData>
  <mergeCells count="1">
    <mergeCell ref="A1:B1"/>
  </mergeCells>
  <conditionalFormatting sqref="A3:A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3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A33:B33 D3:D33 B3:B3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9F0E-C2C8-421C-9961-0E83B3B829ED}">
  <dimension ref="A1:H33"/>
  <sheetViews>
    <sheetView topLeftCell="A9" workbookViewId="0">
      <selection activeCell="C3" sqref="C3:C33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8" ht="22.5" customHeight="1" x14ac:dyDescent="0.3">
      <c r="A1" s="14" t="s">
        <v>3</v>
      </c>
      <c r="B1" s="14"/>
      <c r="C1" s="3">
        <f>SUM(C3:C33)</f>
        <v>4641830</v>
      </c>
      <c r="D1" s="3">
        <f>SUM(D3:D33)</f>
        <v>0</v>
      </c>
      <c r="E1" s="3">
        <f>C1-D1</f>
        <v>4641830</v>
      </c>
      <c r="F1" s="6" t="s">
        <v>4</v>
      </c>
    </row>
    <row r="2" spans="1:8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IF(E2="土",RAND()*(250000-180000)+150000,IF(E2="日",RAND()*(200000-150000)+150000,RAND()*(150000-110000)+110000))</f>
        <v>146770.34557383467</v>
      </c>
    </row>
    <row r="3" spans="1:8" ht="22.5" customHeight="1" x14ac:dyDescent="0.3">
      <c r="A3" s="10">
        <v>45839</v>
      </c>
      <c r="B3" s="4" t="s">
        <v>7</v>
      </c>
      <c r="C3" s="3">
        <v>97368</v>
      </c>
      <c r="D3" s="3"/>
      <c r="E3" s="3"/>
      <c r="F3" s="6"/>
      <c r="G3" s="1">
        <f ca="1">IF(B3="月",RANDBETWEEN(100000,180000),
 IF(B3="火",RANDBETWEEN(100000,180000),
 IF(B3="水",RANDBETWEEN(100000,180000),
 IF(B3="木",RANDBETWEEN(150000,200000),
 IF(B3="金",RANDBETWEEN(170000,250000),
 IF(B3="土",RANDBETWEEN(250000,280000),
 IF(B3="日",RANDBETWEEN(170000,250000),
 "")))))))</f>
        <v>102354</v>
      </c>
      <c r="H3" s="13">
        <f>C3-3000</f>
        <v>94368</v>
      </c>
    </row>
    <row r="4" spans="1:8" ht="22.5" customHeight="1" x14ac:dyDescent="0.3">
      <c r="A4" s="10">
        <v>45840</v>
      </c>
      <c r="B4" s="4" t="s">
        <v>8</v>
      </c>
      <c r="C4" s="3">
        <v>142338</v>
      </c>
      <c r="D4" s="3"/>
      <c r="E4" s="3"/>
      <c r="F4" s="6"/>
      <c r="G4" s="1">
        <f t="shared" ref="G4:G33" ca="1" si="0">IF(B4="月",RANDBETWEEN(100000,180000),
 IF(B4="火",RANDBETWEEN(100000,180000),
 IF(B4="水",RANDBETWEEN(100000,180000),
 IF(B4="木",RANDBETWEEN(150000,200000),
 IF(B4="金",RANDBETWEEN(170000,250000),
 IF(B4="土",RANDBETWEEN(250000,280000),
 IF(B4="日",RANDBETWEEN(170000,250000),
 "")))))))</f>
        <v>157322</v>
      </c>
      <c r="H4" s="13">
        <f t="shared" ref="H4:H33" si="1">C4-3000</f>
        <v>139338</v>
      </c>
    </row>
    <row r="5" spans="1:8" ht="22.5" customHeight="1" x14ac:dyDescent="0.3">
      <c r="A5" s="10">
        <v>45841</v>
      </c>
      <c r="B5" s="4" t="s">
        <v>9</v>
      </c>
      <c r="C5" s="3">
        <v>154137</v>
      </c>
      <c r="D5" s="3"/>
      <c r="E5" s="3"/>
      <c r="F5" s="6"/>
      <c r="G5" s="1">
        <f t="shared" ca="1" si="0"/>
        <v>160455</v>
      </c>
      <c r="H5" s="13">
        <f t="shared" si="1"/>
        <v>151137</v>
      </c>
    </row>
    <row r="6" spans="1:8" ht="22.5" customHeight="1" x14ac:dyDescent="0.3">
      <c r="A6" s="10">
        <v>45842</v>
      </c>
      <c r="B6" s="5" t="s">
        <v>10</v>
      </c>
      <c r="C6" s="3">
        <v>155863</v>
      </c>
      <c r="D6" s="3"/>
      <c r="E6" s="3"/>
      <c r="F6" s="6"/>
      <c r="G6" s="1">
        <f t="shared" ca="1" si="0"/>
        <v>172423</v>
      </c>
      <c r="H6" s="13">
        <f t="shared" si="1"/>
        <v>152863</v>
      </c>
    </row>
    <row r="7" spans="1:8" ht="22.5" customHeight="1" x14ac:dyDescent="0.3">
      <c r="A7" s="10">
        <v>45843</v>
      </c>
      <c r="B7" s="5" t="s">
        <v>11</v>
      </c>
      <c r="C7" s="3">
        <v>248751</v>
      </c>
      <c r="D7" s="3"/>
      <c r="E7" s="3"/>
      <c r="F7" s="6"/>
      <c r="G7" s="1">
        <f t="shared" ca="1" si="0"/>
        <v>257148</v>
      </c>
      <c r="H7" s="13">
        <f t="shared" si="1"/>
        <v>245751</v>
      </c>
    </row>
    <row r="8" spans="1:8" ht="22.5" customHeight="1" x14ac:dyDescent="0.3">
      <c r="A8" s="10">
        <v>45844</v>
      </c>
      <c r="B8" s="5" t="s">
        <v>12</v>
      </c>
      <c r="C8" s="3">
        <v>195998</v>
      </c>
      <c r="D8" s="3"/>
      <c r="E8" s="6"/>
      <c r="F8" s="6"/>
      <c r="G8" s="1">
        <f t="shared" ca="1" si="0"/>
        <v>211602</v>
      </c>
      <c r="H8" s="13">
        <f t="shared" si="1"/>
        <v>192998</v>
      </c>
    </row>
    <row r="9" spans="1:8" ht="22.5" customHeight="1" x14ac:dyDescent="0.3">
      <c r="A9" s="10">
        <v>45845</v>
      </c>
      <c r="B9" s="4" t="s">
        <v>6</v>
      </c>
      <c r="C9" s="3">
        <v>80684</v>
      </c>
      <c r="D9" s="3"/>
      <c r="E9" s="3"/>
      <c r="F9" s="6"/>
      <c r="G9" s="1">
        <f t="shared" ca="1" si="0"/>
        <v>128729</v>
      </c>
      <c r="H9" s="13">
        <f t="shared" si="1"/>
        <v>77684</v>
      </c>
    </row>
    <row r="10" spans="1:8" ht="22.5" customHeight="1" x14ac:dyDescent="0.3">
      <c r="A10" s="10">
        <v>45846</v>
      </c>
      <c r="B10" s="4" t="s">
        <v>7</v>
      </c>
      <c r="C10" s="3">
        <v>116261</v>
      </c>
      <c r="D10" s="3"/>
      <c r="E10" s="3"/>
      <c r="F10" s="6"/>
      <c r="G10" s="1">
        <f t="shared" ca="1" si="0"/>
        <v>175011</v>
      </c>
      <c r="H10" s="13">
        <f t="shared" si="1"/>
        <v>113261</v>
      </c>
    </row>
    <row r="11" spans="1:8" ht="22.5" customHeight="1" x14ac:dyDescent="0.3">
      <c r="A11" s="10">
        <v>45847</v>
      </c>
      <c r="B11" s="4" t="s">
        <v>8</v>
      </c>
      <c r="C11" s="3">
        <v>107966</v>
      </c>
      <c r="D11" s="3"/>
      <c r="E11" s="3"/>
      <c r="F11" s="6"/>
      <c r="G11" s="1">
        <f t="shared" ca="1" si="0"/>
        <v>164643</v>
      </c>
      <c r="H11" s="13">
        <f t="shared" si="1"/>
        <v>104966</v>
      </c>
    </row>
    <row r="12" spans="1:8" ht="22.5" customHeight="1" x14ac:dyDescent="0.3">
      <c r="A12" s="10">
        <v>45848</v>
      </c>
      <c r="B12" s="4" t="s">
        <v>9</v>
      </c>
      <c r="C12" s="3">
        <v>142396</v>
      </c>
      <c r="D12" s="3"/>
      <c r="E12" s="3"/>
      <c r="F12" s="6"/>
      <c r="G12" s="1">
        <f t="shared" ca="1" si="0"/>
        <v>197401</v>
      </c>
      <c r="H12" s="13">
        <f t="shared" si="1"/>
        <v>139396</v>
      </c>
    </row>
    <row r="13" spans="1:8" ht="22.5" customHeight="1" x14ac:dyDescent="0.3">
      <c r="A13" s="10">
        <v>45849</v>
      </c>
      <c r="B13" s="5" t="s">
        <v>10</v>
      </c>
      <c r="C13" s="3">
        <v>213227</v>
      </c>
      <c r="D13" s="3"/>
      <c r="E13" s="3"/>
      <c r="F13" s="6"/>
      <c r="G13" s="1">
        <f t="shared" ca="1" si="0"/>
        <v>238143</v>
      </c>
      <c r="H13" s="13">
        <f t="shared" si="1"/>
        <v>210227</v>
      </c>
    </row>
    <row r="14" spans="1:8" ht="22.5" customHeight="1" x14ac:dyDescent="0.3">
      <c r="A14" s="10">
        <v>45850</v>
      </c>
      <c r="B14" s="5" t="s">
        <v>11</v>
      </c>
      <c r="C14" s="3">
        <v>226976</v>
      </c>
      <c r="D14" s="3"/>
      <c r="E14" s="3"/>
      <c r="F14" s="6"/>
      <c r="G14" s="1">
        <f t="shared" ca="1" si="0"/>
        <v>279975</v>
      </c>
      <c r="H14" s="13">
        <f t="shared" si="1"/>
        <v>223976</v>
      </c>
    </row>
    <row r="15" spans="1:8" ht="22.5" customHeight="1" x14ac:dyDescent="0.3">
      <c r="A15" s="10">
        <v>45851</v>
      </c>
      <c r="B15" s="5" t="s">
        <v>12</v>
      </c>
      <c r="C15" s="3">
        <v>191563</v>
      </c>
      <c r="D15" s="3"/>
      <c r="E15" s="3"/>
      <c r="F15" s="6"/>
      <c r="G15" s="1">
        <f t="shared" ca="1" si="0"/>
        <v>198264</v>
      </c>
      <c r="H15" s="13">
        <f t="shared" si="1"/>
        <v>188563</v>
      </c>
    </row>
    <row r="16" spans="1:8" ht="22.5" customHeight="1" x14ac:dyDescent="0.3">
      <c r="A16" s="10">
        <v>45852</v>
      </c>
      <c r="B16" s="4" t="s">
        <v>6</v>
      </c>
      <c r="C16" s="3">
        <v>97375</v>
      </c>
      <c r="D16" s="3"/>
      <c r="E16" s="3"/>
      <c r="F16" s="6"/>
      <c r="G16" s="1">
        <f t="shared" ca="1" si="0"/>
        <v>118132</v>
      </c>
      <c r="H16" s="13">
        <f t="shared" si="1"/>
        <v>94375</v>
      </c>
    </row>
    <row r="17" spans="1:8" ht="22.5" customHeight="1" x14ac:dyDescent="0.3">
      <c r="A17" s="10">
        <v>45853</v>
      </c>
      <c r="B17" s="4" t="s">
        <v>7</v>
      </c>
      <c r="C17" s="3">
        <v>118633</v>
      </c>
      <c r="D17" s="3"/>
      <c r="E17" s="3"/>
      <c r="F17" s="6"/>
      <c r="G17" s="1">
        <f t="shared" ca="1" si="0"/>
        <v>170920</v>
      </c>
      <c r="H17" s="13">
        <f t="shared" si="1"/>
        <v>115633</v>
      </c>
    </row>
    <row r="18" spans="1:8" ht="22.5" customHeight="1" x14ac:dyDescent="0.3">
      <c r="A18" s="10">
        <v>45854</v>
      </c>
      <c r="B18" s="4" t="s">
        <v>8</v>
      </c>
      <c r="C18" s="3">
        <v>101973</v>
      </c>
      <c r="D18" s="3"/>
      <c r="E18" s="3"/>
      <c r="F18" s="6"/>
      <c r="G18" s="1">
        <f t="shared" ca="1" si="0"/>
        <v>100679</v>
      </c>
      <c r="H18" s="13">
        <f t="shared" si="1"/>
        <v>98973</v>
      </c>
    </row>
    <row r="19" spans="1:8" ht="22.5" customHeight="1" x14ac:dyDescent="0.3">
      <c r="A19" s="10">
        <v>45855</v>
      </c>
      <c r="B19" s="4" t="s">
        <v>9</v>
      </c>
      <c r="C19" s="3">
        <v>132276</v>
      </c>
      <c r="D19" s="3"/>
      <c r="E19" s="3"/>
      <c r="F19" s="6"/>
      <c r="G19" s="1">
        <f t="shared" ca="1" si="0"/>
        <v>186519</v>
      </c>
      <c r="H19" s="13">
        <f t="shared" si="1"/>
        <v>129276</v>
      </c>
    </row>
    <row r="20" spans="1:8" ht="22.5" customHeight="1" x14ac:dyDescent="0.3">
      <c r="A20" s="10">
        <v>45856</v>
      </c>
      <c r="B20" s="5" t="s">
        <v>10</v>
      </c>
      <c r="C20" s="3">
        <v>156504</v>
      </c>
      <c r="D20" s="3"/>
      <c r="E20" s="3"/>
      <c r="F20" s="6"/>
      <c r="G20" s="1">
        <f t="shared" ca="1" si="0"/>
        <v>233794</v>
      </c>
      <c r="H20" s="13">
        <f t="shared" si="1"/>
        <v>153504</v>
      </c>
    </row>
    <row r="21" spans="1:8" ht="22.5" customHeight="1" x14ac:dyDescent="0.3">
      <c r="A21" s="10">
        <v>45857</v>
      </c>
      <c r="B21" s="5" t="s">
        <v>11</v>
      </c>
      <c r="C21" s="3">
        <v>236444</v>
      </c>
      <c r="D21" s="3"/>
      <c r="E21" s="3"/>
      <c r="F21" s="6"/>
      <c r="G21" s="1">
        <f t="shared" ca="1" si="0"/>
        <v>257974</v>
      </c>
      <c r="H21" s="13">
        <f t="shared" si="1"/>
        <v>233444</v>
      </c>
    </row>
    <row r="22" spans="1:8" ht="22.5" customHeight="1" x14ac:dyDescent="0.3">
      <c r="A22" s="10">
        <v>45858</v>
      </c>
      <c r="B22" s="5" t="s">
        <v>12</v>
      </c>
      <c r="C22" s="3">
        <v>185464</v>
      </c>
      <c r="D22" s="3"/>
      <c r="E22" s="3"/>
      <c r="F22" s="6"/>
      <c r="G22" s="1">
        <f t="shared" ca="1" si="0"/>
        <v>222504</v>
      </c>
      <c r="H22" s="13">
        <f t="shared" si="1"/>
        <v>182464</v>
      </c>
    </row>
    <row r="23" spans="1:8" ht="22.5" customHeight="1" x14ac:dyDescent="0.3">
      <c r="A23" s="10">
        <v>45859</v>
      </c>
      <c r="B23" s="4" t="s">
        <v>6</v>
      </c>
      <c r="C23" s="3">
        <v>115722</v>
      </c>
      <c r="D23" s="3"/>
      <c r="E23" s="3"/>
      <c r="F23" s="6"/>
      <c r="G23" s="1">
        <f t="shared" ca="1" si="0"/>
        <v>100569</v>
      </c>
      <c r="H23" s="13">
        <f t="shared" si="1"/>
        <v>112722</v>
      </c>
    </row>
    <row r="24" spans="1:8" ht="22.5" customHeight="1" x14ac:dyDescent="0.3">
      <c r="A24" s="10">
        <v>45860</v>
      </c>
      <c r="B24" s="4" t="s">
        <v>7</v>
      </c>
      <c r="C24" s="3">
        <v>100517</v>
      </c>
      <c r="D24" s="3"/>
      <c r="E24" s="3"/>
      <c r="F24" s="6"/>
      <c r="G24" s="1">
        <f t="shared" ca="1" si="0"/>
        <v>133216</v>
      </c>
      <c r="H24" s="13">
        <f t="shared" si="1"/>
        <v>97517</v>
      </c>
    </row>
    <row r="25" spans="1:8" ht="22.5" customHeight="1" x14ac:dyDescent="0.3">
      <c r="A25" s="10">
        <v>45861</v>
      </c>
      <c r="B25" s="4" t="s">
        <v>8</v>
      </c>
      <c r="C25" s="3">
        <v>144579</v>
      </c>
      <c r="D25" s="3"/>
      <c r="E25" s="3"/>
      <c r="F25" s="6"/>
      <c r="G25" s="1">
        <f t="shared" ca="1" si="0"/>
        <v>157275</v>
      </c>
      <c r="H25" s="13">
        <f t="shared" si="1"/>
        <v>141579</v>
      </c>
    </row>
    <row r="26" spans="1:8" ht="22.5" customHeight="1" x14ac:dyDescent="0.3">
      <c r="A26" s="10">
        <v>45862</v>
      </c>
      <c r="B26" s="4" t="s">
        <v>9</v>
      </c>
      <c r="C26" s="3">
        <v>129444</v>
      </c>
      <c r="D26" s="3"/>
      <c r="E26" s="3"/>
      <c r="F26" s="6"/>
      <c r="G26" s="1">
        <f t="shared" ca="1" si="0"/>
        <v>174020</v>
      </c>
      <c r="H26" s="13">
        <f t="shared" si="1"/>
        <v>126444</v>
      </c>
    </row>
    <row r="27" spans="1:8" ht="22.5" customHeight="1" x14ac:dyDescent="0.3">
      <c r="A27" s="10">
        <v>45863</v>
      </c>
      <c r="B27" s="5" t="s">
        <v>10</v>
      </c>
      <c r="C27" s="3">
        <v>194745</v>
      </c>
      <c r="D27" s="3"/>
      <c r="E27" s="3"/>
      <c r="F27" s="6"/>
      <c r="G27" s="1">
        <f t="shared" ca="1" si="0"/>
        <v>216592</v>
      </c>
      <c r="H27" s="13">
        <f t="shared" si="1"/>
        <v>191745</v>
      </c>
    </row>
    <row r="28" spans="1:8" ht="22.5" customHeight="1" x14ac:dyDescent="0.3">
      <c r="A28" s="10">
        <v>45864</v>
      </c>
      <c r="B28" s="5" t="s">
        <v>11</v>
      </c>
      <c r="C28" s="3">
        <v>250558</v>
      </c>
      <c r="D28" s="3"/>
      <c r="E28" s="3"/>
      <c r="F28" s="6"/>
      <c r="G28" s="1">
        <f t="shared" ca="1" si="0"/>
        <v>256225</v>
      </c>
      <c r="H28" s="13">
        <f t="shared" si="1"/>
        <v>247558</v>
      </c>
    </row>
    <row r="29" spans="1:8" ht="22.5" customHeight="1" x14ac:dyDescent="0.3">
      <c r="A29" s="10">
        <v>45865</v>
      </c>
      <c r="B29" s="5" t="s">
        <v>12</v>
      </c>
      <c r="C29" s="3">
        <v>166608</v>
      </c>
      <c r="D29" s="3"/>
      <c r="E29" s="3"/>
      <c r="F29" s="6"/>
      <c r="G29" s="1">
        <f t="shared" ca="1" si="0"/>
        <v>185988</v>
      </c>
      <c r="H29" s="13">
        <f t="shared" si="1"/>
        <v>163608</v>
      </c>
    </row>
    <row r="30" spans="1:8" ht="22.5" customHeight="1" x14ac:dyDescent="0.3">
      <c r="A30" s="10">
        <v>45866</v>
      </c>
      <c r="B30" s="4" t="s">
        <v>6</v>
      </c>
      <c r="C30" s="3">
        <v>96499</v>
      </c>
      <c r="D30" s="3"/>
      <c r="E30" s="3"/>
      <c r="F30" s="6"/>
      <c r="G30" s="1">
        <f t="shared" ca="1" si="0"/>
        <v>179857</v>
      </c>
      <c r="H30" s="13">
        <f t="shared" si="1"/>
        <v>93499</v>
      </c>
    </row>
    <row r="31" spans="1:8" ht="22.5" customHeight="1" x14ac:dyDescent="0.3">
      <c r="A31" s="10">
        <v>45867</v>
      </c>
      <c r="B31" s="4" t="s">
        <v>7</v>
      </c>
      <c r="C31" s="3">
        <v>141719</v>
      </c>
      <c r="D31" s="3"/>
      <c r="E31" s="3"/>
      <c r="F31" s="6"/>
      <c r="G31" s="1">
        <f t="shared" ca="1" si="0"/>
        <v>120369</v>
      </c>
      <c r="H31" s="13">
        <f t="shared" si="1"/>
        <v>138719</v>
      </c>
    </row>
    <row r="32" spans="1:8" ht="22.5" customHeight="1" x14ac:dyDescent="0.3">
      <c r="A32" s="10">
        <v>45868</v>
      </c>
      <c r="B32" s="4" t="s">
        <v>8</v>
      </c>
      <c r="C32" s="3">
        <v>74956</v>
      </c>
      <c r="D32" s="3"/>
      <c r="E32" s="3"/>
      <c r="F32" s="6"/>
      <c r="G32" s="1">
        <f t="shared" ca="1" si="0"/>
        <v>101707</v>
      </c>
      <c r="H32" s="13">
        <f t="shared" si="1"/>
        <v>71956</v>
      </c>
    </row>
    <row r="33" spans="1:8" ht="22.5" customHeight="1" x14ac:dyDescent="0.3">
      <c r="A33" s="10">
        <v>45869</v>
      </c>
      <c r="B33" s="4" t="s">
        <v>9</v>
      </c>
      <c r="C33" s="3">
        <v>124286</v>
      </c>
      <c r="D33" s="3"/>
      <c r="E33" s="3"/>
      <c r="F33" s="6"/>
      <c r="G33" s="1">
        <f t="shared" ca="1" si="0"/>
        <v>191490</v>
      </c>
      <c r="H33" s="13">
        <f t="shared" si="1"/>
        <v>121286</v>
      </c>
    </row>
  </sheetData>
  <mergeCells count="1">
    <mergeCell ref="A1:B1"/>
  </mergeCells>
  <conditionalFormatting sqref="A3:A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B3:B33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296A-B8F2-43BE-AE85-4190F9E8F90D}">
  <dimension ref="A1:H33"/>
  <sheetViews>
    <sheetView workbookViewId="0">
      <selection activeCell="C3" sqref="C3:C33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8" ht="22.5" customHeight="1" x14ac:dyDescent="0.3">
      <c r="A1" s="14" t="s">
        <v>3</v>
      </c>
      <c r="B1" s="14"/>
      <c r="C1" s="3">
        <f>SUM(C3:C33)</f>
        <v>5124360</v>
      </c>
      <c r="D1" s="3">
        <f>SUM(D3:D33)</f>
        <v>0</v>
      </c>
      <c r="E1" s="3">
        <f>C1-D1</f>
        <v>5124360</v>
      </c>
      <c r="F1" s="6" t="s">
        <v>4</v>
      </c>
    </row>
    <row r="2" spans="1:8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IF(E2="土",RAND()*(270000-180000)+180000,IF(E2="日",RAND()*(220000-160000)+160000,RAND()*(180000-120000)+120000))</f>
        <v>154947.08558410322</v>
      </c>
    </row>
    <row r="3" spans="1:8" ht="22.5" customHeight="1" x14ac:dyDescent="0.3">
      <c r="A3" s="10">
        <v>45870</v>
      </c>
      <c r="B3" s="5" t="s">
        <v>10</v>
      </c>
      <c r="C3" s="3">
        <v>178071</v>
      </c>
      <c r="D3" s="3"/>
      <c r="E3" s="3"/>
      <c r="F3" s="6"/>
      <c r="G3" s="1">
        <f ca="1">IF(B3="月",RANDBETWEEN(100000,180000),
 IF(B3="火",RANDBETWEEN(100000,180000),
 IF(B3="水",RANDBETWEEN(100000,180000),
 IF(B3="木",RANDBETWEEN(150000,200000),
 IF(B3="金",RANDBETWEEN(170000,250000),
 IF(B3="土",RANDBETWEEN(250000,280000),
 IF(B3="日",RANDBETWEEN(170000,250000),
 "")))))))</f>
        <v>198266</v>
      </c>
      <c r="H3" s="13">
        <f>C3-1500</f>
        <v>176571</v>
      </c>
    </row>
    <row r="4" spans="1:8" ht="22.5" customHeight="1" x14ac:dyDescent="0.3">
      <c r="A4" s="10">
        <v>45871</v>
      </c>
      <c r="B4" s="5" t="s">
        <v>11</v>
      </c>
      <c r="C4" s="3">
        <v>246503</v>
      </c>
      <c r="D4" s="3"/>
      <c r="E4" s="3"/>
      <c r="F4" s="6"/>
      <c r="G4" s="1">
        <f t="shared" ref="G4:G33" ca="1" si="0">IF(B4="月",RANDBETWEEN(100000,180000),
 IF(B4="火",RANDBETWEEN(100000,180000),
 IF(B4="水",RANDBETWEEN(100000,180000),
 IF(B4="木",RANDBETWEEN(150000,200000),
 IF(B4="金",RANDBETWEEN(170000,250000),
 IF(B4="土",RANDBETWEEN(250000,280000),
 IF(B4="日",RANDBETWEEN(170000,250000),
 "")))))))</f>
        <v>255361</v>
      </c>
      <c r="H4" s="13">
        <f t="shared" ref="H4:H33" si="1">C4-1500</f>
        <v>245003</v>
      </c>
    </row>
    <row r="5" spans="1:8" ht="22.5" customHeight="1" x14ac:dyDescent="0.3">
      <c r="A5" s="10">
        <v>45872</v>
      </c>
      <c r="B5" s="5" t="s">
        <v>12</v>
      </c>
      <c r="C5" s="3">
        <v>213581</v>
      </c>
      <c r="D5" s="3"/>
      <c r="E5" s="3"/>
      <c r="F5" s="6"/>
      <c r="G5" s="1">
        <f t="shared" ca="1" si="0"/>
        <v>200415</v>
      </c>
      <c r="H5" s="13">
        <f t="shared" si="1"/>
        <v>212081</v>
      </c>
    </row>
    <row r="6" spans="1:8" ht="22.5" customHeight="1" x14ac:dyDescent="0.3">
      <c r="A6" s="10">
        <v>45873</v>
      </c>
      <c r="B6" s="4" t="s">
        <v>6</v>
      </c>
      <c r="C6" s="3">
        <v>120742</v>
      </c>
      <c r="D6" s="3"/>
      <c r="E6" s="3"/>
      <c r="F6" s="6"/>
      <c r="G6" s="1">
        <f t="shared" ca="1" si="0"/>
        <v>101605</v>
      </c>
      <c r="H6" s="13">
        <f t="shared" si="1"/>
        <v>119242</v>
      </c>
    </row>
    <row r="7" spans="1:8" ht="22.5" customHeight="1" x14ac:dyDescent="0.3">
      <c r="A7" s="10">
        <v>45874</v>
      </c>
      <c r="B7" s="4" t="s">
        <v>7</v>
      </c>
      <c r="C7" s="3">
        <v>121235</v>
      </c>
      <c r="D7" s="3"/>
      <c r="E7" s="3"/>
      <c r="F7" s="6"/>
      <c r="G7" s="1">
        <f t="shared" ca="1" si="0"/>
        <v>164800</v>
      </c>
      <c r="H7" s="13">
        <f t="shared" si="1"/>
        <v>119735</v>
      </c>
    </row>
    <row r="8" spans="1:8" ht="22.5" customHeight="1" x14ac:dyDescent="0.3">
      <c r="A8" s="10">
        <v>45875</v>
      </c>
      <c r="B8" s="4" t="s">
        <v>8</v>
      </c>
      <c r="C8" s="3">
        <v>109409</v>
      </c>
      <c r="D8" s="3"/>
      <c r="E8" s="6"/>
      <c r="F8" s="6"/>
      <c r="G8" s="1">
        <f t="shared" ca="1" si="0"/>
        <v>128168</v>
      </c>
      <c r="H8" s="13">
        <f t="shared" si="1"/>
        <v>107909</v>
      </c>
    </row>
    <row r="9" spans="1:8" ht="22.5" customHeight="1" x14ac:dyDescent="0.3">
      <c r="A9" s="10">
        <v>45876</v>
      </c>
      <c r="B9" s="4" t="s">
        <v>9</v>
      </c>
      <c r="C9" s="3">
        <v>141744</v>
      </c>
      <c r="D9" s="3"/>
      <c r="E9" s="3"/>
      <c r="F9" s="6"/>
      <c r="G9" s="1">
        <f t="shared" ca="1" si="0"/>
        <v>186560</v>
      </c>
      <c r="H9" s="13">
        <f t="shared" si="1"/>
        <v>140244</v>
      </c>
    </row>
    <row r="10" spans="1:8" ht="22.5" customHeight="1" x14ac:dyDescent="0.3">
      <c r="A10" s="10">
        <v>45877</v>
      </c>
      <c r="B10" s="5" t="s">
        <v>10</v>
      </c>
      <c r="C10" s="3">
        <v>212996</v>
      </c>
      <c r="D10" s="3"/>
      <c r="E10" s="3"/>
      <c r="F10" s="6"/>
      <c r="G10" s="1">
        <f t="shared" ca="1" si="0"/>
        <v>234879</v>
      </c>
      <c r="H10" s="13">
        <f t="shared" si="1"/>
        <v>211496</v>
      </c>
    </row>
    <row r="11" spans="1:8" ht="22.5" customHeight="1" x14ac:dyDescent="0.3">
      <c r="A11" s="10">
        <v>45878</v>
      </c>
      <c r="B11" s="5" t="s">
        <v>11</v>
      </c>
      <c r="C11" s="3">
        <v>237522</v>
      </c>
      <c r="D11" s="3"/>
      <c r="E11" s="3"/>
      <c r="F11" s="6"/>
      <c r="G11" s="1">
        <f t="shared" ca="1" si="0"/>
        <v>272819</v>
      </c>
      <c r="H11" s="13">
        <f t="shared" si="1"/>
        <v>236022</v>
      </c>
    </row>
    <row r="12" spans="1:8" ht="22.5" customHeight="1" x14ac:dyDescent="0.3">
      <c r="A12" s="10">
        <v>45879</v>
      </c>
      <c r="B12" s="5" t="s">
        <v>12</v>
      </c>
      <c r="C12" s="3">
        <v>173893</v>
      </c>
      <c r="D12" s="3"/>
      <c r="E12" s="3"/>
      <c r="F12" s="6"/>
      <c r="G12" s="1">
        <f t="shared" ca="1" si="0"/>
        <v>218822</v>
      </c>
      <c r="H12" s="13">
        <f t="shared" si="1"/>
        <v>172393</v>
      </c>
    </row>
    <row r="13" spans="1:8" ht="22.5" customHeight="1" x14ac:dyDescent="0.3">
      <c r="A13" s="10">
        <v>45880</v>
      </c>
      <c r="B13" s="4" t="s">
        <v>6</v>
      </c>
      <c r="C13" s="3">
        <v>92660</v>
      </c>
      <c r="D13" s="3"/>
      <c r="E13" s="3"/>
      <c r="F13" s="6"/>
      <c r="G13" s="1">
        <f t="shared" ca="1" si="0"/>
        <v>126310</v>
      </c>
      <c r="H13" s="13">
        <f t="shared" si="1"/>
        <v>91160</v>
      </c>
    </row>
    <row r="14" spans="1:8" ht="22.5" customHeight="1" x14ac:dyDescent="0.3">
      <c r="A14" s="10">
        <v>45881</v>
      </c>
      <c r="B14" s="4" t="s">
        <v>7</v>
      </c>
      <c r="C14" s="3">
        <v>93581</v>
      </c>
      <c r="D14" s="3"/>
      <c r="E14" s="3"/>
      <c r="F14" s="6"/>
      <c r="G14" s="1">
        <f t="shared" ca="1" si="0"/>
        <v>163077</v>
      </c>
      <c r="H14" s="13">
        <f t="shared" si="1"/>
        <v>92081</v>
      </c>
    </row>
    <row r="15" spans="1:8" ht="22.5" customHeight="1" x14ac:dyDescent="0.3">
      <c r="A15" s="10">
        <v>45882</v>
      </c>
      <c r="B15" s="4" t="s">
        <v>8</v>
      </c>
      <c r="C15" s="3">
        <v>109628</v>
      </c>
      <c r="D15" s="3"/>
      <c r="E15" s="3"/>
      <c r="F15" s="6"/>
      <c r="G15" s="1">
        <f t="shared" ca="1" si="0"/>
        <v>158217</v>
      </c>
      <c r="H15" s="13">
        <f t="shared" si="1"/>
        <v>108128</v>
      </c>
    </row>
    <row r="16" spans="1:8" ht="22.5" customHeight="1" x14ac:dyDescent="0.3">
      <c r="A16" s="10">
        <v>45883</v>
      </c>
      <c r="B16" s="4" t="s">
        <v>9</v>
      </c>
      <c r="C16" s="3">
        <v>168030</v>
      </c>
      <c r="D16" s="3"/>
      <c r="E16" s="3"/>
      <c r="F16" s="6"/>
      <c r="G16" s="1">
        <f t="shared" ca="1" si="0"/>
        <v>177375</v>
      </c>
      <c r="H16" s="13">
        <f t="shared" si="1"/>
        <v>166530</v>
      </c>
    </row>
    <row r="17" spans="1:8" ht="22.5" customHeight="1" x14ac:dyDescent="0.3">
      <c r="A17" s="10">
        <v>45884</v>
      </c>
      <c r="B17" s="5" t="s">
        <v>10</v>
      </c>
      <c r="C17" s="3">
        <v>215232</v>
      </c>
      <c r="D17" s="3"/>
      <c r="E17" s="3"/>
      <c r="F17" s="6"/>
      <c r="G17" s="1">
        <f t="shared" ca="1" si="0"/>
        <v>187776</v>
      </c>
      <c r="H17" s="13">
        <f t="shared" si="1"/>
        <v>213732</v>
      </c>
    </row>
    <row r="18" spans="1:8" ht="22.5" customHeight="1" x14ac:dyDescent="0.3">
      <c r="A18" s="10">
        <v>45885</v>
      </c>
      <c r="B18" s="5" t="s">
        <v>11</v>
      </c>
      <c r="C18" s="3">
        <v>242280</v>
      </c>
      <c r="D18" s="3"/>
      <c r="E18" s="3"/>
      <c r="F18" s="6"/>
      <c r="G18" s="1">
        <f t="shared" ca="1" si="0"/>
        <v>271930</v>
      </c>
      <c r="H18" s="13">
        <f t="shared" si="1"/>
        <v>240780</v>
      </c>
    </row>
    <row r="19" spans="1:8" ht="22.5" customHeight="1" x14ac:dyDescent="0.3">
      <c r="A19" s="10">
        <v>45886</v>
      </c>
      <c r="B19" s="5" t="s">
        <v>12</v>
      </c>
      <c r="C19" s="3">
        <v>164948</v>
      </c>
      <c r="D19" s="3"/>
      <c r="E19" s="3"/>
      <c r="F19" s="6"/>
      <c r="G19" s="1">
        <f t="shared" ca="1" si="0"/>
        <v>219830</v>
      </c>
      <c r="H19" s="13">
        <f t="shared" si="1"/>
        <v>163448</v>
      </c>
    </row>
    <row r="20" spans="1:8" ht="22.5" customHeight="1" x14ac:dyDescent="0.3">
      <c r="A20" s="10">
        <v>45887</v>
      </c>
      <c r="B20" s="4" t="s">
        <v>6</v>
      </c>
      <c r="C20" s="3">
        <v>116425</v>
      </c>
      <c r="D20" s="3"/>
      <c r="E20" s="3"/>
      <c r="F20" s="6"/>
      <c r="G20" s="1">
        <f t="shared" ca="1" si="0"/>
        <v>121894</v>
      </c>
      <c r="H20" s="13">
        <f t="shared" si="1"/>
        <v>114925</v>
      </c>
    </row>
    <row r="21" spans="1:8" ht="22.5" customHeight="1" x14ac:dyDescent="0.3">
      <c r="A21" s="10">
        <v>45888</v>
      </c>
      <c r="B21" s="4" t="s">
        <v>7</v>
      </c>
      <c r="C21" s="3">
        <v>146462</v>
      </c>
      <c r="D21" s="3"/>
      <c r="E21" s="3"/>
      <c r="F21" s="6"/>
      <c r="G21" s="1">
        <f t="shared" ca="1" si="0"/>
        <v>110841</v>
      </c>
      <c r="H21" s="13">
        <f t="shared" si="1"/>
        <v>144962</v>
      </c>
    </row>
    <row r="22" spans="1:8" ht="22.5" customHeight="1" x14ac:dyDescent="0.3">
      <c r="A22" s="10">
        <v>45889</v>
      </c>
      <c r="B22" s="4" t="s">
        <v>8</v>
      </c>
      <c r="C22" s="3">
        <v>84350</v>
      </c>
      <c r="D22" s="3"/>
      <c r="E22" s="3"/>
      <c r="F22" s="6"/>
      <c r="G22" s="1">
        <f t="shared" ca="1" si="0"/>
        <v>168179</v>
      </c>
      <c r="H22" s="13">
        <f t="shared" si="1"/>
        <v>82850</v>
      </c>
    </row>
    <row r="23" spans="1:8" ht="22.5" customHeight="1" x14ac:dyDescent="0.3">
      <c r="A23" s="10">
        <v>45890</v>
      </c>
      <c r="B23" s="4" t="s">
        <v>9</v>
      </c>
      <c r="C23" s="3">
        <v>131141</v>
      </c>
      <c r="D23" s="3"/>
      <c r="E23" s="3"/>
      <c r="F23" s="6"/>
      <c r="G23" s="1">
        <f t="shared" ca="1" si="0"/>
        <v>175325</v>
      </c>
      <c r="H23" s="13">
        <f t="shared" si="1"/>
        <v>129641</v>
      </c>
    </row>
    <row r="24" spans="1:8" ht="22.5" customHeight="1" x14ac:dyDescent="0.3">
      <c r="A24" s="10">
        <v>45891</v>
      </c>
      <c r="B24" s="5" t="s">
        <v>10</v>
      </c>
      <c r="C24" s="3">
        <v>217218</v>
      </c>
      <c r="D24" s="3"/>
      <c r="E24" s="3"/>
      <c r="F24" s="6"/>
      <c r="G24" s="1">
        <f t="shared" ca="1" si="0"/>
        <v>171671</v>
      </c>
      <c r="H24" s="13">
        <f t="shared" si="1"/>
        <v>215718</v>
      </c>
    </row>
    <row r="25" spans="1:8" ht="22.5" customHeight="1" x14ac:dyDescent="0.3">
      <c r="A25" s="10">
        <v>45892</v>
      </c>
      <c r="B25" s="5" t="s">
        <v>11</v>
      </c>
      <c r="C25" s="3">
        <v>247419</v>
      </c>
      <c r="D25" s="3"/>
      <c r="E25" s="3"/>
      <c r="F25" s="6"/>
      <c r="G25" s="1">
        <f t="shared" ca="1" si="0"/>
        <v>275738</v>
      </c>
      <c r="H25" s="13">
        <f t="shared" si="1"/>
        <v>245919</v>
      </c>
    </row>
    <row r="26" spans="1:8" ht="22.5" customHeight="1" x14ac:dyDescent="0.3">
      <c r="A26" s="10">
        <v>45893</v>
      </c>
      <c r="B26" s="5" t="s">
        <v>12</v>
      </c>
      <c r="C26" s="3">
        <v>214811</v>
      </c>
      <c r="D26" s="3"/>
      <c r="E26" s="3"/>
      <c r="F26" s="6"/>
      <c r="G26" s="1">
        <f t="shared" ca="1" si="0"/>
        <v>206517</v>
      </c>
      <c r="H26" s="13">
        <f t="shared" si="1"/>
        <v>213311</v>
      </c>
    </row>
    <row r="27" spans="1:8" ht="22.5" customHeight="1" x14ac:dyDescent="0.3">
      <c r="A27" s="10">
        <v>45894</v>
      </c>
      <c r="B27" s="4" t="s">
        <v>6</v>
      </c>
      <c r="C27" s="3">
        <v>110229</v>
      </c>
      <c r="D27" s="3"/>
      <c r="E27" s="3"/>
      <c r="F27" s="6"/>
      <c r="G27" s="1">
        <f t="shared" ca="1" si="0"/>
        <v>167586</v>
      </c>
      <c r="H27" s="13">
        <f t="shared" si="1"/>
        <v>108729</v>
      </c>
    </row>
    <row r="28" spans="1:8" ht="22.5" customHeight="1" x14ac:dyDescent="0.3">
      <c r="A28" s="10">
        <v>45895</v>
      </c>
      <c r="B28" s="4" t="s">
        <v>7</v>
      </c>
      <c r="C28" s="3">
        <v>141744</v>
      </c>
      <c r="D28" s="3"/>
      <c r="E28" s="3"/>
      <c r="F28" s="6"/>
      <c r="G28" s="1">
        <f t="shared" ca="1" si="0"/>
        <v>159922</v>
      </c>
      <c r="H28" s="13">
        <f t="shared" si="1"/>
        <v>140244</v>
      </c>
    </row>
    <row r="29" spans="1:8" ht="22.5" customHeight="1" x14ac:dyDescent="0.3">
      <c r="A29" s="10">
        <v>45896</v>
      </c>
      <c r="B29" s="4" t="s">
        <v>8</v>
      </c>
      <c r="C29" s="3">
        <v>141386</v>
      </c>
      <c r="D29" s="3"/>
      <c r="E29" s="3"/>
      <c r="F29" s="6"/>
      <c r="G29" s="1">
        <f t="shared" ca="1" si="0"/>
        <v>166291</v>
      </c>
      <c r="H29" s="13">
        <f t="shared" si="1"/>
        <v>139886</v>
      </c>
    </row>
    <row r="30" spans="1:8" ht="22.5" customHeight="1" x14ac:dyDescent="0.3">
      <c r="A30" s="10">
        <v>45897</v>
      </c>
      <c r="B30" s="4" t="s">
        <v>9</v>
      </c>
      <c r="C30" s="3">
        <v>140636</v>
      </c>
      <c r="D30" s="3"/>
      <c r="E30" s="3"/>
      <c r="F30" s="6"/>
      <c r="G30" s="1">
        <f t="shared" ca="1" si="0"/>
        <v>181020</v>
      </c>
      <c r="H30" s="13">
        <f t="shared" si="1"/>
        <v>139136</v>
      </c>
    </row>
    <row r="31" spans="1:8" ht="22.5" customHeight="1" x14ac:dyDescent="0.3">
      <c r="A31" s="10">
        <v>45898</v>
      </c>
      <c r="B31" s="5" t="s">
        <v>10</v>
      </c>
      <c r="C31" s="3">
        <v>157911</v>
      </c>
      <c r="D31" s="3"/>
      <c r="E31" s="3"/>
      <c r="F31" s="6"/>
      <c r="G31" s="1">
        <f t="shared" ca="1" si="0"/>
        <v>208436</v>
      </c>
      <c r="H31" s="13">
        <f t="shared" si="1"/>
        <v>156411</v>
      </c>
    </row>
    <row r="32" spans="1:8" ht="22.5" customHeight="1" x14ac:dyDescent="0.3">
      <c r="A32" s="10">
        <v>45899</v>
      </c>
      <c r="B32" s="5" t="s">
        <v>11</v>
      </c>
      <c r="C32" s="3">
        <v>237206</v>
      </c>
      <c r="D32" s="3"/>
      <c r="E32" s="3"/>
      <c r="F32" s="6"/>
      <c r="G32" s="1">
        <f t="shared" ca="1" si="0"/>
        <v>262922</v>
      </c>
      <c r="H32" s="13">
        <f t="shared" si="1"/>
        <v>235706</v>
      </c>
    </row>
    <row r="33" spans="1:8" ht="22.5" customHeight="1" x14ac:dyDescent="0.3">
      <c r="A33" s="10">
        <v>45900</v>
      </c>
      <c r="B33" s="5" t="s">
        <v>12</v>
      </c>
      <c r="C33" s="3">
        <v>195367</v>
      </c>
      <c r="D33" s="3"/>
      <c r="E33" s="3"/>
      <c r="F33" s="6"/>
      <c r="G33" s="1">
        <f t="shared" ca="1" si="0"/>
        <v>249922</v>
      </c>
      <c r="H33" s="13">
        <f t="shared" si="1"/>
        <v>193867</v>
      </c>
    </row>
  </sheetData>
  <mergeCells count="1">
    <mergeCell ref="A1:B1"/>
  </mergeCells>
  <conditionalFormatting sqref="A3:A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B3:B3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05F1-788C-4D58-8EAC-A91D93313023}">
  <dimension ref="A1:H33"/>
  <sheetViews>
    <sheetView topLeftCell="A9" workbookViewId="0">
      <selection activeCell="C3" sqref="C3:C32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8" ht="22.5" customHeight="1" x14ac:dyDescent="0.3">
      <c r="A1" s="14" t="s">
        <v>3</v>
      </c>
      <c r="B1" s="14"/>
      <c r="C1" s="3">
        <f>SUM(C3:C33)</f>
        <v>4866048</v>
      </c>
      <c r="D1" s="3">
        <v>4230806</v>
      </c>
      <c r="E1" s="3">
        <f>C1-D1</f>
        <v>635242</v>
      </c>
      <c r="F1" s="6" t="s">
        <v>4</v>
      </c>
    </row>
    <row r="2" spans="1:8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136879.92345137274</v>
      </c>
    </row>
    <row r="3" spans="1:8" ht="22.5" customHeight="1" x14ac:dyDescent="0.3">
      <c r="A3" s="10">
        <v>45901</v>
      </c>
      <c r="B3" s="4" t="s">
        <v>6</v>
      </c>
      <c r="C3" s="3">
        <v>80797</v>
      </c>
      <c r="D3" s="3"/>
      <c r="E3" s="3"/>
      <c r="F3" s="6"/>
      <c r="G3" s="1">
        <f ca="1">IF(B3="月",RANDBETWEEN(100000,180000),
 IF(B3="火",RANDBETWEEN(100000,180000),
 IF(B3="水",RANDBETWEEN(100000,180000),
 IF(B3="木",RANDBETWEEN(150000,200000),
 IF(B3="金",RANDBETWEEN(170000,250000),
 IF(B3="土",RANDBETWEEN(250000,280000),
 IF(B3="日",RANDBETWEEN(170000,250000),
 "")))))))</f>
        <v>130100</v>
      </c>
      <c r="H3" s="13">
        <f>C3-18000</f>
        <v>62797</v>
      </c>
    </row>
    <row r="4" spans="1:8" ht="22.5" customHeight="1" x14ac:dyDescent="0.3">
      <c r="A4" s="10">
        <v>45902</v>
      </c>
      <c r="B4" s="4" t="s">
        <v>7</v>
      </c>
      <c r="C4" s="3">
        <v>84227</v>
      </c>
      <c r="D4" s="3"/>
      <c r="E4" s="3"/>
      <c r="F4" s="6"/>
      <c r="G4" s="1">
        <f t="shared" ref="G4:G33" ca="1" si="0">IF(B4="月",RANDBETWEEN(100000,180000),
 IF(B4="火",RANDBETWEEN(100000,180000),
 IF(B4="水",RANDBETWEEN(100000,180000),
 IF(B4="木",RANDBETWEEN(150000,200000),
 IF(B4="金",RANDBETWEEN(170000,250000),
 IF(B4="土",RANDBETWEEN(250000,280000),
 IF(B4="日",RANDBETWEEN(170000,250000),
 "")))))))</f>
        <v>135130</v>
      </c>
      <c r="H4" s="13">
        <f t="shared" ref="H4:H32" si="1">C4-18000</f>
        <v>66227</v>
      </c>
    </row>
    <row r="5" spans="1:8" ht="22.5" customHeight="1" x14ac:dyDescent="0.3">
      <c r="A5" s="10">
        <v>45903</v>
      </c>
      <c r="B5" s="4" t="s">
        <v>8</v>
      </c>
      <c r="C5" s="3">
        <v>141323</v>
      </c>
      <c r="D5" s="3"/>
      <c r="E5" s="3"/>
      <c r="F5" s="6"/>
      <c r="G5" s="1">
        <f t="shared" ca="1" si="0"/>
        <v>102173</v>
      </c>
      <c r="H5" s="13">
        <f t="shared" si="1"/>
        <v>123323</v>
      </c>
    </row>
    <row r="6" spans="1:8" ht="22.5" customHeight="1" x14ac:dyDescent="0.3">
      <c r="A6" s="10">
        <v>45904</v>
      </c>
      <c r="B6" s="4" t="s">
        <v>9</v>
      </c>
      <c r="C6" s="3">
        <v>173792</v>
      </c>
      <c r="D6" s="3"/>
      <c r="E6" s="3"/>
      <c r="F6" s="6"/>
      <c r="G6" s="1">
        <f t="shared" ca="1" si="0"/>
        <v>153463</v>
      </c>
      <c r="H6" s="13">
        <f t="shared" si="1"/>
        <v>155792</v>
      </c>
    </row>
    <row r="7" spans="1:8" ht="22.5" customHeight="1" x14ac:dyDescent="0.3">
      <c r="A7" s="10">
        <v>45905</v>
      </c>
      <c r="B7" s="5" t="s">
        <v>10</v>
      </c>
      <c r="C7" s="3">
        <v>195363</v>
      </c>
      <c r="D7" s="3"/>
      <c r="E7" s="3"/>
      <c r="F7" s="6"/>
      <c r="G7" s="1">
        <f t="shared" ca="1" si="0"/>
        <v>232282</v>
      </c>
      <c r="H7" s="13">
        <f t="shared" si="1"/>
        <v>177363</v>
      </c>
    </row>
    <row r="8" spans="1:8" ht="22.5" customHeight="1" x14ac:dyDescent="0.3">
      <c r="A8" s="10">
        <v>45906</v>
      </c>
      <c r="B8" s="5" t="s">
        <v>11</v>
      </c>
      <c r="C8" s="3">
        <v>239200</v>
      </c>
      <c r="D8" s="3"/>
      <c r="E8" s="6"/>
      <c r="F8" s="6"/>
      <c r="G8" s="1">
        <f t="shared" ca="1" si="0"/>
        <v>269275</v>
      </c>
      <c r="H8" s="13">
        <f t="shared" si="1"/>
        <v>221200</v>
      </c>
    </row>
    <row r="9" spans="1:8" ht="22.5" customHeight="1" x14ac:dyDescent="0.3">
      <c r="A9" s="10">
        <v>45907</v>
      </c>
      <c r="B9" s="5" t="s">
        <v>12</v>
      </c>
      <c r="C9" s="3">
        <v>227035</v>
      </c>
      <c r="D9" s="3"/>
      <c r="E9" s="3"/>
      <c r="F9" s="6"/>
      <c r="G9" s="1">
        <f t="shared" ca="1" si="0"/>
        <v>184316</v>
      </c>
      <c r="H9" s="13">
        <f t="shared" si="1"/>
        <v>209035</v>
      </c>
    </row>
    <row r="10" spans="1:8" ht="22.5" customHeight="1" x14ac:dyDescent="0.3">
      <c r="A10" s="10">
        <v>45908</v>
      </c>
      <c r="B10" s="4" t="s">
        <v>6</v>
      </c>
      <c r="C10" s="3">
        <v>129642</v>
      </c>
      <c r="D10" s="3"/>
      <c r="E10" s="3"/>
      <c r="F10" s="6"/>
      <c r="G10" s="1">
        <f t="shared" ca="1" si="0"/>
        <v>139829</v>
      </c>
      <c r="H10" s="13">
        <f t="shared" si="1"/>
        <v>111642</v>
      </c>
    </row>
    <row r="11" spans="1:8" ht="22.5" customHeight="1" x14ac:dyDescent="0.3">
      <c r="A11" s="10">
        <v>45909</v>
      </c>
      <c r="B11" s="4" t="s">
        <v>7</v>
      </c>
      <c r="C11" s="3">
        <v>95616</v>
      </c>
      <c r="D11" s="3"/>
      <c r="E11" s="3"/>
      <c r="F11" s="6"/>
      <c r="G11" s="1">
        <f t="shared" ca="1" si="0"/>
        <v>122961</v>
      </c>
      <c r="H11" s="13">
        <f t="shared" si="1"/>
        <v>77616</v>
      </c>
    </row>
    <row r="12" spans="1:8" ht="22.5" customHeight="1" x14ac:dyDescent="0.3">
      <c r="A12" s="10">
        <v>45910</v>
      </c>
      <c r="B12" s="4" t="s">
        <v>8</v>
      </c>
      <c r="C12" s="3">
        <v>108140</v>
      </c>
      <c r="D12" s="3"/>
      <c r="E12" s="3"/>
      <c r="F12" s="6"/>
      <c r="G12" s="1">
        <f t="shared" ca="1" si="0"/>
        <v>140148</v>
      </c>
      <c r="H12" s="13">
        <f t="shared" si="1"/>
        <v>90140</v>
      </c>
    </row>
    <row r="13" spans="1:8" ht="22.5" customHeight="1" x14ac:dyDescent="0.3">
      <c r="A13" s="10">
        <v>45911</v>
      </c>
      <c r="B13" s="4" t="s">
        <v>9</v>
      </c>
      <c r="C13" s="3">
        <v>173733</v>
      </c>
      <c r="D13" s="3"/>
      <c r="E13" s="3"/>
      <c r="F13" s="6"/>
      <c r="G13" s="1">
        <f t="shared" ca="1" si="0"/>
        <v>164110</v>
      </c>
      <c r="H13" s="13">
        <f t="shared" si="1"/>
        <v>155733</v>
      </c>
    </row>
    <row r="14" spans="1:8" ht="22.5" customHeight="1" x14ac:dyDescent="0.3">
      <c r="A14" s="10">
        <v>45912</v>
      </c>
      <c r="B14" s="5" t="s">
        <v>10</v>
      </c>
      <c r="C14" s="3">
        <v>196006</v>
      </c>
      <c r="D14" s="3"/>
      <c r="E14" s="3"/>
      <c r="F14" s="6"/>
      <c r="G14" s="1">
        <f t="shared" ca="1" si="0"/>
        <v>182860</v>
      </c>
      <c r="H14" s="13">
        <f t="shared" si="1"/>
        <v>178006</v>
      </c>
    </row>
    <row r="15" spans="1:8" ht="22.5" customHeight="1" x14ac:dyDescent="0.3">
      <c r="A15" s="10">
        <v>45913</v>
      </c>
      <c r="B15" s="5" t="s">
        <v>11</v>
      </c>
      <c r="C15" s="3">
        <v>244210</v>
      </c>
      <c r="D15" s="3"/>
      <c r="E15" s="3"/>
      <c r="F15" s="6"/>
      <c r="G15" s="1">
        <f t="shared" ca="1" si="0"/>
        <v>251260</v>
      </c>
      <c r="H15" s="13">
        <f t="shared" si="1"/>
        <v>226210</v>
      </c>
    </row>
    <row r="16" spans="1:8" ht="22.5" customHeight="1" x14ac:dyDescent="0.3">
      <c r="A16" s="10">
        <v>45914</v>
      </c>
      <c r="B16" s="5" t="s">
        <v>12</v>
      </c>
      <c r="C16" s="3">
        <v>187882</v>
      </c>
      <c r="D16" s="3"/>
      <c r="E16" s="3"/>
      <c r="F16" s="6"/>
      <c r="G16" s="1">
        <f t="shared" ca="1" si="0"/>
        <v>173721</v>
      </c>
      <c r="H16" s="13">
        <f t="shared" si="1"/>
        <v>169882</v>
      </c>
    </row>
    <row r="17" spans="1:8" ht="22.5" customHeight="1" x14ac:dyDescent="0.3">
      <c r="A17" s="10">
        <v>45915</v>
      </c>
      <c r="B17" s="4" t="s">
        <v>6</v>
      </c>
      <c r="C17" s="3">
        <v>102333</v>
      </c>
      <c r="D17" s="3"/>
      <c r="E17" s="3"/>
      <c r="F17" s="6"/>
      <c r="G17" s="1">
        <f t="shared" ca="1" si="0"/>
        <v>174035</v>
      </c>
      <c r="H17" s="13">
        <f t="shared" si="1"/>
        <v>84333</v>
      </c>
    </row>
    <row r="18" spans="1:8" ht="22.5" customHeight="1" x14ac:dyDescent="0.3">
      <c r="A18" s="10">
        <v>45916</v>
      </c>
      <c r="B18" s="4" t="s">
        <v>7</v>
      </c>
      <c r="C18" s="3">
        <v>119402</v>
      </c>
      <c r="D18" s="3"/>
      <c r="E18" s="3"/>
      <c r="F18" s="6"/>
      <c r="G18" s="1">
        <f t="shared" ca="1" si="0"/>
        <v>168364</v>
      </c>
      <c r="H18" s="13">
        <f t="shared" si="1"/>
        <v>101402</v>
      </c>
    </row>
    <row r="19" spans="1:8" ht="22.5" customHeight="1" x14ac:dyDescent="0.3">
      <c r="A19" s="10">
        <v>45917</v>
      </c>
      <c r="B19" s="4" t="s">
        <v>8</v>
      </c>
      <c r="C19" s="3">
        <v>125628</v>
      </c>
      <c r="D19" s="3"/>
      <c r="E19" s="3"/>
      <c r="F19" s="6"/>
      <c r="G19" s="1">
        <f t="shared" ca="1" si="0"/>
        <v>146734</v>
      </c>
      <c r="H19" s="13">
        <f t="shared" si="1"/>
        <v>107628</v>
      </c>
    </row>
    <row r="20" spans="1:8" ht="22.5" customHeight="1" x14ac:dyDescent="0.3">
      <c r="A20" s="10">
        <v>45918</v>
      </c>
      <c r="B20" s="4" t="s">
        <v>9</v>
      </c>
      <c r="C20" s="3">
        <v>167487</v>
      </c>
      <c r="D20" s="3"/>
      <c r="E20" s="3"/>
      <c r="F20" s="6"/>
      <c r="G20" s="1">
        <f t="shared" ca="1" si="0"/>
        <v>156130</v>
      </c>
      <c r="H20" s="13">
        <f t="shared" si="1"/>
        <v>149487</v>
      </c>
    </row>
    <row r="21" spans="1:8" ht="22.5" customHeight="1" x14ac:dyDescent="0.3">
      <c r="A21" s="10">
        <v>45919</v>
      </c>
      <c r="B21" s="5" t="s">
        <v>10</v>
      </c>
      <c r="C21" s="3">
        <v>203762</v>
      </c>
      <c r="D21" s="3"/>
      <c r="E21" s="3"/>
      <c r="F21" s="6"/>
      <c r="G21" s="1">
        <f t="shared" ca="1" si="0"/>
        <v>171715</v>
      </c>
      <c r="H21" s="13">
        <f t="shared" si="1"/>
        <v>185762</v>
      </c>
    </row>
    <row r="22" spans="1:8" ht="22.5" customHeight="1" x14ac:dyDescent="0.3">
      <c r="A22" s="10">
        <v>45920</v>
      </c>
      <c r="B22" s="5" t="s">
        <v>11</v>
      </c>
      <c r="C22" s="3">
        <v>244072</v>
      </c>
      <c r="D22" s="3"/>
      <c r="E22" s="3"/>
      <c r="F22" s="6"/>
      <c r="G22" s="1">
        <f t="shared" ca="1" si="0"/>
        <v>250239</v>
      </c>
      <c r="H22" s="13">
        <f t="shared" si="1"/>
        <v>226072</v>
      </c>
    </row>
    <row r="23" spans="1:8" ht="22.5" customHeight="1" x14ac:dyDescent="0.3">
      <c r="A23" s="10">
        <v>45921</v>
      </c>
      <c r="B23" s="5" t="s">
        <v>12</v>
      </c>
      <c r="C23" s="3">
        <v>223881</v>
      </c>
      <c r="D23" s="3"/>
      <c r="E23" s="3"/>
      <c r="F23" s="6"/>
      <c r="G23" s="1">
        <f t="shared" ca="1" si="0"/>
        <v>195663</v>
      </c>
      <c r="H23" s="13">
        <f t="shared" si="1"/>
        <v>205881</v>
      </c>
    </row>
    <row r="24" spans="1:8" ht="22.5" customHeight="1" x14ac:dyDescent="0.3">
      <c r="A24" s="10">
        <v>45922</v>
      </c>
      <c r="B24" s="4" t="s">
        <v>6</v>
      </c>
      <c r="C24" s="3">
        <v>102911</v>
      </c>
      <c r="D24" s="3"/>
      <c r="E24" s="3"/>
      <c r="F24" s="6"/>
      <c r="G24" s="1">
        <f t="shared" ca="1" si="0"/>
        <v>156125</v>
      </c>
      <c r="H24" s="13">
        <f t="shared" si="1"/>
        <v>84911</v>
      </c>
    </row>
    <row r="25" spans="1:8" ht="22.5" customHeight="1" x14ac:dyDescent="0.3">
      <c r="A25" s="10">
        <v>45923</v>
      </c>
      <c r="B25" s="4" t="s">
        <v>7</v>
      </c>
      <c r="C25" s="3">
        <v>132937</v>
      </c>
      <c r="D25" s="3"/>
      <c r="E25" s="3"/>
      <c r="F25" s="6"/>
      <c r="G25" s="1">
        <f t="shared" ca="1" si="0"/>
        <v>116659</v>
      </c>
      <c r="H25" s="13">
        <f t="shared" si="1"/>
        <v>114937</v>
      </c>
    </row>
    <row r="26" spans="1:8" ht="22.5" customHeight="1" x14ac:dyDescent="0.3">
      <c r="A26" s="10">
        <v>45924</v>
      </c>
      <c r="B26" s="4" t="s">
        <v>8</v>
      </c>
      <c r="C26" s="3">
        <v>140970</v>
      </c>
      <c r="D26" s="3"/>
      <c r="E26" s="3"/>
      <c r="F26" s="6"/>
      <c r="G26" s="1">
        <f t="shared" ca="1" si="0"/>
        <v>114140</v>
      </c>
      <c r="H26" s="13">
        <f t="shared" si="1"/>
        <v>122970</v>
      </c>
    </row>
    <row r="27" spans="1:8" ht="22.5" customHeight="1" x14ac:dyDescent="0.3">
      <c r="A27" s="10">
        <v>45925</v>
      </c>
      <c r="B27" s="4" t="s">
        <v>9</v>
      </c>
      <c r="C27" s="3">
        <v>144092</v>
      </c>
      <c r="D27" s="3"/>
      <c r="E27" s="3"/>
      <c r="F27" s="6"/>
      <c r="G27" s="1">
        <f t="shared" ca="1" si="0"/>
        <v>193354</v>
      </c>
      <c r="H27" s="13">
        <f t="shared" si="1"/>
        <v>126092</v>
      </c>
    </row>
    <row r="28" spans="1:8" ht="22.5" customHeight="1" x14ac:dyDescent="0.3">
      <c r="A28" s="10">
        <v>45926</v>
      </c>
      <c r="B28" s="5" t="s">
        <v>10</v>
      </c>
      <c r="C28" s="3">
        <v>204340</v>
      </c>
      <c r="D28" s="3"/>
      <c r="E28" s="3"/>
      <c r="F28" s="6"/>
      <c r="G28" s="1">
        <f t="shared" ca="1" si="0"/>
        <v>204705</v>
      </c>
      <c r="H28" s="13">
        <f t="shared" si="1"/>
        <v>186340</v>
      </c>
    </row>
    <row r="29" spans="1:8" ht="22.5" customHeight="1" x14ac:dyDescent="0.3">
      <c r="A29" s="10">
        <v>45927</v>
      </c>
      <c r="B29" s="5" t="s">
        <v>11</v>
      </c>
      <c r="C29" s="3">
        <v>241211</v>
      </c>
      <c r="D29" s="3"/>
      <c r="E29" s="3"/>
      <c r="F29" s="6"/>
      <c r="G29" s="1">
        <f t="shared" ca="1" si="0"/>
        <v>260863</v>
      </c>
      <c r="H29" s="13">
        <f t="shared" si="1"/>
        <v>223211</v>
      </c>
    </row>
    <row r="30" spans="1:8" ht="22.5" customHeight="1" x14ac:dyDescent="0.3">
      <c r="A30" s="10">
        <v>45928</v>
      </c>
      <c r="B30" s="5" t="s">
        <v>12</v>
      </c>
      <c r="C30" s="3">
        <v>158848</v>
      </c>
      <c r="D30" s="3"/>
      <c r="E30" s="3"/>
      <c r="F30" s="6"/>
      <c r="G30" s="1">
        <f t="shared" ca="1" si="0"/>
        <v>197647</v>
      </c>
      <c r="H30" s="13">
        <f t="shared" si="1"/>
        <v>140848</v>
      </c>
    </row>
    <row r="31" spans="1:8" ht="22.5" customHeight="1" x14ac:dyDescent="0.3">
      <c r="A31" s="10">
        <v>45929</v>
      </c>
      <c r="B31" s="4" t="s">
        <v>6</v>
      </c>
      <c r="C31" s="3">
        <v>138178</v>
      </c>
      <c r="D31" s="3"/>
      <c r="E31" s="3"/>
      <c r="F31" s="6"/>
      <c r="G31" s="1">
        <f t="shared" ca="1" si="0"/>
        <v>114879</v>
      </c>
      <c r="H31" s="13">
        <f t="shared" si="1"/>
        <v>120178</v>
      </c>
    </row>
    <row r="32" spans="1:8" ht="22.5" customHeight="1" x14ac:dyDescent="0.3">
      <c r="A32" s="10">
        <v>45930</v>
      </c>
      <c r="B32" s="4" t="s">
        <v>7</v>
      </c>
      <c r="C32" s="3">
        <v>139030</v>
      </c>
      <c r="D32" s="3"/>
      <c r="E32" s="3"/>
      <c r="F32" s="6"/>
      <c r="G32" s="1">
        <f t="shared" ca="1" si="0"/>
        <v>173467</v>
      </c>
      <c r="H32" s="13">
        <f t="shared" si="1"/>
        <v>121030</v>
      </c>
    </row>
    <row r="33" spans="1:7" ht="22.5" customHeight="1" x14ac:dyDescent="0.3">
      <c r="A33" s="10"/>
      <c r="B33" s="4"/>
      <c r="C33" s="3"/>
      <c r="D33" s="3"/>
      <c r="E33" s="3"/>
      <c r="F33" s="6"/>
      <c r="G33" s="1" t="str">
        <f t="shared" ca="1" si="0"/>
        <v/>
      </c>
    </row>
  </sheetData>
  <mergeCells count="1">
    <mergeCell ref="A1:B1"/>
  </mergeCells>
  <conditionalFormatting sqref="A3:A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3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 A1 A2:D2 D3:D33 B3:B3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AF9E-0466-423C-8AA9-E1624E4DD543}">
  <dimension ref="A1:H33"/>
  <sheetViews>
    <sheetView workbookViewId="0">
      <selection activeCell="C3" sqref="C3:C33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8" ht="22.5" customHeight="1" x14ac:dyDescent="0.3">
      <c r="A1" s="14" t="s">
        <v>3</v>
      </c>
      <c r="B1" s="14"/>
      <c r="C1" s="3">
        <f>SUM(C3:C33)</f>
        <v>4779848</v>
      </c>
      <c r="D1" s="3">
        <f>SUM(D3:D33)</f>
        <v>0</v>
      </c>
      <c r="E1" s="3">
        <f>C1-D1</f>
        <v>4779848</v>
      </c>
      <c r="F1" s="6" t="s">
        <v>4</v>
      </c>
    </row>
    <row r="2" spans="1:8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107870.91189359217</v>
      </c>
    </row>
    <row r="3" spans="1:8" ht="22.5" customHeight="1" x14ac:dyDescent="0.3">
      <c r="A3" s="10">
        <v>45931</v>
      </c>
      <c r="B3" s="4" t="s">
        <v>8</v>
      </c>
      <c r="C3" s="3">
        <v>84354</v>
      </c>
      <c r="D3" s="3"/>
      <c r="E3" s="3"/>
      <c r="F3" s="6"/>
      <c r="G3" s="1">
        <f ca="1">IF(B3="月",RANDBETWEEN(100000,180000),
 IF(B3="火",RANDBETWEEN(100000,180000),
 IF(B3="水",RANDBETWEEN(100000,180000),
 IF(B3="木",RANDBETWEEN(150000,200000),
 IF(B3="金",RANDBETWEEN(170000,250000),
 IF(B3="土",RANDBETWEEN(250000,280000),
 IF(B3="日",RANDBETWEEN(170000,250000),
 "")))))))</f>
        <v>157780</v>
      </c>
      <c r="H3" s="13">
        <f>C3+8000</f>
        <v>92354</v>
      </c>
    </row>
    <row r="4" spans="1:8" ht="22.5" customHeight="1" x14ac:dyDescent="0.3">
      <c r="A4" s="10">
        <v>45932</v>
      </c>
      <c r="B4" s="4" t="s">
        <v>9</v>
      </c>
      <c r="C4" s="3">
        <v>129064</v>
      </c>
      <c r="D4" s="3"/>
      <c r="E4" s="3"/>
      <c r="F4" s="6"/>
      <c r="G4" s="1">
        <f t="shared" ref="G4:G33" ca="1" si="0">IF(B4="月",RANDBETWEEN(100000,180000),
 IF(B4="火",RANDBETWEEN(100000,180000),
 IF(B4="水",RANDBETWEEN(100000,180000),
 IF(B4="木",RANDBETWEEN(150000,200000),
 IF(B4="金",RANDBETWEEN(170000,250000),
 IF(B4="土",RANDBETWEEN(250000,280000),
 IF(B4="日",RANDBETWEEN(170000,250000),
 "")))))))</f>
        <v>159011</v>
      </c>
      <c r="H4" s="13">
        <f t="shared" ref="H4:H33" si="1">C4+8000</f>
        <v>137064</v>
      </c>
    </row>
    <row r="5" spans="1:8" ht="22.5" customHeight="1" x14ac:dyDescent="0.3">
      <c r="A5" s="10">
        <v>45933</v>
      </c>
      <c r="B5" s="5" t="s">
        <v>10</v>
      </c>
      <c r="C5" s="3">
        <v>178249</v>
      </c>
      <c r="D5" s="3"/>
      <c r="E5" s="3"/>
      <c r="F5" s="6"/>
      <c r="G5" s="1">
        <f t="shared" ca="1" si="0"/>
        <v>180240</v>
      </c>
      <c r="H5" s="13">
        <f t="shared" si="1"/>
        <v>186249</v>
      </c>
    </row>
    <row r="6" spans="1:8" ht="22.5" customHeight="1" x14ac:dyDescent="0.3">
      <c r="A6" s="10">
        <v>45934</v>
      </c>
      <c r="B6" s="5" t="s">
        <v>11</v>
      </c>
      <c r="C6" s="3">
        <v>236209</v>
      </c>
      <c r="D6" s="3"/>
      <c r="E6" s="3"/>
      <c r="F6" s="6"/>
      <c r="G6" s="1">
        <f t="shared" ca="1" si="0"/>
        <v>256182</v>
      </c>
      <c r="H6" s="13">
        <f t="shared" si="1"/>
        <v>244209</v>
      </c>
    </row>
    <row r="7" spans="1:8" ht="22.5" customHeight="1" x14ac:dyDescent="0.3">
      <c r="A7" s="10">
        <v>45935</v>
      </c>
      <c r="B7" s="5" t="s">
        <v>12</v>
      </c>
      <c r="C7" s="3">
        <v>214908</v>
      </c>
      <c r="D7" s="3"/>
      <c r="E7" s="3"/>
      <c r="F7" s="6"/>
      <c r="G7" s="1">
        <f t="shared" ca="1" si="0"/>
        <v>179304</v>
      </c>
      <c r="H7" s="13">
        <f t="shared" si="1"/>
        <v>222908</v>
      </c>
    </row>
    <row r="8" spans="1:8" ht="22.5" customHeight="1" x14ac:dyDescent="0.3">
      <c r="A8" s="10">
        <v>45936</v>
      </c>
      <c r="B8" s="4" t="s">
        <v>6</v>
      </c>
      <c r="C8" s="3">
        <v>84556</v>
      </c>
      <c r="D8" s="3"/>
      <c r="E8" s="6"/>
      <c r="F8" s="6"/>
      <c r="G8" s="1">
        <f t="shared" ca="1" si="0"/>
        <v>149796</v>
      </c>
      <c r="H8" s="13">
        <f t="shared" si="1"/>
        <v>92556</v>
      </c>
    </row>
    <row r="9" spans="1:8" ht="22.5" customHeight="1" x14ac:dyDescent="0.3">
      <c r="A9" s="10">
        <v>45937</v>
      </c>
      <c r="B9" s="4" t="s">
        <v>7</v>
      </c>
      <c r="C9" s="3">
        <v>146539</v>
      </c>
      <c r="D9" s="3"/>
      <c r="E9" s="3"/>
      <c r="F9" s="6"/>
      <c r="G9" s="1">
        <f t="shared" ca="1" si="0"/>
        <v>160370</v>
      </c>
      <c r="H9" s="13">
        <f t="shared" si="1"/>
        <v>154539</v>
      </c>
    </row>
    <row r="10" spans="1:8" ht="22.5" customHeight="1" x14ac:dyDescent="0.3">
      <c r="A10" s="10">
        <v>45938</v>
      </c>
      <c r="B10" s="4" t="s">
        <v>8</v>
      </c>
      <c r="C10" s="3">
        <v>135226</v>
      </c>
      <c r="D10" s="3"/>
      <c r="E10" s="3"/>
      <c r="F10" s="6"/>
      <c r="G10" s="1">
        <f t="shared" ca="1" si="0"/>
        <v>147385</v>
      </c>
      <c r="H10" s="13">
        <f t="shared" si="1"/>
        <v>143226</v>
      </c>
    </row>
    <row r="11" spans="1:8" ht="22.5" customHeight="1" x14ac:dyDescent="0.3">
      <c r="A11" s="10">
        <v>45939</v>
      </c>
      <c r="B11" s="4" t="s">
        <v>9</v>
      </c>
      <c r="C11" s="3">
        <v>172037</v>
      </c>
      <c r="D11" s="3"/>
      <c r="E11" s="3"/>
      <c r="F11" s="6"/>
      <c r="G11" s="1">
        <f t="shared" ca="1" si="0"/>
        <v>184034</v>
      </c>
      <c r="H11" s="13">
        <f t="shared" si="1"/>
        <v>180037</v>
      </c>
    </row>
    <row r="12" spans="1:8" ht="22.5" customHeight="1" x14ac:dyDescent="0.3">
      <c r="A12" s="10">
        <v>45940</v>
      </c>
      <c r="B12" s="5" t="s">
        <v>10</v>
      </c>
      <c r="C12" s="3">
        <v>179642</v>
      </c>
      <c r="D12" s="3"/>
      <c r="E12" s="3"/>
      <c r="F12" s="6"/>
      <c r="G12" s="1">
        <f t="shared" ca="1" si="0"/>
        <v>242955</v>
      </c>
      <c r="H12" s="13">
        <f t="shared" si="1"/>
        <v>187642</v>
      </c>
    </row>
    <row r="13" spans="1:8" ht="22.5" customHeight="1" x14ac:dyDescent="0.3">
      <c r="A13" s="10">
        <v>45941</v>
      </c>
      <c r="B13" s="5" t="s">
        <v>11</v>
      </c>
      <c r="C13" s="3">
        <v>246864</v>
      </c>
      <c r="D13" s="3"/>
      <c r="E13" s="3"/>
      <c r="F13" s="6"/>
      <c r="G13" s="1">
        <f t="shared" ca="1" si="0"/>
        <v>273940</v>
      </c>
      <c r="H13" s="13">
        <f t="shared" si="1"/>
        <v>254864</v>
      </c>
    </row>
    <row r="14" spans="1:8" ht="22.5" customHeight="1" x14ac:dyDescent="0.3">
      <c r="A14" s="10">
        <v>45942</v>
      </c>
      <c r="B14" s="5" t="s">
        <v>12</v>
      </c>
      <c r="C14" s="3">
        <v>217154</v>
      </c>
      <c r="D14" s="3"/>
      <c r="E14" s="3"/>
      <c r="F14" s="6"/>
      <c r="G14" s="1">
        <f t="shared" ca="1" si="0"/>
        <v>219812</v>
      </c>
      <c r="H14" s="13">
        <f t="shared" si="1"/>
        <v>225154</v>
      </c>
    </row>
    <row r="15" spans="1:8" ht="22.5" customHeight="1" x14ac:dyDescent="0.3">
      <c r="A15" s="10">
        <v>45943</v>
      </c>
      <c r="B15" s="4" t="s">
        <v>6</v>
      </c>
      <c r="C15" s="3">
        <v>85823</v>
      </c>
      <c r="D15" s="3"/>
      <c r="E15" s="3"/>
      <c r="F15" s="6"/>
      <c r="G15" s="1">
        <f t="shared" ca="1" si="0"/>
        <v>173495</v>
      </c>
      <c r="H15" s="13">
        <f t="shared" si="1"/>
        <v>93823</v>
      </c>
    </row>
    <row r="16" spans="1:8" ht="22.5" customHeight="1" x14ac:dyDescent="0.3">
      <c r="A16" s="10">
        <v>45944</v>
      </c>
      <c r="B16" s="4" t="s">
        <v>7</v>
      </c>
      <c r="C16" s="3">
        <v>74643</v>
      </c>
      <c r="D16" s="3"/>
      <c r="E16" s="3"/>
      <c r="F16" s="6"/>
      <c r="G16" s="1">
        <f t="shared" ca="1" si="0"/>
        <v>152442</v>
      </c>
      <c r="H16" s="13">
        <f t="shared" si="1"/>
        <v>82643</v>
      </c>
    </row>
    <row r="17" spans="1:8" ht="22.5" customHeight="1" x14ac:dyDescent="0.3">
      <c r="A17" s="10">
        <v>45945</v>
      </c>
      <c r="B17" s="4" t="s">
        <v>8</v>
      </c>
      <c r="C17" s="3">
        <v>110077</v>
      </c>
      <c r="D17" s="3"/>
      <c r="E17" s="3"/>
      <c r="F17" s="6"/>
      <c r="G17" s="1">
        <f t="shared" ca="1" si="0"/>
        <v>158219</v>
      </c>
      <c r="H17" s="13">
        <f t="shared" si="1"/>
        <v>118077</v>
      </c>
    </row>
    <row r="18" spans="1:8" ht="22.5" customHeight="1" x14ac:dyDescent="0.3">
      <c r="A18" s="10">
        <v>45946</v>
      </c>
      <c r="B18" s="4" t="s">
        <v>9</v>
      </c>
      <c r="C18" s="3">
        <v>160439</v>
      </c>
      <c r="D18" s="3"/>
      <c r="E18" s="3"/>
      <c r="F18" s="6"/>
      <c r="G18" s="1">
        <f t="shared" ca="1" si="0"/>
        <v>177322</v>
      </c>
      <c r="H18" s="13">
        <f t="shared" si="1"/>
        <v>168439</v>
      </c>
    </row>
    <row r="19" spans="1:8" ht="22.5" customHeight="1" x14ac:dyDescent="0.3">
      <c r="A19" s="10">
        <v>45947</v>
      </c>
      <c r="B19" s="5" t="s">
        <v>10</v>
      </c>
      <c r="C19" s="3">
        <v>165851</v>
      </c>
      <c r="D19" s="3"/>
      <c r="E19" s="3"/>
      <c r="F19" s="6"/>
      <c r="G19" s="1">
        <f t="shared" ca="1" si="0"/>
        <v>244085</v>
      </c>
      <c r="H19" s="13">
        <f t="shared" si="1"/>
        <v>173851</v>
      </c>
    </row>
    <row r="20" spans="1:8" ht="22.5" customHeight="1" x14ac:dyDescent="0.3">
      <c r="A20" s="10">
        <v>45948</v>
      </c>
      <c r="B20" s="5" t="s">
        <v>11</v>
      </c>
      <c r="C20" s="3">
        <v>236487</v>
      </c>
      <c r="D20" s="3"/>
      <c r="E20" s="3"/>
      <c r="F20" s="6"/>
      <c r="G20" s="1">
        <f t="shared" ca="1" si="0"/>
        <v>276782</v>
      </c>
      <c r="H20" s="13">
        <f t="shared" si="1"/>
        <v>244487</v>
      </c>
    </row>
    <row r="21" spans="1:8" ht="22.5" customHeight="1" x14ac:dyDescent="0.3">
      <c r="A21" s="10">
        <v>45949</v>
      </c>
      <c r="B21" s="5" t="s">
        <v>12</v>
      </c>
      <c r="C21" s="3">
        <v>156855</v>
      </c>
      <c r="D21" s="3"/>
      <c r="E21" s="3"/>
      <c r="F21" s="6"/>
      <c r="G21" s="1">
        <f t="shared" ca="1" si="0"/>
        <v>209549</v>
      </c>
      <c r="H21" s="13">
        <f t="shared" si="1"/>
        <v>164855</v>
      </c>
    </row>
    <row r="22" spans="1:8" ht="22.5" customHeight="1" x14ac:dyDescent="0.3">
      <c r="A22" s="10">
        <v>45950</v>
      </c>
      <c r="B22" s="4" t="s">
        <v>6</v>
      </c>
      <c r="C22" s="3">
        <v>93417</v>
      </c>
      <c r="D22" s="3"/>
      <c r="E22" s="3"/>
      <c r="F22" s="6"/>
      <c r="G22" s="1">
        <f t="shared" ca="1" si="0"/>
        <v>178208</v>
      </c>
      <c r="H22" s="13">
        <f t="shared" si="1"/>
        <v>101417</v>
      </c>
    </row>
    <row r="23" spans="1:8" ht="22.5" customHeight="1" x14ac:dyDescent="0.3">
      <c r="A23" s="10">
        <v>45951</v>
      </c>
      <c r="B23" s="4" t="s">
        <v>7</v>
      </c>
      <c r="C23" s="3">
        <v>111645</v>
      </c>
      <c r="D23" s="3"/>
      <c r="E23" s="3"/>
      <c r="F23" s="6"/>
      <c r="G23" s="1">
        <f t="shared" ca="1" si="0"/>
        <v>138944</v>
      </c>
      <c r="H23" s="13">
        <f t="shared" si="1"/>
        <v>119645</v>
      </c>
    </row>
    <row r="24" spans="1:8" ht="22.5" customHeight="1" x14ac:dyDescent="0.3">
      <c r="A24" s="10">
        <v>45952</v>
      </c>
      <c r="B24" s="4" t="s">
        <v>8</v>
      </c>
      <c r="C24" s="3">
        <v>93677</v>
      </c>
      <c r="D24" s="3"/>
      <c r="E24" s="3"/>
      <c r="F24" s="6"/>
      <c r="G24" s="1">
        <f t="shared" ca="1" si="0"/>
        <v>130063</v>
      </c>
      <c r="H24" s="13">
        <f t="shared" si="1"/>
        <v>101677</v>
      </c>
    </row>
    <row r="25" spans="1:8" ht="22.5" customHeight="1" x14ac:dyDescent="0.3">
      <c r="A25" s="10">
        <v>45953</v>
      </c>
      <c r="B25" s="4" t="s">
        <v>9</v>
      </c>
      <c r="C25" s="3">
        <v>151183</v>
      </c>
      <c r="D25" s="3"/>
      <c r="E25" s="3"/>
      <c r="F25" s="6"/>
      <c r="G25" s="1">
        <f t="shared" ca="1" si="0"/>
        <v>167062</v>
      </c>
      <c r="H25" s="13">
        <f t="shared" si="1"/>
        <v>159183</v>
      </c>
    </row>
    <row r="26" spans="1:8" ht="22.5" customHeight="1" x14ac:dyDescent="0.3">
      <c r="A26" s="10">
        <v>45954</v>
      </c>
      <c r="B26" s="5" t="s">
        <v>10</v>
      </c>
      <c r="C26" s="3">
        <v>216011</v>
      </c>
      <c r="D26" s="3"/>
      <c r="E26" s="3"/>
      <c r="F26" s="6"/>
      <c r="G26" s="1">
        <f t="shared" ca="1" si="0"/>
        <v>248701</v>
      </c>
      <c r="H26" s="13">
        <f t="shared" si="1"/>
        <v>224011</v>
      </c>
    </row>
    <row r="27" spans="1:8" ht="22.5" customHeight="1" x14ac:dyDescent="0.3">
      <c r="A27" s="10">
        <v>45955</v>
      </c>
      <c r="B27" s="5" t="s">
        <v>11</v>
      </c>
      <c r="C27" s="3">
        <v>230116</v>
      </c>
      <c r="D27" s="3"/>
      <c r="E27" s="3"/>
      <c r="F27" s="6"/>
      <c r="G27" s="1">
        <f t="shared" ca="1" si="0"/>
        <v>264899</v>
      </c>
      <c r="H27" s="13">
        <f t="shared" si="1"/>
        <v>238116</v>
      </c>
    </row>
    <row r="28" spans="1:8" ht="22.5" customHeight="1" x14ac:dyDescent="0.3">
      <c r="A28" s="10">
        <v>45956</v>
      </c>
      <c r="B28" s="5" t="s">
        <v>12</v>
      </c>
      <c r="C28" s="3">
        <v>168128</v>
      </c>
      <c r="D28" s="3"/>
      <c r="E28" s="3"/>
      <c r="F28" s="6"/>
      <c r="G28" s="1">
        <f t="shared" ca="1" si="0"/>
        <v>249090</v>
      </c>
      <c r="H28" s="13">
        <f t="shared" si="1"/>
        <v>176128</v>
      </c>
    </row>
    <row r="29" spans="1:8" ht="22.5" customHeight="1" x14ac:dyDescent="0.3">
      <c r="A29" s="10">
        <v>45957</v>
      </c>
      <c r="B29" s="4" t="s">
        <v>6</v>
      </c>
      <c r="C29" s="3">
        <v>124407</v>
      </c>
      <c r="D29" s="3"/>
      <c r="E29" s="3"/>
      <c r="F29" s="6"/>
      <c r="G29" s="1">
        <f t="shared" ca="1" si="0"/>
        <v>139102</v>
      </c>
      <c r="H29" s="13">
        <f t="shared" si="1"/>
        <v>132407</v>
      </c>
    </row>
    <row r="30" spans="1:8" ht="22.5" customHeight="1" x14ac:dyDescent="0.3">
      <c r="A30" s="10">
        <v>45958</v>
      </c>
      <c r="B30" s="4" t="s">
        <v>7</v>
      </c>
      <c r="C30" s="3">
        <v>139509</v>
      </c>
      <c r="D30" s="3"/>
      <c r="E30" s="3"/>
      <c r="F30" s="6"/>
      <c r="G30" s="1">
        <f t="shared" ca="1" si="0"/>
        <v>132470</v>
      </c>
      <c r="H30" s="13">
        <f t="shared" si="1"/>
        <v>147509</v>
      </c>
    </row>
    <row r="31" spans="1:8" ht="22.5" customHeight="1" x14ac:dyDescent="0.3">
      <c r="A31" s="10">
        <v>45959</v>
      </c>
      <c r="B31" s="4" t="s">
        <v>8</v>
      </c>
      <c r="C31" s="3">
        <v>102900</v>
      </c>
      <c r="D31" s="3"/>
      <c r="E31" s="3"/>
      <c r="F31" s="6"/>
      <c r="G31" s="1">
        <f t="shared" ca="1" si="0"/>
        <v>134670</v>
      </c>
      <c r="H31" s="13">
        <f t="shared" si="1"/>
        <v>110900</v>
      </c>
    </row>
    <row r="32" spans="1:8" ht="22.5" customHeight="1" x14ac:dyDescent="0.3">
      <c r="A32" s="10">
        <v>45960</v>
      </c>
      <c r="B32" s="4" t="s">
        <v>9</v>
      </c>
      <c r="C32" s="3">
        <v>162628</v>
      </c>
      <c r="D32" s="3"/>
      <c r="E32" s="3"/>
      <c r="F32" s="6"/>
      <c r="G32" s="1">
        <f t="shared" ca="1" si="0"/>
        <v>160292</v>
      </c>
      <c r="H32" s="13">
        <f t="shared" si="1"/>
        <v>170628</v>
      </c>
    </row>
    <row r="33" spans="1:8" ht="22.5" customHeight="1" x14ac:dyDescent="0.3">
      <c r="A33" s="10">
        <v>45961</v>
      </c>
      <c r="B33" s="5" t="s">
        <v>10</v>
      </c>
      <c r="C33" s="3">
        <v>171250</v>
      </c>
      <c r="D33" s="3"/>
      <c r="E33" s="3"/>
      <c r="F33" s="6"/>
      <c r="G33" s="1">
        <f t="shared" ca="1" si="0"/>
        <v>205905</v>
      </c>
      <c r="H33" s="13">
        <f t="shared" si="1"/>
        <v>179250</v>
      </c>
    </row>
  </sheetData>
  <mergeCells count="1">
    <mergeCell ref="A1:B1"/>
  </mergeCells>
  <conditionalFormatting sqref="A3:A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3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B3:B3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F812-E78C-4E6C-8DBD-57417691AEC5}">
  <dimension ref="A1:H33"/>
  <sheetViews>
    <sheetView topLeftCell="A7" workbookViewId="0">
      <selection activeCell="C3" sqref="C3:C32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8" ht="22.5" customHeight="1" x14ac:dyDescent="0.3">
      <c r="A1" s="14" t="s">
        <v>3</v>
      </c>
      <c r="B1" s="14"/>
      <c r="C1" s="3">
        <f>SUM(C3:C33)</f>
        <v>4729936</v>
      </c>
      <c r="D1" s="3">
        <f>SUM(D3:D33)</f>
        <v>0</v>
      </c>
      <c r="E1" s="3">
        <f>C1-D1</f>
        <v>4729936</v>
      </c>
      <c r="F1" s="6" t="s">
        <v>4</v>
      </c>
    </row>
    <row r="2" spans="1:8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109606.14796839873</v>
      </c>
    </row>
    <row r="3" spans="1:8" ht="22.5" customHeight="1" x14ac:dyDescent="0.3">
      <c r="A3" s="10">
        <v>45962</v>
      </c>
      <c r="B3" s="5" t="s">
        <v>11</v>
      </c>
      <c r="C3" s="3">
        <v>249251</v>
      </c>
      <c r="D3" s="3"/>
      <c r="E3" s="3"/>
      <c r="F3" s="6"/>
      <c r="G3" s="1">
        <f ca="1">IF(B3="月",RANDBETWEEN(100000,180000),
 IF(B3="火",RANDBETWEEN(100000,180000),
 IF(B3="水",RANDBETWEEN(100000,180000),
 IF(B3="木",RANDBETWEEN(150000,200000),
 IF(B3="金",RANDBETWEEN(170000,250000),
 IF(B3="土",RANDBETWEEN(250000,280000),
 IF(B3="日",RANDBETWEEN(170000,250000),
 "")))))))</f>
        <v>278172</v>
      </c>
      <c r="H3" s="13">
        <f>C3-30000</f>
        <v>219251</v>
      </c>
    </row>
    <row r="4" spans="1:8" ht="22.5" customHeight="1" x14ac:dyDescent="0.3">
      <c r="A4" s="10">
        <v>45963</v>
      </c>
      <c r="B4" s="5" t="s">
        <v>12</v>
      </c>
      <c r="C4" s="3">
        <v>165193</v>
      </c>
      <c r="D4" s="3"/>
      <c r="E4" s="3"/>
      <c r="F4" s="6"/>
      <c r="G4" s="1">
        <f t="shared" ref="G4:G32" ca="1" si="0">IF(B4="月",RANDBETWEEN(100000,180000),
 IF(B4="火",RANDBETWEEN(100000,180000),
 IF(B4="水",RANDBETWEEN(100000,180000),
 IF(B4="木",RANDBETWEEN(150000,200000),
 IF(B4="金",RANDBETWEEN(170000,250000),
 IF(B4="土",RANDBETWEEN(250000,280000),
 IF(B4="日",RANDBETWEEN(170000,250000),
 "")))))))</f>
        <v>202394</v>
      </c>
      <c r="H4" s="13">
        <f t="shared" ref="H4:H32" si="1">C4-30000</f>
        <v>135193</v>
      </c>
    </row>
    <row r="5" spans="1:8" ht="22.5" customHeight="1" x14ac:dyDescent="0.3">
      <c r="A5" s="10">
        <v>45964</v>
      </c>
      <c r="B5" s="4" t="s">
        <v>6</v>
      </c>
      <c r="C5" s="3">
        <v>103971</v>
      </c>
      <c r="D5" s="3"/>
      <c r="E5" s="3"/>
      <c r="F5" s="6"/>
      <c r="G5" s="1">
        <f t="shared" ca="1" si="0"/>
        <v>112689</v>
      </c>
      <c r="H5" s="13">
        <f t="shared" si="1"/>
        <v>73971</v>
      </c>
    </row>
    <row r="6" spans="1:8" ht="22.5" customHeight="1" x14ac:dyDescent="0.3">
      <c r="A6" s="10">
        <v>45965</v>
      </c>
      <c r="B6" s="4" t="s">
        <v>7</v>
      </c>
      <c r="C6" s="3">
        <v>142855</v>
      </c>
      <c r="D6" s="3"/>
      <c r="E6" s="3"/>
      <c r="F6" s="6"/>
      <c r="G6" s="1">
        <f t="shared" ca="1" si="0"/>
        <v>126781</v>
      </c>
      <c r="H6" s="13">
        <f t="shared" si="1"/>
        <v>112855</v>
      </c>
    </row>
    <row r="7" spans="1:8" ht="22.5" customHeight="1" x14ac:dyDescent="0.3">
      <c r="A7" s="10">
        <v>45966</v>
      </c>
      <c r="B7" s="4" t="s">
        <v>8</v>
      </c>
      <c r="C7" s="3">
        <v>101045</v>
      </c>
      <c r="D7" s="3"/>
      <c r="E7" s="3"/>
      <c r="F7" s="6"/>
      <c r="G7" s="1">
        <f t="shared" ca="1" si="0"/>
        <v>135038</v>
      </c>
      <c r="H7" s="13">
        <f t="shared" si="1"/>
        <v>71045</v>
      </c>
    </row>
    <row r="8" spans="1:8" ht="22.5" customHeight="1" x14ac:dyDescent="0.3">
      <c r="A8" s="10">
        <v>45967</v>
      </c>
      <c r="B8" s="4" t="s">
        <v>9</v>
      </c>
      <c r="C8" s="3">
        <v>135148</v>
      </c>
      <c r="D8" s="3"/>
      <c r="E8" s="6"/>
      <c r="F8" s="6"/>
      <c r="G8" s="1">
        <f t="shared" ca="1" si="0"/>
        <v>158413</v>
      </c>
      <c r="H8" s="13">
        <f t="shared" si="1"/>
        <v>105148</v>
      </c>
    </row>
    <row r="9" spans="1:8" ht="22.5" customHeight="1" x14ac:dyDescent="0.3">
      <c r="A9" s="10">
        <v>45968</v>
      </c>
      <c r="B9" s="5" t="s">
        <v>10</v>
      </c>
      <c r="C9" s="3">
        <v>189470</v>
      </c>
      <c r="D9" s="3"/>
      <c r="E9" s="3"/>
      <c r="F9" s="6"/>
      <c r="G9" s="1">
        <f t="shared" ca="1" si="0"/>
        <v>227167</v>
      </c>
      <c r="H9" s="13">
        <f t="shared" si="1"/>
        <v>159470</v>
      </c>
    </row>
    <row r="10" spans="1:8" ht="22.5" customHeight="1" x14ac:dyDescent="0.3">
      <c r="A10" s="10">
        <v>45969</v>
      </c>
      <c r="B10" s="5" t="s">
        <v>11</v>
      </c>
      <c r="C10" s="3">
        <v>235510</v>
      </c>
      <c r="D10" s="3"/>
      <c r="E10" s="3"/>
      <c r="F10" s="6"/>
      <c r="G10" s="1">
        <f t="shared" ca="1" si="0"/>
        <v>270486</v>
      </c>
      <c r="H10" s="13">
        <f t="shared" si="1"/>
        <v>205510</v>
      </c>
    </row>
    <row r="11" spans="1:8" ht="22.5" customHeight="1" x14ac:dyDescent="0.3">
      <c r="A11" s="10">
        <v>45970</v>
      </c>
      <c r="B11" s="5" t="s">
        <v>12</v>
      </c>
      <c r="C11" s="3">
        <v>154171</v>
      </c>
      <c r="D11" s="3"/>
      <c r="E11" s="3"/>
      <c r="F11" s="6"/>
      <c r="G11" s="1">
        <f t="shared" ca="1" si="0"/>
        <v>203717</v>
      </c>
      <c r="H11" s="13">
        <f t="shared" si="1"/>
        <v>124171</v>
      </c>
    </row>
    <row r="12" spans="1:8" ht="22.5" customHeight="1" x14ac:dyDescent="0.3">
      <c r="A12" s="10">
        <v>45971</v>
      </c>
      <c r="B12" s="4" t="s">
        <v>6</v>
      </c>
      <c r="C12" s="3">
        <v>145135</v>
      </c>
      <c r="D12" s="3"/>
      <c r="E12" s="3"/>
      <c r="F12" s="6"/>
      <c r="G12" s="1">
        <f t="shared" ca="1" si="0"/>
        <v>158082</v>
      </c>
      <c r="H12" s="13">
        <f t="shared" si="1"/>
        <v>115135</v>
      </c>
    </row>
    <row r="13" spans="1:8" ht="22.5" customHeight="1" x14ac:dyDescent="0.3">
      <c r="A13" s="10">
        <v>45972</v>
      </c>
      <c r="B13" s="4" t="s">
        <v>7</v>
      </c>
      <c r="C13" s="3">
        <v>124253</v>
      </c>
      <c r="D13" s="3"/>
      <c r="E13" s="3"/>
      <c r="F13" s="6"/>
      <c r="G13" s="1">
        <f t="shared" ca="1" si="0"/>
        <v>173134</v>
      </c>
      <c r="H13" s="13">
        <f t="shared" si="1"/>
        <v>94253</v>
      </c>
    </row>
    <row r="14" spans="1:8" ht="22.5" customHeight="1" x14ac:dyDescent="0.3">
      <c r="A14" s="10">
        <v>45973</v>
      </c>
      <c r="B14" s="4" t="s">
        <v>8</v>
      </c>
      <c r="C14" s="3">
        <v>126327</v>
      </c>
      <c r="D14" s="3"/>
      <c r="E14" s="3"/>
      <c r="F14" s="6"/>
      <c r="G14" s="1">
        <f t="shared" ca="1" si="0"/>
        <v>129901</v>
      </c>
      <c r="H14" s="13">
        <f t="shared" si="1"/>
        <v>96327</v>
      </c>
    </row>
    <row r="15" spans="1:8" ht="22.5" customHeight="1" x14ac:dyDescent="0.3">
      <c r="A15" s="10">
        <v>45974</v>
      </c>
      <c r="B15" s="4" t="s">
        <v>9</v>
      </c>
      <c r="C15" s="3">
        <v>144945</v>
      </c>
      <c r="D15" s="3"/>
      <c r="E15" s="3"/>
      <c r="F15" s="6"/>
      <c r="G15" s="1">
        <f t="shared" ca="1" si="0"/>
        <v>152535</v>
      </c>
      <c r="H15" s="13">
        <f t="shared" si="1"/>
        <v>114945</v>
      </c>
    </row>
    <row r="16" spans="1:8" ht="22.5" customHeight="1" x14ac:dyDescent="0.3">
      <c r="A16" s="10">
        <v>45975</v>
      </c>
      <c r="B16" s="5" t="s">
        <v>10</v>
      </c>
      <c r="C16" s="3">
        <v>189521</v>
      </c>
      <c r="D16" s="3"/>
      <c r="E16" s="3"/>
      <c r="F16" s="6"/>
      <c r="G16" s="1">
        <f t="shared" ca="1" si="0"/>
        <v>245886</v>
      </c>
      <c r="H16" s="13">
        <f t="shared" si="1"/>
        <v>159521</v>
      </c>
    </row>
    <row r="17" spans="1:8" ht="22.5" customHeight="1" x14ac:dyDescent="0.3">
      <c r="A17" s="10">
        <v>45976</v>
      </c>
      <c r="B17" s="5" t="s">
        <v>11</v>
      </c>
      <c r="C17" s="3">
        <v>224279</v>
      </c>
      <c r="D17" s="3"/>
      <c r="E17" s="3"/>
      <c r="F17" s="6"/>
      <c r="G17" s="1">
        <f t="shared" ca="1" si="0"/>
        <v>267989</v>
      </c>
      <c r="H17" s="13">
        <f t="shared" si="1"/>
        <v>194279</v>
      </c>
    </row>
    <row r="18" spans="1:8" ht="22.5" customHeight="1" x14ac:dyDescent="0.3">
      <c r="A18" s="10">
        <v>45977</v>
      </c>
      <c r="B18" s="5" t="s">
        <v>12</v>
      </c>
      <c r="C18" s="3">
        <v>197271</v>
      </c>
      <c r="D18" s="3"/>
      <c r="E18" s="3"/>
      <c r="F18" s="6"/>
      <c r="G18" s="1">
        <f t="shared" ca="1" si="0"/>
        <v>216759</v>
      </c>
      <c r="H18" s="13">
        <f t="shared" si="1"/>
        <v>167271</v>
      </c>
    </row>
    <row r="19" spans="1:8" ht="22.5" customHeight="1" x14ac:dyDescent="0.3">
      <c r="A19" s="10">
        <v>45978</v>
      </c>
      <c r="B19" s="4" t="s">
        <v>6</v>
      </c>
      <c r="C19" s="3">
        <v>91590</v>
      </c>
      <c r="D19" s="3"/>
      <c r="E19" s="3"/>
      <c r="F19" s="6"/>
      <c r="G19" s="1">
        <f t="shared" ca="1" si="0"/>
        <v>120854</v>
      </c>
      <c r="H19" s="13">
        <f t="shared" si="1"/>
        <v>61590</v>
      </c>
    </row>
    <row r="20" spans="1:8" ht="22.5" customHeight="1" x14ac:dyDescent="0.3">
      <c r="A20" s="10">
        <v>45979</v>
      </c>
      <c r="B20" s="4" t="s">
        <v>7</v>
      </c>
      <c r="C20" s="3">
        <v>104133</v>
      </c>
      <c r="D20" s="3"/>
      <c r="E20" s="3"/>
      <c r="F20" s="6"/>
      <c r="G20" s="1">
        <f t="shared" ca="1" si="0"/>
        <v>111401</v>
      </c>
      <c r="H20" s="13">
        <f t="shared" si="1"/>
        <v>74133</v>
      </c>
    </row>
    <row r="21" spans="1:8" ht="22.5" customHeight="1" x14ac:dyDescent="0.3">
      <c r="A21" s="10">
        <v>45980</v>
      </c>
      <c r="B21" s="4" t="s">
        <v>8</v>
      </c>
      <c r="C21" s="3">
        <v>108889</v>
      </c>
      <c r="D21" s="3"/>
      <c r="E21" s="3"/>
      <c r="F21" s="6"/>
      <c r="G21" s="1">
        <f t="shared" ca="1" si="0"/>
        <v>148065</v>
      </c>
      <c r="H21" s="13">
        <f t="shared" si="1"/>
        <v>78889</v>
      </c>
    </row>
    <row r="22" spans="1:8" ht="22.5" customHeight="1" x14ac:dyDescent="0.3">
      <c r="A22" s="10">
        <v>45981</v>
      </c>
      <c r="B22" s="4" t="s">
        <v>9</v>
      </c>
      <c r="C22" s="3">
        <v>163600</v>
      </c>
      <c r="D22" s="3"/>
      <c r="E22" s="3"/>
      <c r="F22" s="6"/>
      <c r="G22" s="1">
        <f t="shared" ca="1" si="0"/>
        <v>183715</v>
      </c>
      <c r="H22" s="13">
        <f t="shared" si="1"/>
        <v>133600</v>
      </c>
    </row>
    <row r="23" spans="1:8" ht="22.5" customHeight="1" x14ac:dyDescent="0.3">
      <c r="A23" s="10">
        <v>45982</v>
      </c>
      <c r="B23" s="5" t="s">
        <v>10</v>
      </c>
      <c r="C23" s="3">
        <v>151187</v>
      </c>
      <c r="D23" s="3"/>
      <c r="E23" s="3"/>
      <c r="F23" s="6"/>
      <c r="G23" s="1">
        <f t="shared" ca="1" si="0"/>
        <v>249235</v>
      </c>
      <c r="H23" s="13">
        <f t="shared" si="1"/>
        <v>121187</v>
      </c>
    </row>
    <row r="24" spans="1:8" ht="22.5" customHeight="1" x14ac:dyDescent="0.3">
      <c r="A24" s="10">
        <v>45983</v>
      </c>
      <c r="B24" s="5" t="s">
        <v>11</v>
      </c>
      <c r="C24" s="3">
        <v>239431</v>
      </c>
      <c r="D24" s="3"/>
      <c r="E24" s="3"/>
      <c r="F24" s="6"/>
      <c r="G24" s="1">
        <f t="shared" ca="1" si="0"/>
        <v>263469</v>
      </c>
      <c r="H24" s="13">
        <f t="shared" si="1"/>
        <v>209431</v>
      </c>
    </row>
    <row r="25" spans="1:8" ht="22.5" customHeight="1" x14ac:dyDescent="0.3">
      <c r="A25" s="10">
        <v>45984</v>
      </c>
      <c r="B25" s="5" t="s">
        <v>12</v>
      </c>
      <c r="C25" s="3">
        <v>194709</v>
      </c>
      <c r="D25" s="3"/>
      <c r="E25" s="3"/>
      <c r="F25" s="6"/>
      <c r="G25" s="1">
        <f t="shared" ca="1" si="0"/>
        <v>242579</v>
      </c>
      <c r="H25" s="13">
        <f t="shared" si="1"/>
        <v>164709</v>
      </c>
    </row>
    <row r="26" spans="1:8" ht="22.5" customHeight="1" x14ac:dyDescent="0.3">
      <c r="A26" s="10">
        <v>45985</v>
      </c>
      <c r="B26" s="4" t="s">
        <v>6</v>
      </c>
      <c r="C26" s="3">
        <v>142584</v>
      </c>
      <c r="D26" s="3"/>
      <c r="E26" s="3"/>
      <c r="F26" s="6"/>
      <c r="G26" s="1">
        <f t="shared" ca="1" si="0"/>
        <v>136623</v>
      </c>
      <c r="H26" s="13">
        <f t="shared" si="1"/>
        <v>112584</v>
      </c>
    </row>
    <row r="27" spans="1:8" ht="22.5" customHeight="1" x14ac:dyDescent="0.3">
      <c r="A27" s="10">
        <v>45986</v>
      </c>
      <c r="B27" s="4" t="s">
        <v>7</v>
      </c>
      <c r="C27" s="3">
        <v>89856</v>
      </c>
      <c r="D27" s="3"/>
      <c r="E27" s="3"/>
      <c r="F27" s="6"/>
      <c r="G27" s="1">
        <f t="shared" ca="1" si="0"/>
        <v>107563</v>
      </c>
      <c r="H27" s="13">
        <f t="shared" si="1"/>
        <v>59856</v>
      </c>
    </row>
    <row r="28" spans="1:8" ht="22.5" customHeight="1" x14ac:dyDescent="0.3">
      <c r="A28" s="10">
        <v>45987</v>
      </c>
      <c r="B28" s="4" t="s">
        <v>8</v>
      </c>
      <c r="C28" s="3">
        <v>70939</v>
      </c>
      <c r="D28" s="3"/>
      <c r="E28" s="3"/>
      <c r="F28" s="6"/>
      <c r="G28" s="1">
        <f t="shared" ca="1" si="0"/>
        <v>119326</v>
      </c>
      <c r="H28" s="13">
        <f t="shared" si="1"/>
        <v>40939</v>
      </c>
    </row>
    <row r="29" spans="1:8" ht="22.5" customHeight="1" x14ac:dyDescent="0.3">
      <c r="A29" s="10">
        <v>45988</v>
      </c>
      <c r="B29" s="4" t="s">
        <v>9</v>
      </c>
      <c r="C29" s="3">
        <v>168635</v>
      </c>
      <c r="D29" s="3"/>
      <c r="E29" s="3"/>
      <c r="F29" s="6"/>
      <c r="G29" s="1">
        <f t="shared" ca="1" si="0"/>
        <v>197924</v>
      </c>
      <c r="H29" s="13">
        <f t="shared" si="1"/>
        <v>138635</v>
      </c>
    </row>
    <row r="30" spans="1:8" ht="22.5" customHeight="1" x14ac:dyDescent="0.3">
      <c r="A30" s="10">
        <v>45989</v>
      </c>
      <c r="B30" s="5" t="s">
        <v>10</v>
      </c>
      <c r="C30" s="3">
        <v>190934</v>
      </c>
      <c r="D30" s="3"/>
      <c r="E30" s="3"/>
      <c r="F30" s="6"/>
      <c r="G30" s="1">
        <f t="shared" ca="1" si="0"/>
        <v>172156</v>
      </c>
      <c r="H30" s="13">
        <f t="shared" si="1"/>
        <v>160934</v>
      </c>
    </row>
    <row r="31" spans="1:8" ht="22.5" customHeight="1" x14ac:dyDescent="0.3">
      <c r="A31" s="10">
        <v>45990</v>
      </c>
      <c r="B31" s="5" t="s">
        <v>11</v>
      </c>
      <c r="C31" s="3">
        <v>232097</v>
      </c>
      <c r="D31" s="3"/>
      <c r="E31" s="3"/>
      <c r="F31" s="6"/>
      <c r="G31" s="1">
        <f t="shared" ca="1" si="0"/>
        <v>272432</v>
      </c>
      <c r="H31" s="13">
        <f t="shared" si="1"/>
        <v>202097</v>
      </c>
    </row>
    <row r="32" spans="1:8" ht="22.5" customHeight="1" x14ac:dyDescent="0.3">
      <c r="A32" s="10">
        <v>45991</v>
      </c>
      <c r="B32" s="5" t="s">
        <v>12</v>
      </c>
      <c r="C32" s="3">
        <v>153007</v>
      </c>
      <c r="D32" s="3"/>
      <c r="E32" s="3"/>
      <c r="F32" s="6"/>
      <c r="G32" s="1">
        <f t="shared" ca="1" si="0"/>
        <v>246588</v>
      </c>
      <c r="H32" s="13">
        <f t="shared" si="1"/>
        <v>123007</v>
      </c>
    </row>
    <row r="33" spans="1:6" ht="22.5" customHeight="1" x14ac:dyDescent="0.3">
      <c r="A33" s="4"/>
      <c r="B33" s="4"/>
      <c r="C33" s="3"/>
      <c r="D33" s="3"/>
      <c r="E33" s="3"/>
      <c r="F33" s="6"/>
    </row>
  </sheetData>
  <mergeCells count="1">
    <mergeCell ref="A1:B1"/>
  </mergeCells>
  <conditionalFormatting sqref="A3:A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A33:B33 B3:B3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4EF9-BB39-4E9C-89CF-94ACD147A50D}">
  <dimension ref="A1:H33"/>
  <sheetViews>
    <sheetView topLeftCell="A7" workbookViewId="0">
      <selection activeCell="C3" sqref="C3:C33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8" ht="22.5" customHeight="1" x14ac:dyDescent="0.3">
      <c r="A1" s="14" t="s">
        <v>3</v>
      </c>
      <c r="B1" s="14"/>
      <c r="C1" s="3">
        <f>SUM(C3:C33)</f>
        <v>5730195</v>
      </c>
      <c r="D1" s="3">
        <f>SUM(D3:D33)</f>
        <v>0</v>
      </c>
      <c r="E1" s="3">
        <f>C1-D1</f>
        <v>5730195</v>
      </c>
      <c r="F1" s="6" t="s">
        <v>4</v>
      </c>
    </row>
    <row r="2" spans="1:8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116521.92819650759</v>
      </c>
    </row>
    <row r="3" spans="1:8" ht="22.5" customHeight="1" x14ac:dyDescent="0.3">
      <c r="A3" s="10">
        <v>45992</v>
      </c>
      <c r="B3" s="4" t="s">
        <v>6</v>
      </c>
      <c r="C3" s="3">
        <v>122901</v>
      </c>
      <c r="D3" s="3"/>
      <c r="E3" s="3"/>
      <c r="F3" s="6"/>
      <c r="G3" s="1">
        <f ca="1">IF(B3="月",RANDBETWEEN(100000,180000),
 IF(B3="火",RANDBETWEEN(100000,180000),
 IF(B3="水",RANDBETWEEN(100000,180000),
 IF(B3="木",RANDBETWEEN(150000,200000),
 IF(B3="金",RANDBETWEEN(170000,250000),
 IF(B3="土",RANDBETWEEN(250000,280000),
 IF(B3="日",RANDBETWEEN(170000,250000),
 "")))))))</f>
        <v>131154</v>
      </c>
      <c r="H3" s="13">
        <f>C3-26000</f>
        <v>96901</v>
      </c>
    </row>
    <row r="4" spans="1:8" ht="22.5" customHeight="1" x14ac:dyDescent="0.3">
      <c r="A4" s="10">
        <v>45993</v>
      </c>
      <c r="B4" s="4" t="s">
        <v>7</v>
      </c>
      <c r="C4" s="3">
        <v>92518</v>
      </c>
      <c r="D4" s="3"/>
      <c r="E4" s="3"/>
      <c r="F4" s="6"/>
      <c r="G4" s="1">
        <f t="shared" ref="G4:G33" ca="1" si="0">IF(B4="月",RANDBETWEEN(100000,180000),
 IF(B4="火",RANDBETWEEN(100000,180000),
 IF(B4="水",RANDBETWEEN(100000,180000),
 IF(B4="木",RANDBETWEEN(150000,200000),
 IF(B4="金",RANDBETWEEN(170000,250000),
 IF(B4="土",RANDBETWEEN(250000,280000),
 IF(B4="日",RANDBETWEEN(170000,250000),
 "")))))))</f>
        <v>154810</v>
      </c>
      <c r="H4" s="13">
        <f t="shared" ref="H4:H33" si="1">C4-26000</f>
        <v>66518</v>
      </c>
    </row>
    <row r="5" spans="1:8" ht="22.5" customHeight="1" x14ac:dyDescent="0.3">
      <c r="A5" s="10">
        <v>45994</v>
      </c>
      <c r="B5" s="4" t="s">
        <v>8</v>
      </c>
      <c r="C5" s="3">
        <v>121052</v>
      </c>
      <c r="D5" s="3"/>
      <c r="E5" s="3"/>
      <c r="F5" s="6"/>
      <c r="G5" s="1">
        <f t="shared" ca="1" si="0"/>
        <v>176120</v>
      </c>
      <c r="H5" s="13">
        <f t="shared" si="1"/>
        <v>95052</v>
      </c>
    </row>
    <row r="6" spans="1:8" ht="22.5" customHeight="1" x14ac:dyDescent="0.3">
      <c r="A6" s="10">
        <v>45995</v>
      </c>
      <c r="B6" s="4" t="s">
        <v>9</v>
      </c>
      <c r="C6" s="3">
        <v>129581</v>
      </c>
      <c r="D6" s="3"/>
      <c r="E6" s="3"/>
      <c r="F6" s="6"/>
      <c r="G6" s="1">
        <f t="shared" ca="1" si="0"/>
        <v>190950</v>
      </c>
      <c r="H6" s="13">
        <f t="shared" si="1"/>
        <v>103581</v>
      </c>
    </row>
    <row r="7" spans="1:8" ht="22.5" customHeight="1" x14ac:dyDescent="0.3">
      <c r="A7" s="10">
        <v>45996</v>
      </c>
      <c r="B7" s="5" t="s">
        <v>10</v>
      </c>
      <c r="C7" s="3">
        <v>144178</v>
      </c>
      <c r="D7" s="3"/>
      <c r="E7" s="3"/>
      <c r="F7" s="6"/>
      <c r="G7" s="1">
        <f t="shared" ca="1" si="0"/>
        <v>239557</v>
      </c>
      <c r="H7" s="13">
        <f t="shared" si="1"/>
        <v>118178</v>
      </c>
    </row>
    <row r="8" spans="1:8" ht="22.5" customHeight="1" x14ac:dyDescent="0.3">
      <c r="A8" s="10">
        <v>45997</v>
      </c>
      <c r="B8" s="5" t="s">
        <v>11</v>
      </c>
      <c r="C8" s="3">
        <v>241040</v>
      </c>
      <c r="D8" s="3"/>
      <c r="E8" s="6"/>
      <c r="F8" s="6"/>
      <c r="G8" s="1">
        <f t="shared" ca="1" si="0"/>
        <v>277289</v>
      </c>
      <c r="H8" s="13">
        <f t="shared" si="1"/>
        <v>215040</v>
      </c>
    </row>
    <row r="9" spans="1:8" ht="22.5" customHeight="1" x14ac:dyDescent="0.3">
      <c r="A9" s="10">
        <v>45998</v>
      </c>
      <c r="B9" s="5" t="s">
        <v>12</v>
      </c>
      <c r="C9" s="3">
        <v>209620</v>
      </c>
      <c r="D9" s="3"/>
      <c r="E9" s="3"/>
      <c r="F9" s="6"/>
      <c r="G9" s="1">
        <f t="shared" ca="1" si="0"/>
        <v>225688</v>
      </c>
      <c r="H9" s="13">
        <f t="shared" si="1"/>
        <v>183620</v>
      </c>
    </row>
    <row r="10" spans="1:8" ht="22.5" customHeight="1" x14ac:dyDescent="0.3">
      <c r="A10" s="10">
        <v>45999</v>
      </c>
      <c r="B10" s="4" t="s">
        <v>6</v>
      </c>
      <c r="C10" s="3">
        <v>147621</v>
      </c>
      <c r="D10" s="3"/>
      <c r="E10" s="3"/>
      <c r="F10" s="6"/>
      <c r="G10" s="1">
        <f t="shared" ca="1" si="0"/>
        <v>173583</v>
      </c>
      <c r="H10" s="13">
        <f t="shared" si="1"/>
        <v>121621</v>
      </c>
    </row>
    <row r="11" spans="1:8" ht="22.5" customHeight="1" x14ac:dyDescent="0.3">
      <c r="A11" s="10">
        <v>46000</v>
      </c>
      <c r="B11" s="4" t="s">
        <v>7</v>
      </c>
      <c r="C11" s="3">
        <v>150575</v>
      </c>
      <c r="D11" s="3"/>
      <c r="E11" s="3"/>
      <c r="F11" s="6"/>
      <c r="G11" s="1">
        <f t="shared" ca="1" si="0"/>
        <v>176022</v>
      </c>
      <c r="H11" s="13">
        <f t="shared" si="1"/>
        <v>124575</v>
      </c>
    </row>
    <row r="12" spans="1:8" ht="22.5" customHeight="1" x14ac:dyDescent="0.3">
      <c r="A12" s="10">
        <v>46001</v>
      </c>
      <c r="B12" s="4" t="s">
        <v>8</v>
      </c>
      <c r="C12" s="3">
        <v>120466</v>
      </c>
      <c r="D12" s="3"/>
      <c r="E12" s="3"/>
      <c r="F12" s="6"/>
      <c r="G12" s="1">
        <f t="shared" ca="1" si="0"/>
        <v>166865</v>
      </c>
      <c r="H12" s="13">
        <f t="shared" si="1"/>
        <v>94466</v>
      </c>
    </row>
    <row r="13" spans="1:8" ht="22.5" customHeight="1" x14ac:dyDescent="0.3">
      <c r="A13" s="10">
        <v>46002</v>
      </c>
      <c r="B13" s="4" t="s">
        <v>9</v>
      </c>
      <c r="C13" s="3">
        <v>152585</v>
      </c>
      <c r="D13" s="3"/>
      <c r="E13" s="3"/>
      <c r="F13" s="6"/>
      <c r="G13" s="1">
        <f t="shared" ca="1" si="0"/>
        <v>164537</v>
      </c>
      <c r="H13" s="13">
        <f t="shared" si="1"/>
        <v>126585</v>
      </c>
    </row>
    <row r="14" spans="1:8" ht="22.5" customHeight="1" x14ac:dyDescent="0.3">
      <c r="A14" s="10">
        <v>46003</v>
      </c>
      <c r="B14" s="5" t="s">
        <v>10</v>
      </c>
      <c r="C14" s="3">
        <v>219383</v>
      </c>
      <c r="D14" s="3"/>
      <c r="E14" s="3"/>
      <c r="F14" s="6"/>
      <c r="G14" s="1">
        <f t="shared" ca="1" si="0"/>
        <v>172892</v>
      </c>
      <c r="H14" s="13">
        <f t="shared" si="1"/>
        <v>193383</v>
      </c>
    </row>
    <row r="15" spans="1:8" ht="22.5" customHeight="1" x14ac:dyDescent="0.3">
      <c r="A15" s="10">
        <v>46004</v>
      </c>
      <c r="B15" s="5" t="s">
        <v>11</v>
      </c>
      <c r="C15" s="3">
        <v>248428</v>
      </c>
      <c r="D15" s="3"/>
      <c r="E15" s="3"/>
      <c r="F15" s="6"/>
      <c r="G15" s="1">
        <f t="shared" ca="1" si="0"/>
        <v>276427</v>
      </c>
      <c r="H15" s="13">
        <f t="shared" si="1"/>
        <v>222428</v>
      </c>
    </row>
    <row r="16" spans="1:8" ht="22.5" customHeight="1" x14ac:dyDescent="0.3">
      <c r="A16" s="10">
        <v>46005</v>
      </c>
      <c r="B16" s="5" t="s">
        <v>12</v>
      </c>
      <c r="C16" s="3">
        <v>145428</v>
      </c>
      <c r="D16" s="3"/>
      <c r="E16" s="3"/>
      <c r="F16" s="6"/>
      <c r="G16" s="1">
        <f t="shared" ca="1" si="0"/>
        <v>184152</v>
      </c>
      <c r="H16" s="13">
        <f t="shared" si="1"/>
        <v>119428</v>
      </c>
    </row>
    <row r="17" spans="1:8" ht="22.5" customHeight="1" x14ac:dyDescent="0.3">
      <c r="A17" s="10">
        <v>46006</v>
      </c>
      <c r="B17" s="4" t="s">
        <v>6</v>
      </c>
      <c r="C17" s="3">
        <v>137075</v>
      </c>
      <c r="D17" s="3"/>
      <c r="E17" s="3"/>
      <c r="F17" s="6"/>
      <c r="G17" s="1">
        <f t="shared" ca="1" si="0"/>
        <v>101000</v>
      </c>
      <c r="H17" s="13">
        <f t="shared" si="1"/>
        <v>111075</v>
      </c>
    </row>
    <row r="18" spans="1:8" ht="22.5" customHeight="1" x14ac:dyDescent="0.3">
      <c r="A18" s="10">
        <v>46007</v>
      </c>
      <c r="B18" s="4" t="s">
        <v>7</v>
      </c>
      <c r="C18" s="3">
        <v>127998</v>
      </c>
      <c r="D18" s="3"/>
      <c r="E18" s="3"/>
      <c r="F18" s="6"/>
      <c r="G18" s="1">
        <f t="shared" ca="1" si="0"/>
        <v>171810</v>
      </c>
      <c r="H18" s="13">
        <f t="shared" si="1"/>
        <v>101998</v>
      </c>
    </row>
    <row r="19" spans="1:8" ht="22.5" customHeight="1" x14ac:dyDescent="0.3">
      <c r="A19" s="10">
        <v>46008</v>
      </c>
      <c r="B19" s="4" t="s">
        <v>8</v>
      </c>
      <c r="C19" s="3">
        <v>143814</v>
      </c>
      <c r="D19" s="3"/>
      <c r="E19" s="3"/>
      <c r="F19" s="6"/>
      <c r="G19" s="1">
        <f t="shared" ca="1" si="0"/>
        <v>106643</v>
      </c>
      <c r="H19" s="13">
        <f t="shared" si="1"/>
        <v>117814</v>
      </c>
    </row>
    <row r="20" spans="1:8" ht="22.5" customHeight="1" x14ac:dyDescent="0.3">
      <c r="A20" s="10">
        <v>46009</v>
      </c>
      <c r="B20" s="4" t="s">
        <v>9</v>
      </c>
      <c r="C20" s="3">
        <v>169599</v>
      </c>
      <c r="D20" s="3"/>
      <c r="E20" s="3"/>
      <c r="F20" s="6"/>
      <c r="G20" s="1">
        <f t="shared" ca="1" si="0"/>
        <v>189932</v>
      </c>
      <c r="H20" s="13">
        <f t="shared" si="1"/>
        <v>143599</v>
      </c>
    </row>
    <row r="21" spans="1:8" ht="22.5" customHeight="1" x14ac:dyDescent="0.3">
      <c r="A21" s="10">
        <v>46010</v>
      </c>
      <c r="B21" s="5" t="s">
        <v>10</v>
      </c>
      <c r="C21" s="3">
        <v>173681</v>
      </c>
      <c r="D21" s="3"/>
      <c r="E21" s="3"/>
      <c r="F21" s="6"/>
      <c r="G21" s="1">
        <f t="shared" ca="1" si="0"/>
        <v>233942</v>
      </c>
      <c r="H21" s="13">
        <f t="shared" si="1"/>
        <v>147681</v>
      </c>
    </row>
    <row r="22" spans="1:8" ht="22.5" customHeight="1" x14ac:dyDescent="0.3">
      <c r="A22" s="10">
        <v>46011</v>
      </c>
      <c r="B22" s="5" t="s">
        <v>11</v>
      </c>
      <c r="C22" s="3">
        <v>224512</v>
      </c>
      <c r="D22" s="3"/>
      <c r="E22" s="3"/>
      <c r="F22" s="6"/>
      <c r="G22" s="1">
        <f t="shared" ca="1" si="0"/>
        <v>260579</v>
      </c>
      <c r="H22" s="13">
        <f t="shared" si="1"/>
        <v>198512</v>
      </c>
    </row>
    <row r="23" spans="1:8" ht="22.5" customHeight="1" x14ac:dyDescent="0.3">
      <c r="A23" s="10">
        <v>46012</v>
      </c>
      <c r="B23" s="5" t="s">
        <v>12</v>
      </c>
      <c r="C23" s="3">
        <v>154468</v>
      </c>
      <c r="D23" s="3"/>
      <c r="E23" s="3"/>
      <c r="F23" s="6"/>
      <c r="G23" s="1">
        <f t="shared" ca="1" si="0"/>
        <v>211720</v>
      </c>
      <c r="H23" s="13">
        <f t="shared" si="1"/>
        <v>128468</v>
      </c>
    </row>
    <row r="24" spans="1:8" ht="22.5" customHeight="1" x14ac:dyDescent="0.3">
      <c r="A24" s="10">
        <v>46013</v>
      </c>
      <c r="B24" s="4" t="s">
        <v>6</v>
      </c>
      <c r="C24" s="3">
        <v>89474</v>
      </c>
      <c r="D24" s="3"/>
      <c r="E24" s="3"/>
      <c r="F24" s="6"/>
      <c r="G24" s="1">
        <f t="shared" ca="1" si="0"/>
        <v>122814</v>
      </c>
      <c r="H24" s="13">
        <f t="shared" si="1"/>
        <v>63474</v>
      </c>
    </row>
    <row r="25" spans="1:8" ht="22.5" customHeight="1" x14ac:dyDescent="0.3">
      <c r="A25" s="10">
        <v>46014</v>
      </c>
      <c r="B25" s="4" t="s">
        <v>7</v>
      </c>
      <c r="C25" s="3">
        <v>88742</v>
      </c>
      <c r="D25" s="3"/>
      <c r="E25" s="3"/>
      <c r="F25" s="6"/>
      <c r="G25" s="1">
        <f t="shared" ca="1" si="0"/>
        <v>142226</v>
      </c>
      <c r="H25" s="13">
        <f t="shared" si="1"/>
        <v>62742</v>
      </c>
    </row>
    <row r="26" spans="1:8" ht="22.5" customHeight="1" x14ac:dyDescent="0.3">
      <c r="A26" s="10">
        <v>46015</v>
      </c>
      <c r="B26" s="4" t="s">
        <v>8</v>
      </c>
      <c r="C26" s="3">
        <v>160052</v>
      </c>
      <c r="D26" s="3"/>
      <c r="E26" s="3"/>
      <c r="F26" s="6"/>
      <c r="G26" s="1">
        <f t="shared" ca="1" si="0"/>
        <v>151433</v>
      </c>
      <c r="H26" s="13">
        <f t="shared" si="1"/>
        <v>134052</v>
      </c>
    </row>
    <row r="27" spans="1:8" ht="22.5" customHeight="1" x14ac:dyDescent="0.3">
      <c r="A27" s="10">
        <v>46016</v>
      </c>
      <c r="B27" s="4" t="s">
        <v>9</v>
      </c>
      <c r="C27" s="3">
        <v>227793</v>
      </c>
      <c r="D27" s="3"/>
      <c r="E27" s="3"/>
      <c r="F27" s="6"/>
      <c r="G27" s="1">
        <f t="shared" ca="1" si="0"/>
        <v>176919</v>
      </c>
      <c r="H27" s="13">
        <f t="shared" si="1"/>
        <v>201793</v>
      </c>
    </row>
    <row r="28" spans="1:8" ht="22.5" customHeight="1" x14ac:dyDescent="0.3">
      <c r="A28" s="10">
        <v>46017</v>
      </c>
      <c r="B28" s="5" t="s">
        <v>10</v>
      </c>
      <c r="C28" s="3">
        <v>305558</v>
      </c>
      <c r="D28" s="3"/>
      <c r="E28" s="3"/>
      <c r="F28" s="6"/>
      <c r="G28" s="1">
        <f t="shared" ca="1" si="0"/>
        <v>236932</v>
      </c>
      <c r="H28" s="13">
        <f t="shared" si="1"/>
        <v>279558</v>
      </c>
    </row>
    <row r="29" spans="1:8" ht="22.5" customHeight="1" x14ac:dyDescent="0.3">
      <c r="A29" s="10">
        <v>46018</v>
      </c>
      <c r="B29" s="5" t="s">
        <v>11</v>
      </c>
      <c r="C29" s="3">
        <v>344614</v>
      </c>
      <c r="D29" s="3"/>
      <c r="E29" s="3"/>
      <c r="F29" s="6"/>
      <c r="G29" s="1">
        <f t="shared" ca="1" si="0"/>
        <v>276571</v>
      </c>
      <c r="H29" s="13">
        <f t="shared" si="1"/>
        <v>318614</v>
      </c>
    </row>
    <row r="30" spans="1:8" ht="22.5" customHeight="1" x14ac:dyDescent="0.3">
      <c r="A30" s="10">
        <v>46019</v>
      </c>
      <c r="B30" s="5" t="s">
        <v>12</v>
      </c>
      <c r="C30" s="3">
        <v>326199</v>
      </c>
      <c r="D30" s="3"/>
      <c r="E30" s="3"/>
      <c r="F30" s="6"/>
      <c r="G30" s="1">
        <f t="shared" ca="1" si="0"/>
        <v>209713</v>
      </c>
      <c r="H30" s="13">
        <f t="shared" si="1"/>
        <v>300199</v>
      </c>
    </row>
    <row r="31" spans="1:8" ht="22.5" customHeight="1" x14ac:dyDescent="0.3">
      <c r="A31" s="10">
        <v>46020</v>
      </c>
      <c r="B31" s="4" t="s">
        <v>6</v>
      </c>
      <c r="C31" s="3">
        <v>256504</v>
      </c>
      <c r="D31" s="3"/>
      <c r="E31" s="3"/>
      <c r="F31" s="6"/>
      <c r="G31" s="1">
        <f t="shared" ca="1" si="0"/>
        <v>121431</v>
      </c>
      <c r="H31" s="13">
        <f t="shared" si="1"/>
        <v>230504</v>
      </c>
    </row>
    <row r="32" spans="1:8" ht="22.5" customHeight="1" x14ac:dyDescent="0.3">
      <c r="A32" s="10">
        <v>46021</v>
      </c>
      <c r="B32" s="4" t="s">
        <v>7</v>
      </c>
      <c r="C32" s="3">
        <v>270331</v>
      </c>
      <c r="D32" s="3"/>
      <c r="E32" s="3"/>
      <c r="F32" s="6"/>
      <c r="G32" s="1">
        <f t="shared" ca="1" si="0"/>
        <v>178415</v>
      </c>
      <c r="H32" s="13">
        <f t="shared" si="1"/>
        <v>244331</v>
      </c>
    </row>
    <row r="33" spans="1:8" ht="22.5" customHeight="1" x14ac:dyDescent="0.3">
      <c r="A33" s="10">
        <v>46022</v>
      </c>
      <c r="B33" s="4" t="s">
        <v>8</v>
      </c>
      <c r="C33" s="3">
        <v>284405</v>
      </c>
      <c r="D33" s="3"/>
      <c r="E33" s="3"/>
      <c r="F33" s="6"/>
      <c r="G33" s="1">
        <f t="shared" ca="1" si="0"/>
        <v>151752</v>
      </c>
      <c r="H33" s="13">
        <f t="shared" si="1"/>
        <v>258405</v>
      </c>
    </row>
  </sheetData>
  <mergeCells count="1">
    <mergeCell ref="A1:B1"/>
  </mergeCells>
  <conditionalFormatting sqref="A3:A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B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35CC-25D7-4962-8D2C-13ABCD545AA4}">
  <dimension ref="A1:G33"/>
  <sheetViews>
    <sheetView workbookViewId="0">
      <selection activeCell="F2" sqref="F2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7" ht="22.5" customHeight="1" x14ac:dyDescent="0.3">
      <c r="A1" s="14" t="s">
        <v>3</v>
      </c>
      <c r="B1" s="14"/>
      <c r="C1" s="3">
        <f>SUM(C3:C33)</f>
        <v>4969964.0823067855</v>
      </c>
      <c r="D1" s="3">
        <f>SUM(D3:D33)</f>
        <v>0</v>
      </c>
      <c r="E1" s="3">
        <f>C1-D1</f>
        <v>4969964.0823067855</v>
      </c>
      <c r="F1" s="6" t="s">
        <v>4</v>
      </c>
    </row>
    <row r="2" spans="1:7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142884.40464495681</v>
      </c>
    </row>
    <row r="3" spans="1:7" ht="22.5" customHeight="1" x14ac:dyDescent="0.3">
      <c r="A3" s="10">
        <v>46023</v>
      </c>
      <c r="B3" s="4" t="s">
        <v>9</v>
      </c>
      <c r="C3" s="3">
        <v>159014.92019006313</v>
      </c>
      <c r="D3" s="3"/>
      <c r="E3" s="3"/>
      <c r="F3" s="6"/>
      <c r="G3" s="13">
        <f>C3-1500</f>
        <v>157514.92019006313</v>
      </c>
    </row>
    <row r="4" spans="1:7" ht="22.5" customHeight="1" x14ac:dyDescent="0.3">
      <c r="A4" s="10">
        <v>46024</v>
      </c>
      <c r="B4" s="5" t="s">
        <v>10</v>
      </c>
      <c r="C4" s="3">
        <v>192254.82214898523</v>
      </c>
      <c r="D4" s="3"/>
      <c r="E4" s="3"/>
      <c r="F4" s="6"/>
      <c r="G4" s="13">
        <f t="shared" ref="G4:G33" si="0">C4-1500</f>
        <v>190754.82214898523</v>
      </c>
    </row>
    <row r="5" spans="1:7" ht="22.5" customHeight="1" x14ac:dyDescent="0.3">
      <c r="A5" s="10">
        <v>46025</v>
      </c>
      <c r="B5" s="5" t="s">
        <v>11</v>
      </c>
      <c r="C5" s="3">
        <v>182823.35628283836</v>
      </c>
      <c r="D5" s="3"/>
      <c r="E5" s="3"/>
      <c r="F5" s="6"/>
      <c r="G5" s="13">
        <f t="shared" si="0"/>
        <v>181323.35628283836</v>
      </c>
    </row>
    <row r="6" spans="1:7" ht="22.5" customHeight="1" x14ac:dyDescent="0.3">
      <c r="A6" s="10">
        <v>46026</v>
      </c>
      <c r="B6" s="5" t="s">
        <v>12</v>
      </c>
      <c r="C6" s="3">
        <v>291425.23999806202</v>
      </c>
      <c r="D6" s="3"/>
      <c r="E6" s="3"/>
      <c r="F6" s="6"/>
      <c r="G6" s="13">
        <f t="shared" si="0"/>
        <v>289925.23999806202</v>
      </c>
    </row>
    <row r="7" spans="1:7" ht="22.5" customHeight="1" x14ac:dyDescent="0.3">
      <c r="A7" s="10">
        <v>46027</v>
      </c>
      <c r="B7" s="4" t="s">
        <v>6</v>
      </c>
      <c r="C7" s="3">
        <v>172722.549036665</v>
      </c>
      <c r="D7" s="3"/>
      <c r="E7" s="3"/>
      <c r="F7" s="6"/>
      <c r="G7" s="13">
        <f t="shared" si="0"/>
        <v>171222.549036665</v>
      </c>
    </row>
    <row r="8" spans="1:7" ht="22.5" customHeight="1" x14ac:dyDescent="0.3">
      <c r="A8" s="10">
        <v>46028</v>
      </c>
      <c r="B8" s="4" t="s">
        <v>7</v>
      </c>
      <c r="C8" s="3">
        <v>137222.07041985501</v>
      </c>
      <c r="D8" s="3"/>
      <c r="E8" s="6"/>
      <c r="F8" s="6"/>
      <c r="G8" s="13">
        <f t="shared" si="0"/>
        <v>135722.07041985501</v>
      </c>
    </row>
    <row r="9" spans="1:7" ht="22.5" customHeight="1" x14ac:dyDescent="0.3">
      <c r="A9" s="10">
        <v>46029</v>
      </c>
      <c r="B9" s="4" t="s">
        <v>8</v>
      </c>
      <c r="C9" s="3">
        <v>130442.76692147399</v>
      </c>
      <c r="D9" s="3"/>
      <c r="E9" s="3"/>
      <c r="F9" s="6"/>
      <c r="G9" s="13">
        <f t="shared" si="0"/>
        <v>128942.76692147399</v>
      </c>
    </row>
    <row r="10" spans="1:7" ht="22.5" customHeight="1" x14ac:dyDescent="0.3">
      <c r="A10" s="10">
        <v>46030</v>
      </c>
      <c r="B10" s="4" t="s">
        <v>9</v>
      </c>
      <c r="C10" s="3">
        <v>112178.44424707217</v>
      </c>
      <c r="D10" s="3"/>
      <c r="E10" s="3"/>
      <c r="F10" s="6"/>
      <c r="G10" s="13">
        <f t="shared" si="0"/>
        <v>110678.44424707217</v>
      </c>
    </row>
    <row r="11" spans="1:7" ht="22.5" customHeight="1" x14ac:dyDescent="0.3">
      <c r="A11" s="10">
        <v>46031</v>
      </c>
      <c r="B11" s="5" t="s">
        <v>10</v>
      </c>
      <c r="C11" s="3">
        <v>115130.15545982684</v>
      </c>
      <c r="D11" s="3"/>
      <c r="E11" s="3"/>
      <c r="F11" s="6"/>
      <c r="G11" s="13">
        <f t="shared" si="0"/>
        <v>113630.15545982684</v>
      </c>
    </row>
    <row r="12" spans="1:7" ht="22.5" customHeight="1" x14ac:dyDescent="0.3">
      <c r="A12" s="10">
        <v>46032</v>
      </c>
      <c r="B12" s="5" t="s">
        <v>11</v>
      </c>
      <c r="C12" s="3">
        <v>135601.13522730005</v>
      </c>
      <c r="D12" s="3"/>
      <c r="E12" s="3"/>
      <c r="F12" s="6"/>
      <c r="G12" s="13">
        <f t="shared" si="0"/>
        <v>134101.13522730005</v>
      </c>
    </row>
    <row r="13" spans="1:7" ht="22.5" customHeight="1" x14ac:dyDescent="0.3">
      <c r="A13" s="10">
        <v>46033</v>
      </c>
      <c r="B13" s="5" t="s">
        <v>12</v>
      </c>
      <c r="C13" s="3">
        <v>202465.32011431115</v>
      </c>
      <c r="D13" s="3"/>
      <c r="E13" s="3"/>
      <c r="F13" s="6"/>
      <c r="G13" s="13">
        <f t="shared" si="0"/>
        <v>200965.32011431115</v>
      </c>
    </row>
    <row r="14" spans="1:7" ht="22.5" customHeight="1" x14ac:dyDescent="0.3">
      <c r="A14" s="10">
        <v>46034</v>
      </c>
      <c r="B14" s="4" t="s">
        <v>6</v>
      </c>
      <c r="C14" s="3">
        <v>154693.03147998409</v>
      </c>
      <c r="D14" s="3"/>
      <c r="E14" s="3"/>
      <c r="F14" s="6"/>
      <c r="G14" s="13">
        <f t="shared" si="0"/>
        <v>153193.03147998409</v>
      </c>
    </row>
    <row r="15" spans="1:7" ht="22.5" customHeight="1" x14ac:dyDescent="0.3">
      <c r="A15" s="10">
        <v>46035</v>
      </c>
      <c r="B15" s="4" t="s">
        <v>7</v>
      </c>
      <c r="C15" s="3">
        <v>127610.22300484305</v>
      </c>
      <c r="D15" s="3"/>
      <c r="E15" s="3"/>
      <c r="F15" s="6"/>
      <c r="G15" s="13">
        <f t="shared" si="0"/>
        <v>126110.22300484305</v>
      </c>
    </row>
    <row r="16" spans="1:7" ht="22.5" customHeight="1" x14ac:dyDescent="0.3">
      <c r="A16" s="10">
        <v>46036</v>
      </c>
      <c r="B16" s="4" t="s">
        <v>8</v>
      </c>
      <c r="C16" s="3">
        <v>118771.03931615899</v>
      </c>
      <c r="D16" s="3"/>
      <c r="E16" s="3"/>
      <c r="F16" s="6"/>
      <c r="G16" s="13">
        <f t="shared" si="0"/>
        <v>117271.03931615899</v>
      </c>
    </row>
    <row r="17" spans="1:7" ht="22.5" customHeight="1" x14ac:dyDescent="0.3">
      <c r="A17" s="10">
        <v>46037</v>
      </c>
      <c r="B17" s="4" t="s">
        <v>9</v>
      </c>
      <c r="C17" s="3">
        <v>104465.57658203639</v>
      </c>
      <c r="D17" s="3"/>
      <c r="E17" s="3"/>
      <c r="F17" s="6"/>
      <c r="G17" s="13">
        <f t="shared" si="0"/>
        <v>102965.57658203639</v>
      </c>
    </row>
    <row r="18" spans="1:7" ht="22.5" customHeight="1" x14ac:dyDescent="0.3">
      <c r="A18" s="10">
        <v>46038</v>
      </c>
      <c r="B18" s="5" t="s">
        <v>10</v>
      </c>
      <c r="C18" s="3">
        <v>123218.51822602465</v>
      </c>
      <c r="D18" s="3"/>
      <c r="E18" s="3"/>
      <c r="F18" s="6"/>
      <c r="G18" s="13">
        <f t="shared" si="0"/>
        <v>121718.51822602465</v>
      </c>
    </row>
    <row r="19" spans="1:7" ht="22.5" customHeight="1" x14ac:dyDescent="0.3">
      <c r="A19" s="10">
        <v>46039</v>
      </c>
      <c r="B19" s="5" t="s">
        <v>11</v>
      </c>
      <c r="C19" s="3">
        <v>143420.47945671584</v>
      </c>
      <c r="D19" s="3"/>
      <c r="E19" s="3"/>
      <c r="F19" s="6"/>
      <c r="G19" s="13">
        <f t="shared" si="0"/>
        <v>141920.47945671584</v>
      </c>
    </row>
    <row r="20" spans="1:7" ht="22.5" customHeight="1" x14ac:dyDescent="0.3">
      <c r="A20" s="10">
        <v>46040</v>
      </c>
      <c r="B20" s="5" t="s">
        <v>12</v>
      </c>
      <c r="C20" s="3">
        <v>185997.34905215394</v>
      </c>
      <c r="D20" s="3"/>
      <c r="E20" s="3"/>
      <c r="F20" s="6"/>
      <c r="G20" s="13">
        <f t="shared" si="0"/>
        <v>184497.34905215394</v>
      </c>
    </row>
    <row r="21" spans="1:7" ht="22.5" customHeight="1" x14ac:dyDescent="0.3">
      <c r="A21" s="10">
        <v>46041</v>
      </c>
      <c r="B21" s="4" t="s">
        <v>6</v>
      </c>
      <c r="C21" s="3">
        <v>143359.55628048122</v>
      </c>
      <c r="D21" s="3"/>
      <c r="E21" s="3"/>
      <c r="F21" s="6"/>
      <c r="G21" s="13">
        <f t="shared" si="0"/>
        <v>141859.55628048122</v>
      </c>
    </row>
    <row r="22" spans="1:7" ht="22.5" customHeight="1" x14ac:dyDescent="0.3">
      <c r="A22" s="10">
        <v>46042</v>
      </c>
      <c r="B22" s="4" t="s">
        <v>7</v>
      </c>
      <c r="C22" s="3">
        <v>152276.40972096243</v>
      </c>
      <c r="D22" s="3"/>
      <c r="E22" s="3"/>
      <c r="F22" s="6"/>
      <c r="G22" s="13">
        <f t="shared" si="0"/>
        <v>150776.40972096243</v>
      </c>
    </row>
    <row r="23" spans="1:7" ht="22.5" customHeight="1" x14ac:dyDescent="0.3">
      <c r="A23" s="10">
        <v>46043</v>
      </c>
      <c r="B23" s="4" t="s">
        <v>8</v>
      </c>
      <c r="C23" s="3">
        <v>120651.69705484284</v>
      </c>
      <c r="D23" s="3"/>
      <c r="E23" s="3"/>
      <c r="F23" s="6"/>
      <c r="G23" s="13">
        <f t="shared" si="0"/>
        <v>119151.69705484284</v>
      </c>
    </row>
    <row r="24" spans="1:7" ht="22.5" customHeight="1" x14ac:dyDescent="0.3">
      <c r="A24" s="10">
        <v>46044</v>
      </c>
      <c r="B24" s="4" t="s">
        <v>9</v>
      </c>
      <c r="C24" s="3">
        <v>112946.62024112849</v>
      </c>
      <c r="D24" s="3"/>
      <c r="E24" s="3"/>
      <c r="F24" s="6"/>
      <c r="G24" s="13">
        <f t="shared" si="0"/>
        <v>111446.62024112849</v>
      </c>
    </row>
    <row r="25" spans="1:7" ht="22.5" customHeight="1" x14ac:dyDescent="0.3">
      <c r="A25" s="10">
        <v>46045</v>
      </c>
      <c r="B25" s="5" t="s">
        <v>10</v>
      </c>
      <c r="C25" s="3">
        <v>127696.67903979801</v>
      </c>
      <c r="D25" s="3"/>
      <c r="E25" s="3"/>
      <c r="F25" s="6"/>
      <c r="G25" s="13">
        <f t="shared" si="0"/>
        <v>126196.67903979801</v>
      </c>
    </row>
    <row r="26" spans="1:7" ht="22.5" customHeight="1" x14ac:dyDescent="0.3">
      <c r="A26" s="10">
        <v>46046</v>
      </c>
      <c r="B26" s="5" t="s">
        <v>11</v>
      </c>
      <c r="C26" s="3">
        <v>250776.46486065601</v>
      </c>
      <c r="D26" s="3"/>
      <c r="E26" s="3"/>
      <c r="F26" s="6"/>
      <c r="G26" s="13">
        <f t="shared" si="0"/>
        <v>249276.46486065601</v>
      </c>
    </row>
    <row r="27" spans="1:7" ht="22.5" customHeight="1" x14ac:dyDescent="0.3">
      <c r="A27" s="10">
        <v>46047</v>
      </c>
      <c r="B27" s="5" t="s">
        <v>12</v>
      </c>
      <c r="C27" s="3">
        <v>258209.54149984999</v>
      </c>
      <c r="D27" s="3"/>
      <c r="E27" s="3"/>
      <c r="F27" s="6"/>
      <c r="G27" s="13">
        <f t="shared" si="0"/>
        <v>256709.54149984999</v>
      </c>
    </row>
    <row r="28" spans="1:7" ht="22.5" customHeight="1" x14ac:dyDescent="0.3">
      <c r="A28" s="10">
        <v>46048</v>
      </c>
      <c r="B28" s="4" t="s">
        <v>6</v>
      </c>
      <c r="C28" s="3">
        <v>178332.32549565035</v>
      </c>
      <c r="D28" s="3"/>
      <c r="E28" s="3"/>
      <c r="F28" s="6"/>
      <c r="G28" s="13">
        <f t="shared" si="0"/>
        <v>176832.32549565035</v>
      </c>
    </row>
    <row r="29" spans="1:7" ht="22.5" customHeight="1" x14ac:dyDescent="0.3">
      <c r="A29" s="10">
        <v>46049</v>
      </c>
      <c r="B29" s="4" t="s">
        <v>7</v>
      </c>
      <c r="C29" s="3">
        <v>152077.84069304794</v>
      </c>
      <c r="D29" s="3"/>
      <c r="E29" s="3"/>
      <c r="F29" s="6"/>
      <c r="G29" s="13">
        <f t="shared" si="0"/>
        <v>150577.84069304794</v>
      </c>
    </row>
    <row r="30" spans="1:7" ht="22.5" customHeight="1" x14ac:dyDescent="0.3">
      <c r="A30" s="10">
        <v>46050</v>
      </c>
      <c r="B30" s="4" t="s">
        <v>8</v>
      </c>
      <c r="C30" s="3">
        <v>174231.57003786907</v>
      </c>
      <c r="D30" s="3"/>
      <c r="E30" s="3"/>
      <c r="F30" s="6"/>
      <c r="G30" s="13">
        <f t="shared" si="0"/>
        <v>172731.57003786907</v>
      </c>
    </row>
    <row r="31" spans="1:7" ht="22.5" customHeight="1" x14ac:dyDescent="0.3">
      <c r="A31" s="10">
        <v>46051</v>
      </c>
      <c r="B31" s="4" t="s">
        <v>9</v>
      </c>
      <c r="C31" s="3">
        <v>194231.57003786901</v>
      </c>
      <c r="D31" s="3"/>
      <c r="E31" s="3"/>
      <c r="F31" s="6"/>
      <c r="G31" s="13">
        <f t="shared" si="0"/>
        <v>192731.57003786901</v>
      </c>
    </row>
    <row r="32" spans="1:7" ht="22.5" customHeight="1" x14ac:dyDescent="0.3">
      <c r="A32" s="10">
        <v>46052</v>
      </c>
      <c r="B32" s="5" t="s">
        <v>10</v>
      </c>
      <c r="C32" s="3">
        <v>167015.98514460458</v>
      </c>
      <c r="D32" s="3"/>
      <c r="E32" s="3"/>
      <c r="F32" s="6"/>
      <c r="G32" s="13">
        <f t="shared" si="0"/>
        <v>165515.98514460458</v>
      </c>
    </row>
    <row r="33" spans="1:7" ht="22.5" customHeight="1" x14ac:dyDescent="0.3">
      <c r="A33" s="10">
        <v>46053</v>
      </c>
      <c r="B33" s="5" t="s">
        <v>11</v>
      </c>
      <c r="C33" s="3">
        <v>148700.82503565616</v>
      </c>
      <c r="D33" s="3"/>
      <c r="E33" s="3"/>
      <c r="F33" s="6"/>
      <c r="G33" s="13">
        <f t="shared" si="0"/>
        <v>147200.82503565616</v>
      </c>
    </row>
  </sheetData>
  <mergeCells count="1">
    <mergeCell ref="A1:B1"/>
  </mergeCells>
  <conditionalFormatting sqref="A3:A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B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9F37-DC2F-4D9B-BB64-627E2B408E34}">
  <dimension ref="A1:G33"/>
  <sheetViews>
    <sheetView topLeftCell="A4" workbookViewId="0">
      <selection activeCell="C3" sqref="C3:C30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7" ht="22.5" customHeight="1" x14ac:dyDescent="0.3">
      <c r="A1" s="14" t="s">
        <v>3</v>
      </c>
      <c r="B1" s="14"/>
      <c r="C1" s="3">
        <f>SUM(C3:C33)</f>
        <v>5236031.6695227418</v>
      </c>
      <c r="D1" s="3">
        <f>SUM(D3:D33)</f>
        <v>0</v>
      </c>
      <c r="E1" s="3">
        <f>C1-D1</f>
        <v>5236031.6695227418</v>
      </c>
      <c r="F1" s="6" t="s">
        <v>4</v>
      </c>
    </row>
    <row r="2" spans="1:7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110143.74613492207</v>
      </c>
    </row>
    <row r="3" spans="1:7" ht="22.5" customHeight="1" x14ac:dyDescent="0.3">
      <c r="A3" s="4">
        <v>45689</v>
      </c>
      <c r="B3" s="5" t="s">
        <v>11</v>
      </c>
      <c r="C3" s="3">
        <v>222993.91102816901</v>
      </c>
      <c r="D3" s="3"/>
      <c r="E3" s="3"/>
      <c r="F3" s="6"/>
      <c r="G3" s="13">
        <f>C3+60000</f>
        <v>282993.91102816898</v>
      </c>
    </row>
    <row r="4" spans="1:7" ht="22.5" customHeight="1" x14ac:dyDescent="0.3">
      <c r="A4" s="4">
        <v>45690</v>
      </c>
      <c r="B4" s="5" t="s">
        <v>12</v>
      </c>
      <c r="C4" s="3">
        <v>191132.35019949562</v>
      </c>
      <c r="D4" s="3"/>
      <c r="E4" s="3"/>
      <c r="F4" s="6"/>
      <c r="G4" s="13">
        <f t="shared" ref="G4:G30" si="0">C4+60000</f>
        <v>251132.35019949562</v>
      </c>
    </row>
    <row r="5" spans="1:7" ht="22.5" customHeight="1" x14ac:dyDescent="0.3">
      <c r="A5" s="4">
        <v>45691</v>
      </c>
      <c r="B5" s="4" t="s">
        <v>6</v>
      </c>
      <c r="C5" s="3">
        <v>202255.18586647545</v>
      </c>
      <c r="D5" s="3"/>
      <c r="E5" s="3"/>
      <c r="F5" s="6"/>
      <c r="G5" s="13">
        <f t="shared" si="0"/>
        <v>262255.18586647545</v>
      </c>
    </row>
    <row r="6" spans="1:7" ht="22.5" customHeight="1" x14ac:dyDescent="0.3">
      <c r="A6" s="4">
        <v>45692</v>
      </c>
      <c r="B6" s="4" t="s">
        <v>7</v>
      </c>
      <c r="C6" s="3">
        <v>175301.00406950025</v>
      </c>
      <c r="D6" s="3"/>
      <c r="E6" s="3"/>
      <c r="F6" s="6"/>
      <c r="G6" s="13">
        <f t="shared" si="0"/>
        <v>235301.00406950025</v>
      </c>
    </row>
    <row r="7" spans="1:7" ht="22.5" customHeight="1" x14ac:dyDescent="0.3">
      <c r="A7" s="4">
        <v>45693</v>
      </c>
      <c r="B7" s="4" t="s">
        <v>8</v>
      </c>
      <c r="C7" s="3">
        <v>161916.27471865917</v>
      </c>
      <c r="D7" s="3"/>
      <c r="E7" s="3"/>
      <c r="F7" s="6"/>
      <c r="G7" s="13">
        <f t="shared" si="0"/>
        <v>221916.27471865917</v>
      </c>
    </row>
    <row r="8" spans="1:7" ht="22.5" customHeight="1" x14ac:dyDescent="0.3">
      <c r="A8" s="4">
        <v>45694</v>
      </c>
      <c r="B8" s="4" t="s">
        <v>9</v>
      </c>
      <c r="C8" s="3">
        <v>165256.50458199164</v>
      </c>
      <c r="D8" s="3"/>
      <c r="E8" s="6"/>
      <c r="F8" s="6"/>
      <c r="G8" s="13">
        <f t="shared" si="0"/>
        <v>225256.50458199164</v>
      </c>
    </row>
    <row r="9" spans="1:7" ht="22.5" customHeight="1" x14ac:dyDescent="0.3">
      <c r="A9" s="4">
        <v>45695</v>
      </c>
      <c r="B9" s="5" t="s">
        <v>10</v>
      </c>
      <c r="C9" s="3">
        <v>201430.85543154666</v>
      </c>
      <c r="D9" s="3"/>
      <c r="E9" s="3"/>
      <c r="F9" s="6"/>
      <c r="G9" s="13">
        <f t="shared" si="0"/>
        <v>261430.85543154666</v>
      </c>
    </row>
    <row r="10" spans="1:7" ht="22.5" customHeight="1" x14ac:dyDescent="0.3">
      <c r="A10" s="4">
        <v>45696</v>
      </c>
      <c r="B10" s="5" t="s">
        <v>11</v>
      </c>
      <c r="C10" s="3">
        <v>219276.08256033799</v>
      </c>
      <c r="D10" s="3"/>
      <c r="E10" s="3"/>
      <c r="F10" s="6"/>
      <c r="G10" s="13">
        <f t="shared" si="0"/>
        <v>279276.08256033796</v>
      </c>
    </row>
    <row r="11" spans="1:7" ht="22.5" customHeight="1" x14ac:dyDescent="0.3">
      <c r="A11" s="4">
        <v>45697</v>
      </c>
      <c r="B11" s="5" t="s">
        <v>12</v>
      </c>
      <c r="C11" s="3">
        <v>224166.70836719399</v>
      </c>
      <c r="D11" s="3"/>
      <c r="E11" s="3"/>
      <c r="F11" s="6"/>
      <c r="G11" s="13">
        <f t="shared" si="0"/>
        <v>284166.70836719399</v>
      </c>
    </row>
    <row r="12" spans="1:7" ht="22.5" customHeight="1" x14ac:dyDescent="0.3">
      <c r="A12" s="4">
        <v>45698</v>
      </c>
      <c r="B12" s="4" t="s">
        <v>6</v>
      </c>
      <c r="C12" s="3">
        <v>205349.3473308378</v>
      </c>
      <c r="D12" s="3"/>
      <c r="E12" s="3"/>
      <c r="F12" s="6"/>
      <c r="G12" s="13">
        <f t="shared" si="0"/>
        <v>265349.3473308378</v>
      </c>
    </row>
    <row r="13" spans="1:7" ht="22.5" customHeight="1" x14ac:dyDescent="0.3">
      <c r="A13" s="4">
        <v>45699</v>
      </c>
      <c r="B13" s="4" t="s">
        <v>7</v>
      </c>
      <c r="C13" s="3">
        <v>182450.23989337054</v>
      </c>
      <c r="D13" s="3"/>
      <c r="E13" s="3"/>
      <c r="F13" s="6"/>
      <c r="G13" s="13">
        <f t="shared" si="0"/>
        <v>242450.23989337054</v>
      </c>
    </row>
    <row r="14" spans="1:7" ht="22.5" customHeight="1" x14ac:dyDescent="0.3">
      <c r="A14" s="4">
        <v>45700</v>
      </c>
      <c r="B14" s="4" t="s">
        <v>8</v>
      </c>
      <c r="C14" s="3">
        <v>190197.66530820783</v>
      </c>
      <c r="D14" s="3"/>
      <c r="E14" s="3"/>
      <c r="F14" s="6"/>
      <c r="G14" s="13">
        <f t="shared" si="0"/>
        <v>250197.66530820783</v>
      </c>
    </row>
    <row r="15" spans="1:7" ht="22.5" customHeight="1" x14ac:dyDescent="0.3">
      <c r="A15" s="4">
        <v>45701</v>
      </c>
      <c r="B15" s="4" t="s">
        <v>9</v>
      </c>
      <c r="C15" s="3">
        <v>190971.59674747498</v>
      </c>
      <c r="D15" s="3"/>
      <c r="E15" s="3"/>
      <c r="F15" s="6"/>
      <c r="G15" s="13">
        <f t="shared" si="0"/>
        <v>250971.59674747498</v>
      </c>
    </row>
    <row r="16" spans="1:7" ht="22.5" customHeight="1" x14ac:dyDescent="0.3">
      <c r="A16" s="4">
        <v>45702</v>
      </c>
      <c r="B16" s="5" t="s">
        <v>10</v>
      </c>
      <c r="C16" s="3">
        <v>180812.9515577759</v>
      </c>
      <c r="D16" s="3"/>
      <c r="E16" s="3"/>
      <c r="F16" s="6"/>
      <c r="G16" s="13">
        <f t="shared" si="0"/>
        <v>240812.9515577759</v>
      </c>
    </row>
    <row r="17" spans="1:7" ht="22.5" customHeight="1" x14ac:dyDescent="0.3">
      <c r="A17" s="4">
        <v>45703</v>
      </c>
      <c r="B17" s="5" t="s">
        <v>11</v>
      </c>
      <c r="C17" s="3">
        <v>200666.05224628499</v>
      </c>
      <c r="D17" s="3"/>
      <c r="E17" s="3"/>
      <c r="F17" s="6"/>
      <c r="G17" s="13">
        <f t="shared" si="0"/>
        <v>260666.05224628499</v>
      </c>
    </row>
    <row r="18" spans="1:7" ht="22.5" customHeight="1" x14ac:dyDescent="0.3">
      <c r="A18" s="4">
        <v>45704</v>
      </c>
      <c r="B18" s="5" t="s">
        <v>12</v>
      </c>
      <c r="C18" s="3">
        <v>167931.94672284447</v>
      </c>
      <c r="D18" s="3"/>
      <c r="E18" s="3"/>
      <c r="F18" s="6"/>
      <c r="G18" s="13">
        <f t="shared" si="0"/>
        <v>227931.94672284447</v>
      </c>
    </row>
    <row r="19" spans="1:7" ht="22.5" customHeight="1" x14ac:dyDescent="0.3">
      <c r="A19" s="4">
        <v>45705</v>
      </c>
      <c r="B19" s="4" t="s">
        <v>6</v>
      </c>
      <c r="C19" s="3">
        <v>201397.28155531286</v>
      </c>
      <c r="D19" s="3"/>
      <c r="E19" s="3"/>
      <c r="F19" s="6"/>
      <c r="G19" s="13">
        <f t="shared" si="0"/>
        <v>261397.28155531286</v>
      </c>
    </row>
    <row r="20" spans="1:7" ht="22.5" customHeight="1" x14ac:dyDescent="0.3">
      <c r="A20" s="4">
        <v>45706</v>
      </c>
      <c r="B20" s="4" t="s">
        <v>7</v>
      </c>
      <c r="C20" s="3">
        <v>165896.49975874406</v>
      </c>
      <c r="D20" s="3"/>
      <c r="E20" s="3"/>
      <c r="F20" s="6"/>
      <c r="G20" s="13">
        <f t="shared" si="0"/>
        <v>225896.49975874406</v>
      </c>
    </row>
    <row r="21" spans="1:7" ht="22.5" customHeight="1" x14ac:dyDescent="0.3">
      <c r="A21" s="4">
        <v>45707</v>
      </c>
      <c r="B21" s="4" t="s">
        <v>8</v>
      </c>
      <c r="C21" s="3">
        <v>179632.8915142414</v>
      </c>
      <c r="D21" s="3"/>
      <c r="E21" s="3"/>
      <c r="F21" s="6"/>
      <c r="G21" s="13">
        <f t="shared" si="0"/>
        <v>239632.8915142414</v>
      </c>
    </row>
    <row r="22" spans="1:7" ht="22.5" customHeight="1" x14ac:dyDescent="0.3">
      <c r="A22" s="4">
        <v>45708</v>
      </c>
      <c r="B22" s="4" t="s">
        <v>9</v>
      </c>
      <c r="C22" s="3">
        <v>163763.9713731485</v>
      </c>
      <c r="D22" s="3"/>
      <c r="E22" s="3"/>
      <c r="F22" s="6"/>
      <c r="G22" s="13">
        <f t="shared" si="0"/>
        <v>223763.9713731485</v>
      </c>
    </row>
    <row r="23" spans="1:7" ht="22.5" customHeight="1" x14ac:dyDescent="0.3">
      <c r="A23" s="4">
        <v>45709</v>
      </c>
      <c r="B23" s="5" t="s">
        <v>10</v>
      </c>
      <c r="C23" s="3">
        <v>202093.28173447825</v>
      </c>
      <c r="D23" s="3"/>
      <c r="E23" s="3"/>
      <c r="F23" s="6"/>
      <c r="G23" s="13">
        <f t="shared" si="0"/>
        <v>262093.28173447825</v>
      </c>
    </row>
    <row r="24" spans="1:7" ht="22.5" customHeight="1" x14ac:dyDescent="0.3">
      <c r="A24" s="4">
        <v>45710</v>
      </c>
      <c r="B24" s="5" t="s">
        <v>11</v>
      </c>
      <c r="C24" s="3">
        <v>193282.47360120501</v>
      </c>
      <c r="D24" s="3"/>
      <c r="E24" s="3"/>
      <c r="F24" s="6"/>
      <c r="G24" s="13">
        <f t="shared" si="0"/>
        <v>253282.47360120501</v>
      </c>
    </row>
    <row r="25" spans="1:7" ht="22.5" customHeight="1" x14ac:dyDescent="0.3">
      <c r="A25" s="4">
        <v>45711</v>
      </c>
      <c r="B25" s="5" t="s">
        <v>12</v>
      </c>
      <c r="C25" s="3">
        <v>165335.52405252194</v>
      </c>
      <c r="D25" s="3"/>
      <c r="E25" s="3"/>
      <c r="F25" s="6"/>
      <c r="G25" s="13">
        <f t="shared" si="0"/>
        <v>225335.52405252194</v>
      </c>
    </row>
    <row r="26" spans="1:7" ht="22.5" customHeight="1" x14ac:dyDescent="0.3">
      <c r="A26" s="4">
        <v>45712</v>
      </c>
      <c r="B26" s="4" t="s">
        <v>6</v>
      </c>
      <c r="C26" s="3">
        <v>162402.0730991973</v>
      </c>
      <c r="D26" s="3"/>
      <c r="E26" s="3"/>
      <c r="F26" s="6"/>
      <c r="G26" s="13">
        <f t="shared" si="0"/>
        <v>222402.0730991973</v>
      </c>
    </row>
    <row r="27" spans="1:7" ht="22.5" customHeight="1" x14ac:dyDescent="0.3">
      <c r="A27" s="4">
        <v>45713</v>
      </c>
      <c r="B27" s="4" t="s">
        <v>7</v>
      </c>
      <c r="C27" s="3">
        <v>204236.01612094702</v>
      </c>
      <c r="D27" s="3"/>
      <c r="E27" s="3"/>
      <c r="F27" s="6"/>
      <c r="G27" s="13">
        <f t="shared" si="0"/>
        <v>264236.01612094702</v>
      </c>
    </row>
    <row r="28" spans="1:7" ht="22.5" customHeight="1" x14ac:dyDescent="0.3">
      <c r="A28" s="4">
        <v>45714</v>
      </c>
      <c r="B28" s="4" t="s">
        <v>8</v>
      </c>
      <c r="C28" s="3">
        <v>166826.98707321205</v>
      </c>
      <c r="D28" s="3"/>
      <c r="E28" s="3"/>
      <c r="F28" s="6"/>
      <c r="G28" s="13">
        <f t="shared" si="0"/>
        <v>226826.98707321205</v>
      </c>
    </row>
    <row r="29" spans="1:7" ht="22.5" customHeight="1" x14ac:dyDescent="0.3">
      <c r="A29" s="4">
        <v>45715</v>
      </c>
      <c r="B29" s="4" t="s">
        <v>9</v>
      </c>
      <c r="C29" s="3">
        <v>160298.12350387863</v>
      </c>
      <c r="D29" s="3"/>
      <c r="E29" s="3"/>
      <c r="F29" s="6"/>
      <c r="G29" s="13">
        <f t="shared" si="0"/>
        <v>220298.12350387863</v>
      </c>
    </row>
    <row r="30" spans="1:7" ht="22.5" customHeight="1" x14ac:dyDescent="0.3">
      <c r="A30" s="4">
        <v>45716</v>
      </c>
      <c r="B30" s="5" t="s">
        <v>10</v>
      </c>
      <c r="C30" s="3">
        <v>188757.86950568849</v>
      </c>
      <c r="D30" s="3"/>
      <c r="E30" s="3"/>
      <c r="F30" s="6"/>
      <c r="G30" s="13">
        <f t="shared" si="0"/>
        <v>248757.86950568849</v>
      </c>
    </row>
    <row r="31" spans="1:7" ht="22.5" customHeight="1" x14ac:dyDescent="0.3">
      <c r="A31" s="4"/>
      <c r="B31" s="4"/>
      <c r="C31" s="3"/>
      <c r="D31" s="3"/>
      <c r="E31" s="3"/>
      <c r="F31" s="6"/>
    </row>
    <row r="32" spans="1:7" ht="22.5" customHeight="1" x14ac:dyDescent="0.3">
      <c r="A32" s="4"/>
      <c r="B32" s="4"/>
      <c r="C32" s="3"/>
      <c r="D32" s="3"/>
      <c r="E32" s="3"/>
      <c r="F32" s="6"/>
    </row>
    <row r="33" spans="1:6" ht="22.5" customHeight="1" x14ac:dyDescent="0.3">
      <c r="A33" s="4"/>
      <c r="B33" s="4"/>
      <c r="C33" s="3"/>
      <c r="D33" s="3"/>
      <c r="E33" s="3"/>
      <c r="F33" s="6"/>
    </row>
  </sheetData>
  <mergeCells count="1">
    <mergeCell ref="A1:B1"/>
  </mergeCells>
  <conditionalFormatting sqref="C31:C33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A3:B33 D3:D33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120C-DD08-4583-A196-0D80596D007A}">
  <dimension ref="A1:G33"/>
  <sheetViews>
    <sheetView tabSelected="1" workbookViewId="0">
      <selection activeCell="D22" sqref="D22"/>
    </sheetView>
  </sheetViews>
  <sheetFormatPr defaultColWidth="15.5" defaultRowHeight="22.5" customHeight="1" x14ac:dyDescent="0.3"/>
  <cols>
    <col min="1" max="1" width="12.5" style="1" customWidth="1"/>
    <col min="2" max="2" width="3.8984375" style="1" customWidth="1"/>
    <col min="3" max="3" width="13" style="1" customWidth="1"/>
    <col min="4" max="4" width="13.59765625" style="1" customWidth="1"/>
    <col min="5" max="5" width="10.8984375" style="1" customWidth="1"/>
    <col min="6" max="6" width="15.5" style="1" customWidth="1"/>
    <col min="7" max="16384" width="15.5" style="1"/>
  </cols>
  <sheetData>
    <row r="1" spans="1:7" ht="22.5" customHeight="1" x14ac:dyDescent="0.3">
      <c r="A1" s="14" t="s">
        <v>3</v>
      </c>
      <c r="B1" s="14"/>
      <c r="C1" s="3">
        <f>SUM(C3:C33)</f>
        <v>5486151.8983221995</v>
      </c>
      <c r="D1" s="3">
        <f>SUM(D3:D33)</f>
        <v>0</v>
      </c>
      <c r="E1" s="3">
        <f>C1-D1</f>
        <v>5486151.8983221995</v>
      </c>
      <c r="F1" s="6" t="s">
        <v>4</v>
      </c>
    </row>
    <row r="2" spans="1:7" ht="22.5" customHeight="1" x14ac:dyDescent="0.3">
      <c r="A2" s="7" t="s">
        <v>0</v>
      </c>
      <c r="B2" s="8" t="s">
        <v>5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137435.86314127321</v>
      </c>
    </row>
    <row r="3" spans="1:7" ht="22.5" customHeight="1" x14ac:dyDescent="0.3">
      <c r="A3" s="4">
        <v>45717</v>
      </c>
      <c r="B3" s="5" t="s">
        <v>11</v>
      </c>
      <c r="C3" s="3">
        <v>215518.23057948201</v>
      </c>
      <c r="D3" s="3"/>
      <c r="E3" s="3"/>
      <c r="F3" s="6"/>
      <c r="G3" s="13">
        <f>C3+40000</f>
        <v>255518.23057948201</v>
      </c>
    </row>
    <row r="4" spans="1:7" ht="22.5" customHeight="1" x14ac:dyDescent="0.3">
      <c r="A4" s="4">
        <v>45718</v>
      </c>
      <c r="B4" s="5" t="s">
        <v>12</v>
      </c>
      <c r="C4" s="3">
        <v>194115.05001310672</v>
      </c>
      <c r="D4" s="3"/>
      <c r="E4" s="3"/>
      <c r="F4" s="6"/>
      <c r="G4" s="13">
        <f t="shared" ref="G4:G33" si="0">C4+40000</f>
        <v>234115.05001310672</v>
      </c>
    </row>
    <row r="5" spans="1:7" ht="22.5" customHeight="1" x14ac:dyDescent="0.3">
      <c r="A5" s="4">
        <v>45719</v>
      </c>
      <c r="B5" s="4" t="s">
        <v>6</v>
      </c>
      <c r="C5" s="3">
        <v>176456.76326868881</v>
      </c>
      <c r="D5" s="3"/>
      <c r="E5" s="3"/>
      <c r="F5" s="6"/>
      <c r="G5" s="13">
        <f t="shared" si="0"/>
        <v>216456.76326868881</v>
      </c>
    </row>
    <row r="6" spans="1:7" ht="22.5" customHeight="1" x14ac:dyDescent="0.3">
      <c r="A6" s="4">
        <v>45720</v>
      </c>
      <c r="B6" s="4" t="s">
        <v>7</v>
      </c>
      <c r="C6" s="3">
        <v>141508.07211803913</v>
      </c>
      <c r="D6" s="3"/>
      <c r="E6" s="3"/>
      <c r="F6" s="6"/>
      <c r="G6" s="13">
        <f t="shared" si="0"/>
        <v>181508.07211803913</v>
      </c>
    </row>
    <row r="7" spans="1:7" ht="22.5" customHeight="1" x14ac:dyDescent="0.3">
      <c r="A7" s="4">
        <v>45721</v>
      </c>
      <c r="B7" s="4" t="s">
        <v>8</v>
      </c>
      <c r="C7" s="3">
        <v>164639.50681382645</v>
      </c>
      <c r="D7" s="3"/>
      <c r="E7" s="3"/>
      <c r="F7" s="6"/>
      <c r="G7" s="13">
        <f t="shared" si="0"/>
        <v>204639.50681382645</v>
      </c>
    </row>
    <row r="8" spans="1:7" ht="22.5" customHeight="1" x14ac:dyDescent="0.3">
      <c r="A8" s="4">
        <v>45722</v>
      </c>
      <c r="B8" s="4" t="s">
        <v>9</v>
      </c>
      <c r="C8" s="3">
        <v>168956.99911465443</v>
      </c>
      <c r="D8" s="3"/>
      <c r="E8" s="6"/>
      <c r="F8" s="6"/>
      <c r="G8" s="13">
        <f t="shared" si="0"/>
        <v>208956.99911465443</v>
      </c>
    </row>
    <row r="9" spans="1:7" ht="22.5" customHeight="1" x14ac:dyDescent="0.3">
      <c r="A9" s="4">
        <v>45723</v>
      </c>
      <c r="B9" s="5" t="s">
        <v>10</v>
      </c>
      <c r="C9" s="3">
        <v>144420.41694319219</v>
      </c>
      <c r="D9" s="3"/>
      <c r="E9" s="3"/>
      <c r="F9" s="6"/>
      <c r="G9" s="13">
        <f t="shared" si="0"/>
        <v>184420.41694319219</v>
      </c>
    </row>
    <row r="10" spans="1:7" ht="22.5" customHeight="1" x14ac:dyDescent="0.3">
      <c r="A10" s="4">
        <v>45724</v>
      </c>
      <c r="B10" s="5" t="s">
        <v>11</v>
      </c>
      <c r="C10" s="3">
        <v>212809.70213091953</v>
      </c>
      <c r="D10" s="3"/>
      <c r="E10" s="3"/>
      <c r="F10" s="6"/>
      <c r="G10" s="13">
        <f t="shared" si="0"/>
        <v>252809.70213091953</v>
      </c>
    </row>
    <row r="11" spans="1:7" ht="22.5" customHeight="1" x14ac:dyDescent="0.3">
      <c r="A11" s="4">
        <v>45725</v>
      </c>
      <c r="B11" s="5" t="s">
        <v>12</v>
      </c>
      <c r="C11" s="3">
        <v>149560.74358092315</v>
      </c>
      <c r="D11" s="3"/>
      <c r="E11" s="3"/>
      <c r="F11" s="6"/>
      <c r="G11" s="13">
        <f t="shared" si="0"/>
        <v>189560.74358092315</v>
      </c>
    </row>
    <row r="12" spans="1:7" ht="22.5" customHeight="1" x14ac:dyDescent="0.3">
      <c r="A12" s="4">
        <v>45726</v>
      </c>
      <c r="B12" s="4" t="s">
        <v>6</v>
      </c>
      <c r="C12" s="3">
        <v>185101.92038217085</v>
      </c>
      <c r="D12" s="3"/>
      <c r="E12" s="3"/>
      <c r="F12" s="6"/>
      <c r="G12" s="13">
        <f t="shared" si="0"/>
        <v>225101.92038217085</v>
      </c>
    </row>
    <row r="13" spans="1:7" ht="22.5" customHeight="1" x14ac:dyDescent="0.3">
      <c r="A13" s="4">
        <v>45727</v>
      </c>
      <c r="B13" s="4" t="s">
        <v>7</v>
      </c>
      <c r="C13" s="3">
        <v>185208.55286861514</v>
      </c>
      <c r="D13" s="3"/>
      <c r="E13" s="3"/>
      <c r="F13" s="6"/>
      <c r="G13" s="13">
        <f t="shared" si="0"/>
        <v>225208.55286861514</v>
      </c>
    </row>
    <row r="14" spans="1:7" ht="22.5" customHeight="1" x14ac:dyDescent="0.3">
      <c r="A14" s="4">
        <v>45728</v>
      </c>
      <c r="B14" s="4" t="s">
        <v>8</v>
      </c>
      <c r="C14" s="3">
        <v>151241.71144365228</v>
      </c>
      <c r="D14" s="3"/>
      <c r="E14" s="3"/>
      <c r="F14" s="6"/>
      <c r="G14" s="13">
        <f t="shared" si="0"/>
        <v>191241.71144365228</v>
      </c>
    </row>
    <row r="15" spans="1:7" ht="22.5" customHeight="1" x14ac:dyDescent="0.3">
      <c r="A15" s="4">
        <v>45729</v>
      </c>
      <c r="B15" s="4" t="s">
        <v>9</v>
      </c>
      <c r="C15" s="3">
        <v>168249.68681808389</v>
      </c>
      <c r="D15" s="3"/>
      <c r="E15" s="3"/>
      <c r="F15" s="6"/>
      <c r="G15" s="13">
        <f t="shared" si="0"/>
        <v>208249.68681808389</v>
      </c>
    </row>
    <row r="16" spans="1:7" ht="22.5" customHeight="1" x14ac:dyDescent="0.3">
      <c r="A16" s="4">
        <v>45730</v>
      </c>
      <c r="B16" s="5" t="s">
        <v>10</v>
      </c>
      <c r="C16" s="3">
        <v>160513.28030685955</v>
      </c>
      <c r="D16" s="3"/>
      <c r="E16" s="3"/>
      <c r="F16" s="6"/>
      <c r="G16" s="13">
        <f t="shared" si="0"/>
        <v>200513.28030685955</v>
      </c>
    </row>
    <row r="17" spans="1:7" ht="22.5" customHeight="1" x14ac:dyDescent="0.3">
      <c r="A17" s="4">
        <v>45731</v>
      </c>
      <c r="B17" s="5" t="s">
        <v>11</v>
      </c>
      <c r="C17" s="3">
        <v>245812.33664017325</v>
      </c>
      <c r="D17" s="3"/>
      <c r="E17" s="3"/>
      <c r="F17" s="6"/>
      <c r="G17" s="13">
        <f t="shared" si="0"/>
        <v>285812.33664017322</v>
      </c>
    </row>
    <row r="18" spans="1:7" ht="22.5" customHeight="1" x14ac:dyDescent="0.3">
      <c r="A18" s="4">
        <v>45732</v>
      </c>
      <c r="B18" s="5" t="s">
        <v>12</v>
      </c>
      <c r="C18" s="3">
        <v>222973.15218792419</v>
      </c>
      <c r="D18" s="3"/>
      <c r="E18" s="3"/>
      <c r="F18" s="6"/>
      <c r="G18" s="13">
        <f t="shared" si="0"/>
        <v>262973.15218792419</v>
      </c>
    </row>
    <row r="19" spans="1:7" ht="22.5" customHeight="1" x14ac:dyDescent="0.3">
      <c r="A19" s="4">
        <v>45733</v>
      </c>
      <c r="B19" s="4" t="s">
        <v>6</v>
      </c>
      <c r="C19" s="3">
        <v>170070.90182869817</v>
      </c>
      <c r="D19" s="3"/>
      <c r="E19" s="3"/>
      <c r="F19" s="6"/>
      <c r="G19" s="13">
        <f t="shared" si="0"/>
        <v>210070.90182869817</v>
      </c>
    </row>
    <row r="20" spans="1:7" ht="22.5" customHeight="1" x14ac:dyDescent="0.3">
      <c r="A20" s="4">
        <v>45734</v>
      </c>
      <c r="B20" s="4" t="s">
        <v>7</v>
      </c>
      <c r="C20" s="3">
        <v>175204.15157668013</v>
      </c>
      <c r="D20" s="3"/>
      <c r="E20" s="3"/>
      <c r="F20" s="6"/>
      <c r="G20" s="13">
        <f t="shared" si="0"/>
        <v>215204.15157668013</v>
      </c>
    </row>
    <row r="21" spans="1:7" ht="22.5" customHeight="1" x14ac:dyDescent="0.3">
      <c r="A21" s="4">
        <v>45735</v>
      </c>
      <c r="B21" s="4" t="s">
        <v>8</v>
      </c>
      <c r="C21" s="3">
        <v>161967.25066692138</v>
      </c>
      <c r="D21" s="3"/>
      <c r="E21" s="3"/>
      <c r="F21" s="6"/>
      <c r="G21" s="13">
        <f t="shared" si="0"/>
        <v>201967.25066692138</v>
      </c>
    </row>
    <row r="22" spans="1:7" ht="22.5" customHeight="1" x14ac:dyDescent="0.3">
      <c r="A22" s="4">
        <v>45736</v>
      </c>
      <c r="B22" s="4" t="s">
        <v>9</v>
      </c>
      <c r="C22" s="3">
        <v>153177.78129468154</v>
      </c>
      <c r="D22" s="3"/>
      <c r="E22" s="3"/>
      <c r="F22" s="6"/>
      <c r="G22" s="13">
        <f t="shared" si="0"/>
        <v>193177.78129468154</v>
      </c>
    </row>
    <row r="23" spans="1:7" ht="22.5" customHeight="1" x14ac:dyDescent="0.3">
      <c r="A23" s="4">
        <v>45737</v>
      </c>
      <c r="B23" s="5" t="s">
        <v>10</v>
      </c>
      <c r="C23" s="3">
        <v>143178.05849293189</v>
      </c>
      <c r="D23" s="3"/>
      <c r="E23" s="3"/>
      <c r="F23" s="6"/>
      <c r="G23" s="13">
        <f t="shared" si="0"/>
        <v>183178.05849293189</v>
      </c>
    </row>
    <row r="24" spans="1:7" ht="22.5" customHeight="1" x14ac:dyDescent="0.3">
      <c r="A24" s="4">
        <v>45738</v>
      </c>
      <c r="B24" s="5" t="s">
        <v>11</v>
      </c>
      <c r="C24" s="3">
        <v>221904.33926057105</v>
      </c>
      <c r="D24" s="3"/>
      <c r="E24" s="3"/>
      <c r="F24" s="6"/>
      <c r="G24" s="13">
        <f t="shared" si="0"/>
        <v>261904.33926057105</v>
      </c>
    </row>
    <row r="25" spans="1:7" ht="22.5" customHeight="1" x14ac:dyDescent="0.3">
      <c r="A25" s="4">
        <v>45739</v>
      </c>
      <c r="B25" s="5" t="s">
        <v>12</v>
      </c>
      <c r="C25" s="3">
        <v>153533.44791050901</v>
      </c>
      <c r="D25" s="3"/>
      <c r="E25" s="3"/>
      <c r="F25" s="6"/>
      <c r="G25" s="13">
        <f t="shared" si="0"/>
        <v>193533.44791050901</v>
      </c>
    </row>
    <row r="26" spans="1:7" ht="22.5" customHeight="1" x14ac:dyDescent="0.3">
      <c r="A26" s="4">
        <v>45740</v>
      </c>
      <c r="B26" s="4" t="s">
        <v>6</v>
      </c>
      <c r="C26" s="3">
        <v>164148.71241351118</v>
      </c>
      <c r="D26" s="3"/>
      <c r="E26" s="3"/>
      <c r="F26" s="6"/>
      <c r="G26" s="13">
        <f t="shared" si="0"/>
        <v>204148.71241351118</v>
      </c>
    </row>
    <row r="27" spans="1:7" ht="22.5" customHeight="1" x14ac:dyDescent="0.3">
      <c r="A27" s="4">
        <v>45741</v>
      </c>
      <c r="B27" s="4" t="s">
        <v>7</v>
      </c>
      <c r="C27" s="3">
        <v>173594.38015651389</v>
      </c>
      <c r="D27" s="3"/>
      <c r="E27" s="3"/>
      <c r="F27" s="6"/>
      <c r="G27" s="13">
        <f t="shared" si="0"/>
        <v>213594.38015651389</v>
      </c>
    </row>
    <row r="28" spans="1:7" ht="22.5" customHeight="1" x14ac:dyDescent="0.3">
      <c r="A28" s="4">
        <v>45742</v>
      </c>
      <c r="B28" s="4" t="s">
        <v>8</v>
      </c>
      <c r="C28" s="3">
        <v>155974.81770669465</v>
      </c>
      <c r="D28" s="3"/>
      <c r="E28" s="3"/>
      <c r="F28" s="6"/>
      <c r="G28" s="13">
        <f t="shared" si="0"/>
        <v>195974.81770669465</v>
      </c>
    </row>
    <row r="29" spans="1:7" ht="22.5" customHeight="1" x14ac:dyDescent="0.3">
      <c r="A29" s="4">
        <v>45743</v>
      </c>
      <c r="B29" s="4" t="s">
        <v>9</v>
      </c>
      <c r="C29" s="3">
        <v>145671.0325673747</v>
      </c>
      <c r="D29" s="3"/>
      <c r="E29" s="3"/>
      <c r="F29" s="6"/>
      <c r="G29" s="13">
        <f t="shared" si="0"/>
        <v>185671.0325673747</v>
      </c>
    </row>
    <row r="30" spans="1:7" ht="22.5" customHeight="1" x14ac:dyDescent="0.3">
      <c r="A30" s="4">
        <v>45744</v>
      </c>
      <c r="B30" s="5" t="s">
        <v>10</v>
      </c>
      <c r="C30" s="3">
        <v>183342.17973166754</v>
      </c>
      <c r="D30" s="3"/>
      <c r="E30" s="3"/>
      <c r="F30" s="6"/>
      <c r="G30" s="13">
        <f t="shared" si="0"/>
        <v>223342.17973166754</v>
      </c>
    </row>
    <row r="31" spans="1:7" ht="22.5" customHeight="1" x14ac:dyDescent="0.3">
      <c r="A31" s="4">
        <v>45745</v>
      </c>
      <c r="B31" s="5" t="s">
        <v>11</v>
      </c>
      <c r="C31" s="3">
        <v>226673.77773514899</v>
      </c>
      <c r="D31" s="3"/>
      <c r="E31" s="3"/>
      <c r="F31" s="6"/>
      <c r="G31" s="13">
        <f t="shared" si="0"/>
        <v>266673.77773514902</v>
      </c>
    </row>
    <row r="32" spans="1:7" ht="22.5" customHeight="1" x14ac:dyDescent="0.3">
      <c r="A32" s="4">
        <v>45746</v>
      </c>
      <c r="B32" s="5" t="s">
        <v>12</v>
      </c>
      <c r="C32" s="3">
        <v>201542.48154186725</v>
      </c>
      <c r="D32" s="3"/>
      <c r="E32" s="3"/>
      <c r="F32" s="6"/>
      <c r="G32" s="13">
        <f t="shared" si="0"/>
        <v>241542.48154186725</v>
      </c>
    </row>
    <row r="33" spans="1:7" ht="22.5" customHeight="1" x14ac:dyDescent="0.3">
      <c r="A33" s="4">
        <v>45747</v>
      </c>
      <c r="B33" s="4" t="s">
        <v>6</v>
      </c>
      <c r="C33" s="3">
        <v>169082.460228115</v>
      </c>
      <c r="D33" s="3"/>
      <c r="E33" s="3"/>
      <c r="F33" s="6"/>
      <c r="G33" s="13">
        <f t="shared" si="0"/>
        <v>209082.460228115</v>
      </c>
    </row>
  </sheetData>
  <mergeCells count="1">
    <mergeCell ref="A1:B1"/>
  </mergeCells>
  <conditionalFormatting sqref="C1:D1 A1 A2:D2 D3:D33 A3:B3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2025_4</vt:lpstr>
      <vt:lpstr>2025_5</vt:lpstr>
      <vt:lpstr>2025_6</vt:lpstr>
      <vt:lpstr>2025_7</vt:lpstr>
      <vt:lpstr>2025_8</vt:lpstr>
      <vt:lpstr>2025_9</vt:lpstr>
      <vt:lpstr>2025_10</vt:lpstr>
      <vt:lpstr>2025_11</vt:lpstr>
      <vt:lpstr>2025_12</vt:lpstr>
      <vt:lpstr>2026_1</vt:lpstr>
      <vt:lpstr>2026_2</vt:lpstr>
      <vt:lpstr>2026_3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cp:lastPrinted>2025-03-03T07:57:34Z</cp:lastPrinted>
  <dcterms:created xsi:type="dcterms:W3CDTF">2025-02-25T04:58:15Z</dcterms:created>
  <dcterms:modified xsi:type="dcterms:W3CDTF">2026-04-15T15:25:34Z</dcterms:modified>
</cp:coreProperties>
</file>