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2026\Thuế\"/>
    </mc:Choice>
  </mc:AlternateContent>
  <xr:revisionPtr revIDLastSave="0" documentId="13_ncr:1_{A670A264-F349-47FE-A226-16492E423436}" xr6:coauthVersionLast="47" xr6:coauthVersionMax="47" xr10:uidLastSave="{00000000-0000-0000-0000-000000000000}"/>
  <bookViews>
    <workbookView xWindow="-108" yWindow="-108" windowWidth="30936" windowHeight="16776" activeTab="2" xr2:uid="{24559916-574D-4454-B1E7-DF676392ACB3}"/>
  </bookViews>
  <sheets>
    <sheet name="Chi phí cố định" sheetId="1" r:id="rId1"/>
    <sheet name="MẪU" sheetId="3" r:id="rId2"/>
    <sheet name="2026_04" sheetId="6" r:id="rId3"/>
    <sheet name="2026_05" sheetId="7" r:id="rId4"/>
    <sheet name="2026_06" sheetId="8" r:id="rId5"/>
    <sheet name="2026_07" sheetId="9" r:id="rId6"/>
    <sheet name="2026_08" sheetId="10" r:id="rId7"/>
    <sheet name="2026_09" sheetId="11" r:id="rId8"/>
    <sheet name="2026_10" sheetId="12" r:id="rId9"/>
    <sheet name="2026_11" sheetId="13" r:id="rId10"/>
    <sheet name="2026_12" sheetId="14" r:id="rId11"/>
    <sheet name="2027_01" sheetId="5" r:id="rId12"/>
    <sheet name="2027_02" sheetId="15" r:id="rId13"/>
    <sheet name="2027_03" sheetId="16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" i="1" l="1"/>
  <c r="P14" i="1"/>
  <c r="Q14" i="1"/>
  <c r="N14" i="1"/>
  <c r="T13" i="1" l="1"/>
  <c r="L13" i="1"/>
  <c r="O13" i="1"/>
  <c r="T12" i="1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B2" i="16"/>
  <c r="O12" i="1"/>
  <c r="L12" i="1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L10" i="1"/>
  <c r="O10" i="1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L9" i="1"/>
  <c r="O9" i="1"/>
  <c r="O8" i="1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L8" i="1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L7" i="1"/>
  <c r="O7" i="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L6" i="1"/>
  <c r="O6" i="1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L5" i="1"/>
  <c r="O5" i="1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L4" i="1"/>
  <c r="O4" i="1"/>
  <c r="O3" i="1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S13" i="1"/>
  <c r="S12" i="1"/>
  <c r="S11" i="1"/>
  <c r="S10" i="1"/>
  <c r="S9" i="1"/>
  <c r="S8" i="1"/>
  <c r="S7" i="1"/>
  <c r="S6" i="1"/>
  <c r="S5" i="1"/>
  <c r="S4" i="1"/>
  <c r="S3" i="1"/>
  <c r="L3" i="1"/>
  <c r="H5" i="1"/>
  <c r="O2" i="1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S2" i="1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1" i="16" l="1"/>
  <c r="A1" i="15"/>
  <c r="S14" i="1"/>
  <c r="A1" i="14"/>
  <c r="A1" i="13"/>
  <c r="A1" i="12"/>
  <c r="A1" i="11"/>
  <c r="A1" i="10"/>
  <c r="A1" i="9"/>
  <c r="A1" i="8"/>
  <c r="A1" i="7"/>
  <c r="A1" i="6"/>
  <c r="L2" i="1" s="1"/>
  <c r="H2" i="1" l="1"/>
  <c r="H1" i="1" s="1"/>
  <c r="L11" i="1" l="1"/>
  <c r="L14" i="1" s="1"/>
  <c r="O11" i="1"/>
  <c r="O14" i="1" s="1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E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B2" i="3"/>
  <c r="A1" i="5" l="1"/>
  <c r="E9" i="1"/>
  <c r="B9" i="1"/>
  <c r="M3" i="1" l="1"/>
  <c r="M5" i="1"/>
  <c r="M4" i="1"/>
  <c r="M2" i="1"/>
  <c r="M8" i="1"/>
  <c r="M7" i="1"/>
  <c r="M6" i="1"/>
  <c r="M11" i="1"/>
  <c r="M13" i="1"/>
  <c r="M12" i="1"/>
  <c r="M10" i="1"/>
  <c r="M9" i="1"/>
  <c r="M14" i="1" l="1"/>
  <c r="K8" i="1"/>
  <c r="T8" i="1" s="1"/>
  <c r="K7" i="1"/>
  <c r="T7" i="1" s="1"/>
  <c r="K6" i="1"/>
  <c r="T6" i="1" s="1"/>
  <c r="K11" i="1" l="1"/>
  <c r="T11" i="1" s="1"/>
  <c r="K10" i="1" l="1"/>
  <c r="T10" i="1" s="1"/>
  <c r="K9" i="1"/>
  <c r="T9" i="1" s="1"/>
  <c r="K5" i="1" l="1"/>
  <c r="T5" i="1" s="1"/>
  <c r="K4" i="1"/>
  <c r="T4" i="1" s="1"/>
  <c r="K3" i="1"/>
  <c r="T3" i="1" s="1"/>
  <c r="K2" i="1" l="1"/>
  <c r="T2" i="1" l="1"/>
  <c r="T14" i="1" s="1"/>
  <c r="K14" i="1"/>
</calcChain>
</file>

<file path=xl/sharedStrings.xml><?xml version="1.0" encoding="utf-8"?>
<sst xmlns="http://schemas.openxmlformats.org/spreadsheetml/2006/main" count="84" uniqueCount="38">
  <si>
    <t>TIỀN NHÀ 1</t>
  </si>
  <si>
    <t>TIỀN BÃI XE</t>
  </si>
  <si>
    <t xml:space="preserve">TIỀN ĐIỆN </t>
  </si>
  <si>
    <t>TIỀN NƯỚC</t>
  </si>
  <si>
    <t>LƯƠNG GĐ</t>
  </si>
  <si>
    <t>LƯƠNG BAITO</t>
  </si>
  <si>
    <t>TỔNG</t>
  </si>
  <si>
    <t>TIỀN NHÀ 2</t>
  </si>
  <si>
    <t>PHÍ - THUẾ</t>
  </si>
  <si>
    <t>PHÍ HỒ SƠ</t>
  </si>
  <si>
    <t>THUẾ</t>
  </si>
  <si>
    <t>DOANH THU</t>
  </si>
  <si>
    <t>NHẬP HÀNG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</si>
  <si>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</si>
  <si>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</si>
  <si>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</si>
  <si>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</si>
  <si>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</si>
  <si>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</si>
  <si>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</si>
  <si>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</si>
  <si>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</si>
  <si>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</si>
  <si>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</si>
  <si>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</si>
  <si>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TỔNG HĐ</t>
  </si>
  <si>
    <t>HÓA ĐƠN 1</t>
  </si>
  <si>
    <t>HÓA ĐƠN 2</t>
  </si>
  <si>
    <t>TIỀN ĐIỆN</t>
  </si>
  <si>
    <t>TIỀN NHÀ</t>
  </si>
  <si>
    <t>THUẾ XE</t>
  </si>
  <si>
    <t xml:space="preserve"> </t>
  </si>
  <si>
    <t>BÃI XE</t>
  </si>
  <si>
    <t>CP CỐ ĐỊNH</t>
  </si>
  <si>
    <t>BAITO</t>
  </si>
  <si>
    <t>DANH MỤC</t>
  </si>
  <si>
    <t xml:space="preserve">DANH MỤC </t>
  </si>
  <si>
    <t>LỢI NHUẬN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</si>
</sst>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¥-411]#,##0"/>
    <numFmt numFmtId="165" formatCode="[$¥-411]#,##0.0"/>
  </numFmts>
  <fonts count="9" x14ac:knownFonts="1">
    <font>
      <sz val="11"/>
      <color theme="1"/>
      <name val="Arial"/>
      <family val="2"/>
      <charset val="163"/>
      <scheme val="min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8"/>
      <name val="Arial"/>
      <family val="2"/>
      <charset val="163"/>
      <scheme val="minor"/>
    </font>
    <font>
      <b/>
      <sz val="10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8"/>
      <color rgb="FFFF0000"/>
      <name val="Times New Roman"/>
      <family val="1"/>
      <scheme val="major"/>
    </font>
    <font>
      <b/>
      <sz val="14"/>
      <color rgb="FFFF0000"/>
      <name val="Times New Roman"/>
      <family val="1"/>
      <scheme val="major"/>
    </font>
    <font>
      <sz val="14"/>
      <color rgb="FFFF0000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vertic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4" fontId="6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4" borderId="1" xfId="0" applyFont="1" applyFill="1" applyBorder="1" applyAlignment="1">
      <alignment wrapText="1"/>
    </xf>
    <xf numFmtId="164" fontId="8" fillId="4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center" wrapText="1"/>
    </xf>
    <xf numFmtId="0" fontId="8" fillId="4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164" fontId="1" fillId="0" borderId="2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1" fillId="0" borderId="1" xfId="0" applyNumberFormat="1" applyFont="1" applyBorder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8" fillId="4" borderId="1" xfId="0" applyNumberFormat="1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VeL%20infinity\Desktop\T&#7841;p%20h&#243;a\Qu&#7843;n%20l&#253;\2025\Thu&#7871;\H&#243;a%20&#273;&#417;n_Ng&#224;y_Th&#225;ng_2025_2026.xlsx" TargetMode="External"/><Relationship Id="rId1" Type="http://schemas.openxmlformats.org/officeDocument/2006/relationships/externalLinkPath" Target="H&#243;a%20&#273;&#417;n_Ng&#224;y_Th&#225;ng_2025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_4"/>
      <sheetName val="2025_5"/>
      <sheetName val="2025_6"/>
      <sheetName val="2025_7"/>
      <sheetName val="2025_8"/>
      <sheetName val="2025_9"/>
      <sheetName val="2025_10"/>
      <sheetName val="2025_11"/>
      <sheetName val="2025_12"/>
      <sheetName val="2026_1"/>
      <sheetName val="2026_2"/>
      <sheetName val="2026_3"/>
    </sheetNames>
    <sheetDataSet>
      <sheetData sheetId="0">
        <row r="1">
          <cell r="C1">
            <v>5234916</v>
          </cell>
        </row>
      </sheetData>
      <sheetData sheetId="1">
        <row r="1">
          <cell r="C1">
            <v>4908482</v>
          </cell>
        </row>
      </sheetData>
      <sheetData sheetId="2">
        <row r="1">
          <cell r="C1">
            <v>4865430</v>
          </cell>
        </row>
      </sheetData>
      <sheetData sheetId="3">
        <row r="1">
          <cell r="C1">
            <v>4641830</v>
          </cell>
        </row>
      </sheetData>
      <sheetData sheetId="4">
        <row r="1">
          <cell r="C1">
            <v>5124360</v>
          </cell>
        </row>
      </sheetData>
      <sheetData sheetId="5">
        <row r="1">
          <cell r="C1">
            <v>4866048</v>
          </cell>
        </row>
      </sheetData>
      <sheetData sheetId="6">
        <row r="1">
          <cell r="C1">
            <v>4779848</v>
          </cell>
        </row>
      </sheetData>
      <sheetData sheetId="7">
        <row r="1">
          <cell r="C1">
            <v>4729936</v>
          </cell>
        </row>
      </sheetData>
      <sheetData sheetId="8">
        <row r="1">
          <cell r="C1">
            <v>5730195</v>
          </cell>
        </row>
      </sheetData>
      <sheetData sheetId="9">
        <row r="1">
          <cell r="C1">
            <v>4969964.0823067855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1185-5A47-474E-BEA1-13F9E760B72A}">
  <dimension ref="A1:T14"/>
  <sheetViews>
    <sheetView topLeftCell="G1" workbookViewId="0">
      <selection activeCell="L6" sqref="L6"/>
    </sheetView>
  </sheetViews>
  <sheetFormatPr defaultColWidth="11.59765625" defaultRowHeight="23.4" customHeight="1" x14ac:dyDescent="0.35"/>
  <cols>
    <col min="1" max="1" width="18.296875" style="12" customWidth="1"/>
    <col min="2" max="2" width="11.19921875" style="12" customWidth="1"/>
    <col min="3" max="3" width="11.59765625" style="12"/>
    <col min="4" max="4" width="19.296875" style="12" customWidth="1"/>
    <col min="5" max="5" width="11.19921875" style="12" customWidth="1"/>
    <col min="6" max="6" width="6.09765625" style="12" customWidth="1"/>
    <col min="7" max="7" width="13.8984375" style="12" customWidth="1"/>
    <col min="8" max="8" width="13.3984375" style="12" customWidth="1"/>
    <col min="9" max="9" width="5.09765625" style="12" customWidth="1"/>
    <col min="10" max="10" width="13.69921875" style="12" customWidth="1"/>
    <col min="11" max="13" width="15.296875" style="22" customWidth="1"/>
    <col min="14" max="14" width="14.69921875" style="22" customWidth="1"/>
    <col min="15" max="18" width="14.09765625" style="12" customWidth="1"/>
    <col min="19" max="19" width="11.59765625" style="12"/>
    <col min="20" max="20" width="13.796875" style="12" customWidth="1"/>
    <col min="21" max="16384" width="11.59765625" style="12"/>
  </cols>
  <sheetData>
    <row r="1" spans="1:20" ht="23.4" customHeight="1" x14ac:dyDescent="0.35">
      <c r="A1" s="10" t="s">
        <v>35</v>
      </c>
      <c r="B1" s="11"/>
      <c r="D1" s="10" t="s">
        <v>36</v>
      </c>
      <c r="E1" s="11"/>
      <c r="G1" s="13" t="s">
        <v>8</v>
      </c>
      <c r="H1" s="14">
        <f>SUM(H2:H5)</f>
        <v>557980</v>
      </c>
      <c r="J1" s="15"/>
      <c r="K1" s="16" t="s">
        <v>11</v>
      </c>
      <c r="L1" s="16" t="s">
        <v>12</v>
      </c>
      <c r="M1" s="16" t="s">
        <v>33</v>
      </c>
      <c r="N1" s="16" t="s">
        <v>3</v>
      </c>
      <c r="O1" s="16" t="s">
        <v>28</v>
      </c>
      <c r="P1" s="16" t="s">
        <v>4</v>
      </c>
      <c r="Q1" s="16" t="s">
        <v>34</v>
      </c>
      <c r="R1" s="16" t="s">
        <v>32</v>
      </c>
      <c r="S1" s="24" t="s">
        <v>29</v>
      </c>
      <c r="T1" s="25" t="s">
        <v>37</v>
      </c>
    </row>
    <row r="2" spans="1:20" ht="23.4" customHeight="1" x14ac:dyDescent="0.35">
      <c r="A2" s="11" t="s">
        <v>0</v>
      </c>
      <c r="B2" s="17">
        <v>132000</v>
      </c>
      <c r="D2" s="11" t="s">
        <v>7</v>
      </c>
      <c r="E2" s="17">
        <v>192000</v>
      </c>
      <c r="G2" s="11" t="s">
        <v>9</v>
      </c>
      <c r="H2" s="17">
        <f>187550+187550</f>
        <v>375100</v>
      </c>
      <c r="J2" s="11" t="s">
        <v>13</v>
      </c>
      <c r="K2" s="18">
        <f>'[1]2025_4'!$C$1</f>
        <v>5234916</v>
      </c>
      <c r="L2" s="18">
        <f>'2026_04'!A1</f>
        <v>7358595</v>
      </c>
      <c r="M2" s="18">
        <f>$B$9</f>
        <v>641000</v>
      </c>
      <c r="N2" s="18">
        <v>3000</v>
      </c>
      <c r="O2" s="17">
        <f>26683+21714</f>
        <v>48397</v>
      </c>
      <c r="P2" s="17">
        <v>250000</v>
      </c>
      <c r="Q2" s="17">
        <v>150000</v>
      </c>
      <c r="R2" s="17">
        <v>26000</v>
      </c>
      <c r="S2" s="23">
        <f>B2</f>
        <v>132000</v>
      </c>
      <c r="T2" s="23">
        <f>K2-L2-N2-O2-P2-Q2-R2-S2</f>
        <v>-2733076</v>
      </c>
    </row>
    <row r="3" spans="1:20" ht="23.4" customHeight="1" x14ac:dyDescent="0.35">
      <c r="A3" s="11" t="s">
        <v>1</v>
      </c>
      <c r="B3" s="17">
        <v>26000</v>
      </c>
      <c r="D3" s="11" t="s">
        <v>1</v>
      </c>
      <c r="E3" s="17">
        <v>26000</v>
      </c>
      <c r="G3" s="11" t="s">
        <v>10</v>
      </c>
      <c r="H3" s="17">
        <v>10380</v>
      </c>
      <c r="J3" s="11" t="s">
        <v>14</v>
      </c>
      <c r="K3" s="18">
        <f>'[1]2025_5'!$C$1</f>
        <v>4908482</v>
      </c>
      <c r="L3" s="18">
        <f>'2026_05'!A1</f>
        <v>4149986</v>
      </c>
      <c r="M3" s="18">
        <f t="shared" ref="M3:M5" si="0">$B$9</f>
        <v>641000</v>
      </c>
      <c r="N3" s="18">
        <v>3000</v>
      </c>
      <c r="O3" s="17">
        <f>29311+38673</f>
        <v>67984</v>
      </c>
      <c r="P3" s="17">
        <v>250000</v>
      </c>
      <c r="Q3" s="17">
        <v>150000</v>
      </c>
      <c r="R3" s="17">
        <v>26000</v>
      </c>
      <c r="S3" s="23">
        <f>$B$2</f>
        <v>132000</v>
      </c>
      <c r="T3" s="23">
        <f t="shared" ref="T3:T10" si="1">K3-L3-N3-O3-P3-Q3-R3-S3</f>
        <v>129512</v>
      </c>
    </row>
    <row r="4" spans="1:20" ht="23.4" customHeight="1" x14ac:dyDescent="0.35">
      <c r="A4" s="11" t="s">
        <v>2</v>
      </c>
      <c r="B4" s="17">
        <v>80000</v>
      </c>
      <c r="D4" s="11" t="s">
        <v>2</v>
      </c>
      <c r="E4" s="17">
        <v>80000</v>
      </c>
      <c r="G4" s="11" t="s">
        <v>10</v>
      </c>
      <c r="H4" s="17">
        <v>81700</v>
      </c>
      <c r="J4" s="11" t="s">
        <v>15</v>
      </c>
      <c r="K4" s="18">
        <f>'[1]2025_6'!$C$1</f>
        <v>4865430</v>
      </c>
      <c r="L4" s="18">
        <f>'2026_06'!A1</f>
        <v>4113296</v>
      </c>
      <c r="M4" s="18">
        <f t="shared" si="0"/>
        <v>641000</v>
      </c>
      <c r="N4" s="18">
        <v>3000</v>
      </c>
      <c r="O4" s="17">
        <f>36798+47376</f>
        <v>84174</v>
      </c>
      <c r="P4" s="17">
        <v>250000</v>
      </c>
      <c r="Q4" s="17">
        <v>150000</v>
      </c>
      <c r="R4" s="17">
        <v>26000</v>
      </c>
      <c r="S4" s="23">
        <f>$B$2</f>
        <v>132000</v>
      </c>
      <c r="T4" s="23">
        <f t="shared" si="1"/>
        <v>106960</v>
      </c>
    </row>
    <row r="5" spans="1:20" ht="23.4" customHeight="1" x14ac:dyDescent="0.35">
      <c r="A5" s="11" t="s">
        <v>3</v>
      </c>
      <c r="B5" s="17">
        <v>3000</v>
      </c>
      <c r="D5" s="11" t="s">
        <v>3</v>
      </c>
      <c r="E5" s="17">
        <v>3000</v>
      </c>
      <c r="G5" s="11" t="s">
        <v>30</v>
      </c>
      <c r="H5" s="17">
        <f>45400+45400</f>
        <v>90800</v>
      </c>
      <c r="J5" s="11" t="s">
        <v>16</v>
      </c>
      <c r="K5" s="18">
        <f>'[1]2025_7'!$C$1</f>
        <v>4641830</v>
      </c>
      <c r="L5" s="18">
        <f>'2026_07'!A1</f>
        <v>3897019</v>
      </c>
      <c r="M5" s="18">
        <f t="shared" si="0"/>
        <v>641000</v>
      </c>
      <c r="N5" s="18">
        <v>3000</v>
      </c>
      <c r="O5" s="17">
        <f>45503+45857</f>
        <v>91360</v>
      </c>
      <c r="P5" s="17">
        <v>250000</v>
      </c>
      <c r="Q5" s="17">
        <v>150000</v>
      </c>
      <c r="R5" s="17">
        <v>26000</v>
      </c>
      <c r="S5" s="23">
        <f>$B$2</f>
        <v>132000</v>
      </c>
      <c r="T5" s="23">
        <f t="shared" si="1"/>
        <v>92451</v>
      </c>
    </row>
    <row r="6" spans="1:20" ht="23.4" customHeight="1" x14ac:dyDescent="0.35">
      <c r="A6" s="11" t="s">
        <v>4</v>
      </c>
      <c r="B6" s="17">
        <v>250000</v>
      </c>
      <c r="D6" s="11" t="s">
        <v>4</v>
      </c>
      <c r="E6" s="17">
        <v>250000</v>
      </c>
      <c r="J6" s="11" t="s">
        <v>17</v>
      </c>
      <c r="K6" s="18">
        <f>'[1]2025_8'!$C$1</f>
        <v>5124360</v>
      </c>
      <c r="L6" s="18">
        <f>'2026_08'!A1</f>
        <v>4302580</v>
      </c>
      <c r="M6" s="18">
        <f t="shared" ref="M6:M10" si="2">$E$9</f>
        <v>701000</v>
      </c>
      <c r="N6" s="18">
        <v>3000</v>
      </c>
      <c r="O6" s="17">
        <f>76936+60876</f>
        <v>137812</v>
      </c>
      <c r="P6" s="17">
        <v>250000</v>
      </c>
      <c r="Q6" s="17">
        <v>150000</v>
      </c>
      <c r="R6" s="17">
        <v>26000</v>
      </c>
      <c r="S6" s="23">
        <f>$E$2</f>
        <v>192000</v>
      </c>
      <c r="T6" s="23">
        <f t="shared" si="1"/>
        <v>62968</v>
      </c>
    </row>
    <row r="7" spans="1:20" ht="23.4" customHeight="1" x14ac:dyDescent="0.35">
      <c r="A7" s="11" t="s">
        <v>5</v>
      </c>
      <c r="B7" s="17">
        <v>150000</v>
      </c>
      <c r="D7" s="11" t="s">
        <v>5</v>
      </c>
      <c r="E7" s="17">
        <v>150000</v>
      </c>
      <c r="J7" s="11" t="s">
        <v>18</v>
      </c>
      <c r="K7" s="18">
        <f>'[1]2025_9'!$C$1</f>
        <v>4866048</v>
      </c>
      <c r="L7" s="18">
        <f>'2026_09'!A1</f>
        <v>4038989</v>
      </c>
      <c r="M7" s="18">
        <f t="shared" si="2"/>
        <v>701000</v>
      </c>
      <c r="N7" s="18">
        <v>3000</v>
      </c>
      <c r="O7" s="17">
        <f>79626+58727</f>
        <v>138353</v>
      </c>
      <c r="P7" s="17">
        <v>250000</v>
      </c>
      <c r="Q7" s="17">
        <v>150000</v>
      </c>
      <c r="R7" s="17">
        <v>26000</v>
      </c>
      <c r="S7" s="23">
        <f t="shared" ref="S7:S13" si="3">$E$2</f>
        <v>192000</v>
      </c>
      <c r="T7" s="23">
        <f t="shared" si="1"/>
        <v>67706</v>
      </c>
    </row>
    <row r="8" spans="1:20" ht="23.4" customHeight="1" x14ac:dyDescent="0.35">
      <c r="A8" s="11"/>
      <c r="B8" s="17"/>
      <c r="D8" s="11"/>
      <c r="E8" s="17"/>
      <c r="J8" s="11" t="s">
        <v>19</v>
      </c>
      <c r="K8" s="18">
        <f>'[1]2025_10'!$C$1</f>
        <v>4779848</v>
      </c>
      <c r="L8" s="18">
        <f>'2026_10'!A1</f>
        <v>3939091</v>
      </c>
      <c r="M8" s="18">
        <f t="shared" si="2"/>
        <v>701000</v>
      </c>
      <c r="N8" s="18">
        <v>3000</v>
      </c>
      <c r="O8" s="17">
        <f>71744+52705</f>
        <v>124449</v>
      </c>
      <c r="P8" s="17">
        <v>250000</v>
      </c>
      <c r="Q8" s="17">
        <v>150000</v>
      </c>
      <c r="R8" s="17">
        <v>26000</v>
      </c>
      <c r="S8" s="23">
        <f t="shared" si="3"/>
        <v>192000</v>
      </c>
      <c r="T8" s="23">
        <f t="shared" si="1"/>
        <v>95308</v>
      </c>
    </row>
    <row r="9" spans="1:20" ht="23.4" customHeight="1" x14ac:dyDescent="0.35">
      <c r="A9" s="19" t="s">
        <v>6</v>
      </c>
      <c r="B9" s="14">
        <f>SUM(B2:B8)</f>
        <v>641000</v>
      </c>
      <c r="D9" s="19" t="s">
        <v>6</v>
      </c>
      <c r="E9" s="14">
        <f>SUM(E2:E8)</f>
        <v>701000</v>
      </c>
      <c r="J9" s="11" t="s">
        <v>20</v>
      </c>
      <c r="K9" s="18">
        <f>'[1]2025_11'!$C$1</f>
        <v>4729936</v>
      </c>
      <c r="L9" s="18">
        <f>'2026_11'!A1</f>
        <v>3937229</v>
      </c>
      <c r="M9" s="18">
        <f t="shared" si="2"/>
        <v>701000</v>
      </c>
      <c r="N9" s="18">
        <v>3000</v>
      </c>
      <c r="O9" s="17">
        <f>55477+64259</f>
        <v>119736</v>
      </c>
      <c r="P9" s="17">
        <v>250000</v>
      </c>
      <c r="Q9" s="17">
        <v>150000</v>
      </c>
      <c r="R9" s="17">
        <v>26000</v>
      </c>
      <c r="S9" s="23">
        <f t="shared" si="3"/>
        <v>192000</v>
      </c>
      <c r="T9" s="23">
        <f t="shared" si="1"/>
        <v>51971</v>
      </c>
    </row>
    <row r="10" spans="1:20" ht="23.4" customHeight="1" x14ac:dyDescent="0.35">
      <c r="J10" s="11" t="s">
        <v>21</v>
      </c>
      <c r="K10" s="18">
        <f>'[1]2025_12'!$C$1</f>
        <v>5730195</v>
      </c>
      <c r="L10" s="18">
        <f>'2026_12'!A1</f>
        <v>4969997</v>
      </c>
      <c r="M10" s="18">
        <f t="shared" si="2"/>
        <v>701000</v>
      </c>
      <c r="N10" s="18">
        <v>3000</v>
      </c>
      <c r="O10" s="17">
        <f>46075+38086</f>
        <v>84161</v>
      </c>
      <c r="P10" s="17">
        <v>250000</v>
      </c>
      <c r="Q10" s="17">
        <v>150000</v>
      </c>
      <c r="R10" s="17">
        <v>26000</v>
      </c>
      <c r="S10" s="23">
        <f t="shared" si="3"/>
        <v>192000</v>
      </c>
      <c r="T10" s="23">
        <f t="shared" si="1"/>
        <v>55037</v>
      </c>
    </row>
    <row r="11" spans="1:20" ht="23.4" customHeight="1" x14ac:dyDescent="0.35">
      <c r="J11" s="11" t="s">
        <v>22</v>
      </c>
      <c r="K11" s="18">
        <f>'[1]2026_1'!$C$1</f>
        <v>4969964.0823067855</v>
      </c>
      <c r="L11" s="18">
        <f>'2027_01'!A1</f>
        <v>4185148</v>
      </c>
      <c r="M11" s="18">
        <f>$E$9</f>
        <v>701000</v>
      </c>
      <c r="N11" s="18">
        <v>3000</v>
      </c>
      <c r="O11" s="17">
        <f>33807+31282</f>
        <v>65089</v>
      </c>
      <c r="P11" s="17">
        <v>250000</v>
      </c>
      <c r="Q11" s="17">
        <v>150000</v>
      </c>
      <c r="R11" s="17">
        <v>26000</v>
      </c>
      <c r="S11" s="23">
        <f t="shared" si="3"/>
        <v>192000</v>
      </c>
      <c r="T11" s="23">
        <f>K11-L11-N11-O11-P11-Q11-R11-S11</f>
        <v>98727.082306785509</v>
      </c>
    </row>
    <row r="12" spans="1:20" ht="23.4" customHeight="1" x14ac:dyDescent="0.35">
      <c r="J12" s="11" t="s">
        <v>23</v>
      </c>
      <c r="K12" s="18">
        <v>5236032</v>
      </c>
      <c r="L12" s="18">
        <f>'2027_02'!A1</f>
        <v>4409564</v>
      </c>
      <c r="M12" s="18">
        <f>$E$9</f>
        <v>701000</v>
      </c>
      <c r="N12" s="18">
        <v>3000</v>
      </c>
      <c r="O12" s="17">
        <f>33807+31282</f>
        <v>65089</v>
      </c>
      <c r="P12" s="17">
        <v>250000</v>
      </c>
      <c r="Q12" s="17">
        <v>150000</v>
      </c>
      <c r="R12" s="17">
        <v>26000</v>
      </c>
      <c r="S12" s="23">
        <f t="shared" si="3"/>
        <v>192000</v>
      </c>
      <c r="T12" s="23">
        <f t="shared" ref="T12:T13" si="4">K12-L12-N12-O12-P12-Q12-R12-S12</f>
        <v>140379</v>
      </c>
    </row>
    <row r="13" spans="1:20" ht="23.4" customHeight="1" x14ac:dyDescent="0.35">
      <c r="J13" s="20" t="s">
        <v>24</v>
      </c>
      <c r="K13" s="21">
        <v>5486152</v>
      </c>
      <c r="L13" s="21">
        <f>'2027_03'!A1</f>
        <v>4668273</v>
      </c>
      <c r="M13" s="21">
        <f>$E$9</f>
        <v>701000</v>
      </c>
      <c r="N13" s="18">
        <v>3000</v>
      </c>
      <c r="O13" s="17">
        <f>42474+37537</f>
        <v>80011</v>
      </c>
      <c r="P13" s="17">
        <v>250000</v>
      </c>
      <c r="Q13" s="17">
        <v>150000</v>
      </c>
      <c r="R13" s="17">
        <v>26000</v>
      </c>
      <c r="S13" s="23">
        <f t="shared" si="3"/>
        <v>192000</v>
      </c>
      <c r="T13" s="23">
        <f t="shared" si="4"/>
        <v>116868</v>
      </c>
    </row>
    <row r="14" spans="1:20" ht="23.4" customHeight="1" x14ac:dyDescent="0.35">
      <c r="I14" s="27" t="s">
        <v>6</v>
      </c>
      <c r="J14" s="27"/>
      <c r="K14" s="26">
        <f>SUM(K2:K13)</f>
        <v>60573193.082306787</v>
      </c>
      <c r="L14" s="26">
        <f>SUM(L2:L13)</f>
        <v>53969767</v>
      </c>
      <c r="M14" s="26">
        <f t="shared" ref="M14:T14" si="5">SUM(M2:M13)</f>
        <v>8172000</v>
      </c>
      <c r="N14" s="26">
        <f t="shared" si="5"/>
        <v>36000</v>
      </c>
      <c r="O14" s="26">
        <f t="shared" si="5"/>
        <v>1106615</v>
      </c>
      <c r="P14" s="26">
        <f t="shared" si="5"/>
        <v>3000000</v>
      </c>
      <c r="Q14" s="26">
        <f t="shared" si="5"/>
        <v>1800000</v>
      </c>
      <c r="R14" s="26">
        <f t="shared" si="5"/>
        <v>312000</v>
      </c>
      <c r="S14" s="26">
        <f t="shared" si="5"/>
        <v>2064000</v>
      </c>
      <c r="T14" s="26">
        <f t="shared" si="5"/>
        <v>-1715188.9176932145</v>
      </c>
    </row>
  </sheetData>
  <mergeCells count="1">
    <mergeCell ref="I14:J14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CFBC-9259-4A15-8620-2091DDB11F78}">
  <dimension ref="A1:AE10"/>
  <sheetViews>
    <sheetView workbookViewId="0">
      <selection activeCell="AB11" sqref="AB11"/>
    </sheetView>
  </sheetViews>
  <sheetFormatPr defaultColWidth="11.296875" defaultRowHeight="23.4" customHeight="1" x14ac:dyDescent="0.35"/>
  <cols>
    <col min="1" max="1" width="15.19921875" style="1" customWidth="1"/>
    <col min="2" max="16384" width="11.296875" style="1"/>
  </cols>
  <sheetData>
    <row r="1" spans="1:31" s="4" customFormat="1" ht="23.4" customHeight="1" x14ac:dyDescent="0.25">
      <c r="A1" s="5"/>
      <c r="B1" s="6">
        <v>45748</v>
      </c>
      <c r="C1" s="6">
        <v>45749</v>
      </c>
      <c r="D1" s="6">
        <v>45750</v>
      </c>
      <c r="E1" s="6">
        <v>45751</v>
      </c>
      <c r="F1" s="6">
        <v>45752</v>
      </c>
      <c r="G1" s="6">
        <v>45753</v>
      </c>
      <c r="H1" s="6">
        <v>45754</v>
      </c>
      <c r="I1" s="6">
        <v>45755</v>
      </c>
      <c r="J1" s="6">
        <v>45756</v>
      </c>
      <c r="K1" s="6">
        <v>45757</v>
      </c>
      <c r="L1" s="6">
        <v>45758</v>
      </c>
      <c r="M1" s="6">
        <v>45759</v>
      </c>
      <c r="N1" s="6">
        <v>45760</v>
      </c>
      <c r="O1" s="6">
        <v>45761</v>
      </c>
      <c r="P1" s="6">
        <v>45762</v>
      </c>
      <c r="Q1" s="6">
        <v>45763</v>
      </c>
      <c r="R1" s="6">
        <v>45764</v>
      </c>
      <c r="S1" s="6">
        <v>45765</v>
      </c>
      <c r="T1" s="6">
        <v>45766</v>
      </c>
      <c r="U1" s="6">
        <v>45767</v>
      </c>
      <c r="V1" s="6">
        <v>45768</v>
      </c>
      <c r="W1" s="6">
        <v>45769</v>
      </c>
      <c r="X1" s="6">
        <v>45770</v>
      </c>
      <c r="Y1" s="6">
        <v>45771</v>
      </c>
      <c r="Z1" s="6">
        <v>45772</v>
      </c>
      <c r="AA1" s="6">
        <v>45773</v>
      </c>
      <c r="AB1" s="6">
        <v>45774</v>
      </c>
      <c r="AC1" s="6">
        <v>45775</v>
      </c>
      <c r="AD1" s="6">
        <v>45776</v>
      </c>
      <c r="AE1" s="6">
        <v>45777</v>
      </c>
    </row>
    <row r="2" spans="1:31" ht="23.4" customHeight="1" x14ac:dyDescent="0.35">
      <c r="A2" s="7" t="s">
        <v>25</v>
      </c>
      <c r="B2" s="8">
        <f>SUM(B3:B14)</f>
        <v>0</v>
      </c>
      <c r="C2" s="8">
        <f t="shared" ref="C2:AE2" si="0">SUM(C3:C14)</f>
        <v>0</v>
      </c>
      <c r="D2" s="8">
        <f t="shared" si="0"/>
        <v>0</v>
      </c>
      <c r="E2" s="8">
        <f t="shared" si="0"/>
        <v>0</v>
      </c>
      <c r="F2" s="8">
        <f t="shared" si="0"/>
        <v>0</v>
      </c>
      <c r="G2" s="8">
        <f t="shared" si="0"/>
        <v>0</v>
      </c>
      <c r="H2" s="8">
        <f t="shared" si="0"/>
        <v>0</v>
      </c>
      <c r="I2" s="8">
        <f t="shared" si="0"/>
        <v>0</v>
      </c>
      <c r="J2" s="8">
        <f t="shared" si="0"/>
        <v>0</v>
      </c>
      <c r="K2" s="8">
        <f t="shared" si="0"/>
        <v>0</v>
      </c>
      <c r="L2" s="8">
        <f t="shared" si="0"/>
        <v>0</v>
      </c>
      <c r="M2" s="8">
        <f t="shared" si="0"/>
        <v>0</v>
      </c>
      <c r="N2" s="8">
        <f t="shared" si="0"/>
        <v>0</v>
      </c>
      <c r="O2" s="8">
        <f t="shared" si="0"/>
        <v>0</v>
      </c>
      <c r="P2" s="8">
        <f t="shared" si="0"/>
        <v>0</v>
      </c>
      <c r="Q2" s="8">
        <f t="shared" si="0"/>
        <v>0</v>
      </c>
      <c r="R2" s="8">
        <f t="shared" si="0"/>
        <v>0</v>
      </c>
      <c r="S2" s="8">
        <f t="shared" si="0"/>
        <v>0</v>
      </c>
      <c r="T2" s="8">
        <f t="shared" si="0"/>
        <v>0</v>
      </c>
      <c r="U2" s="8">
        <f t="shared" si="0"/>
        <v>0</v>
      </c>
      <c r="V2" s="8">
        <f t="shared" si="0"/>
        <v>0</v>
      </c>
      <c r="W2" s="8">
        <f t="shared" si="0"/>
        <v>0</v>
      </c>
      <c r="X2" s="8">
        <f t="shared" si="0"/>
        <v>0</v>
      </c>
      <c r="Y2" s="8">
        <f t="shared" si="0"/>
        <v>0</v>
      </c>
      <c r="Z2" s="8">
        <f t="shared" si="0"/>
        <v>0</v>
      </c>
      <c r="AA2" s="8">
        <f t="shared" si="0"/>
        <v>0</v>
      </c>
      <c r="AB2" s="8">
        <f t="shared" si="0"/>
        <v>0</v>
      </c>
      <c r="AC2" s="8">
        <f t="shared" si="0"/>
        <v>0</v>
      </c>
      <c r="AD2" s="8">
        <f t="shared" si="0"/>
        <v>0</v>
      </c>
      <c r="AE2" s="8">
        <f t="shared" si="0"/>
        <v>0</v>
      </c>
    </row>
    <row r="3" spans="1:31" ht="23.4" customHeight="1" x14ac:dyDescent="0.35">
      <c r="A3" s="2" t="s">
        <v>26</v>
      </c>
      <c r="B3" s="3"/>
      <c r="C3" s="2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23.4" customHeight="1" x14ac:dyDescent="0.35">
      <c r="A4" s="2" t="s">
        <v>27</v>
      </c>
      <c r="B4" s="3"/>
      <c r="C4" s="2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23.4" customHeight="1" x14ac:dyDescent="0.35">
      <c r="A5" s="2"/>
      <c r="B5" s="3"/>
      <c r="C5" s="2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23.4" customHeight="1" x14ac:dyDescent="0.35">
      <c r="A6" s="2"/>
      <c r="B6" s="3"/>
      <c r="C6" s="2"/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23.4" customHeight="1" x14ac:dyDescent="0.35">
      <c r="A7" s="2"/>
      <c r="B7" s="3"/>
      <c r="C7" s="2"/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23.4" customHeight="1" x14ac:dyDescent="0.35">
      <c r="A8" s="2"/>
      <c r="B8" s="3"/>
      <c r="C8" s="2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23.4" customHeight="1" x14ac:dyDescent="0.35">
      <c r="A9" s="2"/>
      <c r="B9" s="3"/>
      <c r="C9" s="2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23.4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1965-C588-4143-8E30-B484E97E64CA}">
  <dimension ref="A1:AF10"/>
  <sheetViews>
    <sheetView tabSelected="1" workbookViewId="0">
      <pane xSplit="1" topLeftCell="M1" activePane="topRight" state="frozen"/>
      <selection activeCell="AB11" sqref="AB11"/>
      <selection pane="topRight" activeCell="AB5" sqref="AB5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7358595</v>
      </c>
      <c r="B1" s="6">
        <v>45748</v>
      </c>
      <c r="C1" s="6">
        <v>45749</v>
      </c>
      <c r="D1" s="6">
        <v>45750</v>
      </c>
      <c r="E1" s="6">
        <v>45751</v>
      </c>
      <c r="F1" s="6">
        <v>45752</v>
      </c>
      <c r="G1" s="6">
        <v>45753</v>
      </c>
      <c r="H1" s="6">
        <v>45754</v>
      </c>
      <c r="I1" s="6">
        <v>45755</v>
      </c>
      <c r="J1" s="6">
        <v>45756</v>
      </c>
      <c r="K1" s="6">
        <v>45757</v>
      </c>
      <c r="L1" s="6">
        <v>45758</v>
      </c>
      <c r="M1" s="6">
        <v>45759</v>
      </c>
      <c r="N1" s="6">
        <v>45760</v>
      </c>
      <c r="O1" s="6">
        <v>45761</v>
      </c>
      <c r="P1" s="6">
        <v>45762</v>
      </c>
      <c r="Q1" s="6">
        <v>45763</v>
      </c>
      <c r="R1" s="6">
        <v>45764</v>
      </c>
      <c r="S1" s="6">
        <v>45765</v>
      </c>
      <c r="T1" s="6">
        <v>45766</v>
      </c>
      <c r="U1" s="6">
        <v>45767</v>
      </c>
      <c r="V1" s="6">
        <v>45768</v>
      </c>
      <c r="W1" s="6">
        <v>45769</v>
      </c>
      <c r="X1" s="6">
        <v>45770</v>
      </c>
      <c r="Y1" s="6">
        <v>45771</v>
      </c>
      <c r="Z1" s="6">
        <v>45772</v>
      </c>
      <c r="AA1" s="6">
        <v>45773</v>
      </c>
      <c r="AB1" s="6">
        <v>45774</v>
      </c>
      <c r="AC1" s="6">
        <v>45775</v>
      </c>
      <c r="AD1" s="6">
        <v>45776</v>
      </c>
      <c r="AE1" s="6">
        <v>45777</v>
      </c>
      <c r="AF1" s="6"/>
    </row>
    <row r="2" spans="1:32" ht="23.4" customHeight="1" x14ac:dyDescent="0.35">
      <c r="A2" s="7" t="s">
        <v>25</v>
      </c>
      <c r="B2" s="8">
        <f>SUM(B3:B14)</f>
        <v>31122</v>
      </c>
      <c r="C2" s="8">
        <f t="shared" ref="C2:AE2" si="0">SUM(C3:C14)</f>
        <v>12330</v>
      </c>
      <c r="D2" s="8">
        <f t="shared" si="0"/>
        <v>383691</v>
      </c>
      <c r="E2" s="8">
        <f t="shared" si="0"/>
        <v>70460</v>
      </c>
      <c r="F2" s="8">
        <f t="shared" si="0"/>
        <v>95500</v>
      </c>
      <c r="G2" s="8">
        <f t="shared" si="0"/>
        <v>685072</v>
      </c>
      <c r="H2" s="8">
        <f t="shared" si="0"/>
        <v>232812</v>
      </c>
      <c r="I2" s="8">
        <f t="shared" si="0"/>
        <v>910063</v>
      </c>
      <c r="J2" s="8">
        <f t="shared" si="0"/>
        <v>399702</v>
      </c>
      <c r="K2" s="8">
        <f t="shared" si="0"/>
        <v>288997</v>
      </c>
      <c r="L2" s="8">
        <f t="shared" si="0"/>
        <v>90230</v>
      </c>
      <c r="M2" s="8">
        <f t="shared" si="0"/>
        <v>823924</v>
      </c>
      <c r="N2" s="8">
        <f t="shared" si="0"/>
        <v>368260</v>
      </c>
      <c r="O2" s="8">
        <f t="shared" si="0"/>
        <v>769304</v>
      </c>
      <c r="P2" s="8">
        <f t="shared" si="0"/>
        <v>229597</v>
      </c>
      <c r="Q2" s="8">
        <f t="shared" si="0"/>
        <v>32960</v>
      </c>
      <c r="R2" s="8">
        <f t="shared" si="0"/>
        <v>142001</v>
      </c>
      <c r="S2" s="8">
        <f t="shared" si="0"/>
        <v>158670</v>
      </c>
      <c r="T2" s="8">
        <f t="shared" si="0"/>
        <v>76846</v>
      </c>
      <c r="U2" s="8">
        <f t="shared" si="0"/>
        <v>772184</v>
      </c>
      <c r="V2" s="8">
        <f t="shared" si="0"/>
        <v>34080</v>
      </c>
      <c r="W2" s="8">
        <f t="shared" si="0"/>
        <v>177000</v>
      </c>
      <c r="X2" s="8">
        <f t="shared" si="0"/>
        <v>0</v>
      </c>
      <c r="Y2" s="8">
        <f t="shared" si="0"/>
        <v>305820</v>
      </c>
      <c r="Z2" s="8">
        <f t="shared" si="0"/>
        <v>117760</v>
      </c>
      <c r="AA2" s="8">
        <f t="shared" si="0"/>
        <v>97610</v>
      </c>
      <c r="AB2" s="8">
        <f t="shared" si="0"/>
        <v>52600</v>
      </c>
      <c r="AC2" s="8">
        <f t="shared" si="0"/>
        <v>0</v>
      </c>
      <c r="AD2" s="8">
        <f t="shared" si="0"/>
        <v>0</v>
      </c>
      <c r="AE2" s="8">
        <f t="shared" si="0"/>
        <v>0</v>
      </c>
      <c r="AF2" s="8">
        <f>SUM(AF3:AF14)</f>
        <v>0</v>
      </c>
    </row>
    <row r="3" spans="1:32" ht="23.4" customHeight="1" x14ac:dyDescent="0.35">
      <c r="A3" s="2" t="s">
        <v>26</v>
      </c>
      <c r="B3" s="3">
        <v>31122</v>
      </c>
      <c r="C3" s="3">
        <v>12330</v>
      </c>
      <c r="D3" s="3">
        <v>163851</v>
      </c>
      <c r="E3" s="3">
        <v>5500</v>
      </c>
      <c r="F3" s="3">
        <v>78300</v>
      </c>
      <c r="G3" s="3">
        <v>399550</v>
      </c>
      <c r="H3" s="3">
        <v>104512</v>
      </c>
      <c r="I3" s="3">
        <v>270550</v>
      </c>
      <c r="J3" s="3">
        <v>399702</v>
      </c>
      <c r="K3" s="3">
        <v>180880</v>
      </c>
      <c r="L3" s="3">
        <v>12330</v>
      </c>
      <c r="M3" s="3">
        <v>339965</v>
      </c>
      <c r="N3" s="3">
        <v>77910</v>
      </c>
      <c r="O3" s="3">
        <v>393008</v>
      </c>
      <c r="P3" s="3">
        <v>229597</v>
      </c>
      <c r="Q3" s="3">
        <v>32960</v>
      </c>
      <c r="R3" s="3">
        <v>104340</v>
      </c>
      <c r="S3" s="3">
        <v>96780</v>
      </c>
      <c r="T3" s="3">
        <v>64516</v>
      </c>
      <c r="U3" s="3">
        <v>772184</v>
      </c>
      <c r="V3" s="3">
        <v>34080</v>
      </c>
      <c r="W3" s="3">
        <v>55150</v>
      </c>
      <c r="X3" s="3"/>
      <c r="Y3" s="3">
        <v>122940</v>
      </c>
      <c r="Z3" s="3">
        <v>46060</v>
      </c>
      <c r="AA3" s="3">
        <v>55830</v>
      </c>
      <c r="AB3" s="3">
        <v>34200</v>
      </c>
      <c r="AC3" s="3"/>
      <c r="AD3" s="3"/>
      <c r="AE3" s="3"/>
      <c r="AF3" s="3"/>
    </row>
    <row r="4" spans="1:32" ht="23.4" customHeight="1" x14ac:dyDescent="0.35">
      <c r="A4" s="2" t="s">
        <v>27</v>
      </c>
      <c r="B4" s="3"/>
      <c r="C4" s="3"/>
      <c r="D4" s="3">
        <v>93900</v>
      </c>
      <c r="E4" s="3">
        <v>64960</v>
      </c>
      <c r="F4" s="3">
        <v>17200</v>
      </c>
      <c r="G4" s="3">
        <v>36440</v>
      </c>
      <c r="H4" s="3">
        <v>128300</v>
      </c>
      <c r="I4" s="3">
        <v>605313</v>
      </c>
      <c r="J4" s="3"/>
      <c r="K4" s="3">
        <v>20560</v>
      </c>
      <c r="L4" s="3">
        <v>77900</v>
      </c>
      <c r="M4" s="3">
        <v>244395</v>
      </c>
      <c r="N4" s="3">
        <v>290350</v>
      </c>
      <c r="O4" s="3">
        <v>273006</v>
      </c>
      <c r="P4" s="3"/>
      <c r="Q4" s="3"/>
      <c r="R4" s="3">
        <v>37661</v>
      </c>
      <c r="S4" s="3">
        <v>61890</v>
      </c>
      <c r="T4" s="3">
        <v>12330</v>
      </c>
      <c r="U4" s="3"/>
      <c r="V4" s="3"/>
      <c r="W4" s="3">
        <v>121850</v>
      </c>
      <c r="X4" s="3"/>
      <c r="Y4" s="3">
        <v>84380</v>
      </c>
      <c r="Z4" s="3">
        <v>71700</v>
      </c>
      <c r="AA4" s="3">
        <v>41780</v>
      </c>
      <c r="AB4" s="3">
        <v>18400</v>
      </c>
      <c r="AC4" s="3"/>
      <c r="AD4" s="3"/>
      <c r="AE4" s="3"/>
      <c r="AF4" s="3"/>
    </row>
    <row r="5" spans="1:32" ht="23.4" customHeight="1" x14ac:dyDescent="0.35">
      <c r="A5" s="2"/>
      <c r="B5" s="3"/>
      <c r="C5" s="3"/>
      <c r="D5" s="3">
        <v>125940</v>
      </c>
      <c r="E5" s="3"/>
      <c r="F5" s="3"/>
      <c r="G5" s="3">
        <v>155518</v>
      </c>
      <c r="H5" s="3"/>
      <c r="I5" s="3">
        <v>34200</v>
      </c>
      <c r="J5" s="3"/>
      <c r="K5" s="3">
        <v>87557</v>
      </c>
      <c r="L5" s="3"/>
      <c r="M5" s="3">
        <v>239564</v>
      </c>
      <c r="N5" s="3"/>
      <c r="O5" s="3">
        <v>56560</v>
      </c>
      <c r="P5" s="3"/>
      <c r="Q5" s="3"/>
      <c r="R5" s="3"/>
      <c r="S5" s="3"/>
      <c r="T5" s="3"/>
      <c r="U5" s="3"/>
      <c r="V5" s="3"/>
      <c r="W5" s="3"/>
      <c r="X5" s="3"/>
      <c r="Y5" s="3">
        <v>98500</v>
      </c>
      <c r="Z5" s="3"/>
      <c r="AA5" s="3"/>
      <c r="AB5" s="3"/>
      <c r="AC5" s="3"/>
      <c r="AD5" s="3"/>
      <c r="AE5" s="3"/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>
        <v>47418</v>
      </c>
      <c r="H6" s="3"/>
      <c r="I6" s="3"/>
      <c r="J6" s="3"/>
      <c r="K6" s="3"/>
      <c r="L6" s="3"/>
      <c r="M6" s="3"/>
      <c r="N6" s="3"/>
      <c r="O6" s="3">
        <v>46730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>
        <v>46146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4E32-AD08-4536-AEB2-815169169798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4149986</v>
      </c>
      <c r="B1" s="6">
        <v>45778</v>
      </c>
      <c r="C1" s="6">
        <v>45779</v>
      </c>
      <c r="D1" s="6">
        <v>45780</v>
      </c>
      <c r="E1" s="6">
        <v>45781</v>
      </c>
      <c r="F1" s="6">
        <v>45782</v>
      </c>
      <c r="G1" s="6">
        <v>45783</v>
      </c>
      <c r="H1" s="6">
        <v>45784</v>
      </c>
      <c r="I1" s="6">
        <v>45785</v>
      </c>
      <c r="J1" s="6">
        <v>45786</v>
      </c>
      <c r="K1" s="6">
        <v>45787</v>
      </c>
      <c r="L1" s="6">
        <v>45788</v>
      </c>
      <c r="M1" s="6">
        <v>45789</v>
      </c>
      <c r="N1" s="6">
        <v>45790</v>
      </c>
      <c r="O1" s="6">
        <v>45791</v>
      </c>
      <c r="P1" s="6">
        <v>45792</v>
      </c>
      <c r="Q1" s="6">
        <v>45793</v>
      </c>
      <c r="R1" s="6">
        <v>45794</v>
      </c>
      <c r="S1" s="6">
        <v>45795</v>
      </c>
      <c r="T1" s="6">
        <v>45796</v>
      </c>
      <c r="U1" s="6">
        <v>45797</v>
      </c>
      <c r="V1" s="6">
        <v>45798</v>
      </c>
      <c r="W1" s="6">
        <v>45799</v>
      </c>
      <c r="X1" s="6">
        <v>45800</v>
      </c>
      <c r="Y1" s="6">
        <v>45801</v>
      </c>
      <c r="Z1" s="6">
        <v>45802</v>
      </c>
      <c r="AA1" s="6">
        <v>45803</v>
      </c>
      <c r="AB1" s="6">
        <v>45804</v>
      </c>
      <c r="AC1" s="6">
        <v>45805</v>
      </c>
      <c r="AD1" s="6">
        <v>45806</v>
      </c>
      <c r="AE1" s="6">
        <v>45807</v>
      </c>
      <c r="AF1" s="6">
        <v>45808</v>
      </c>
    </row>
    <row r="2" spans="1:32" ht="23.4" customHeight="1" x14ac:dyDescent="0.35">
      <c r="A2" s="7" t="s">
        <v>25</v>
      </c>
      <c r="B2" s="8">
        <f>SUM(B3:B14)</f>
        <v>118588</v>
      </c>
      <c r="C2" s="8">
        <f t="shared" ref="C2:AE2" si="0">SUM(C3:C14)</f>
        <v>210520</v>
      </c>
      <c r="D2" s="8">
        <f t="shared" si="0"/>
        <v>151110</v>
      </c>
      <c r="E2" s="8">
        <f t="shared" si="0"/>
        <v>182431</v>
      </c>
      <c r="F2" s="8">
        <f t="shared" si="0"/>
        <v>204332</v>
      </c>
      <c r="G2" s="8">
        <f t="shared" si="0"/>
        <v>0</v>
      </c>
      <c r="H2" s="8">
        <f t="shared" si="0"/>
        <v>457485</v>
      </c>
      <c r="I2" s="8">
        <f t="shared" si="0"/>
        <v>44180</v>
      </c>
      <c r="J2" s="8">
        <f t="shared" si="0"/>
        <v>135920</v>
      </c>
      <c r="K2" s="8">
        <f t="shared" si="0"/>
        <v>151569</v>
      </c>
      <c r="L2" s="8">
        <f t="shared" si="0"/>
        <v>203432</v>
      </c>
      <c r="M2" s="8">
        <f t="shared" si="0"/>
        <v>39252</v>
      </c>
      <c r="N2" s="8">
        <f t="shared" si="0"/>
        <v>48980</v>
      </c>
      <c r="O2" s="8">
        <f t="shared" si="0"/>
        <v>95900</v>
      </c>
      <c r="P2" s="8">
        <f t="shared" si="0"/>
        <v>92298</v>
      </c>
      <c r="Q2" s="8">
        <f t="shared" si="0"/>
        <v>83090</v>
      </c>
      <c r="R2" s="8">
        <f t="shared" si="0"/>
        <v>189052</v>
      </c>
      <c r="S2" s="8">
        <f t="shared" si="0"/>
        <v>200220</v>
      </c>
      <c r="T2" s="8">
        <f t="shared" si="0"/>
        <v>119955</v>
      </c>
      <c r="U2" s="8">
        <f t="shared" si="0"/>
        <v>110926</v>
      </c>
      <c r="V2" s="8">
        <f t="shared" si="0"/>
        <v>48030</v>
      </c>
      <c r="W2" s="8">
        <f t="shared" si="0"/>
        <v>85470</v>
      </c>
      <c r="X2" s="8">
        <f t="shared" si="0"/>
        <v>77900</v>
      </c>
      <c r="Y2" s="8">
        <f t="shared" si="0"/>
        <v>134478</v>
      </c>
      <c r="Z2" s="8">
        <f t="shared" si="0"/>
        <v>194820</v>
      </c>
      <c r="AA2" s="8">
        <f t="shared" si="0"/>
        <v>0</v>
      </c>
      <c r="AB2" s="8">
        <f t="shared" si="0"/>
        <v>64339</v>
      </c>
      <c r="AC2" s="8">
        <f t="shared" si="0"/>
        <v>180520</v>
      </c>
      <c r="AD2" s="8">
        <f t="shared" si="0"/>
        <v>129150</v>
      </c>
      <c r="AE2" s="8">
        <f t="shared" si="0"/>
        <v>255558</v>
      </c>
      <c r="AF2" s="8">
        <f>SUM(AF3:AF14)</f>
        <v>140481</v>
      </c>
    </row>
    <row r="3" spans="1:32" ht="23.4" customHeight="1" x14ac:dyDescent="0.35">
      <c r="A3" s="2" t="s">
        <v>26</v>
      </c>
      <c r="B3" s="3">
        <v>9000</v>
      </c>
      <c r="C3" s="3">
        <v>42000</v>
      </c>
      <c r="D3" s="3">
        <v>92460</v>
      </c>
      <c r="E3" s="3">
        <v>50230</v>
      </c>
      <c r="F3" s="3">
        <v>204332</v>
      </c>
      <c r="G3" s="3">
        <v>0</v>
      </c>
      <c r="H3" s="3">
        <v>319525</v>
      </c>
      <c r="I3" s="3">
        <v>20880</v>
      </c>
      <c r="J3" s="3">
        <v>27660</v>
      </c>
      <c r="K3" s="3">
        <v>3739</v>
      </c>
      <c r="L3" s="3">
        <v>203432</v>
      </c>
      <c r="M3" s="3">
        <v>39252</v>
      </c>
      <c r="N3" s="3">
        <v>48980</v>
      </c>
      <c r="O3" s="3">
        <v>60300</v>
      </c>
      <c r="P3" s="3">
        <v>6000</v>
      </c>
      <c r="Q3" s="3">
        <v>31640</v>
      </c>
      <c r="R3" s="3">
        <v>41292</v>
      </c>
      <c r="S3" s="3">
        <v>200220</v>
      </c>
      <c r="T3" s="3">
        <v>28840</v>
      </c>
      <c r="U3" s="3">
        <v>83515</v>
      </c>
      <c r="V3" s="3">
        <v>13830</v>
      </c>
      <c r="W3" s="3">
        <v>71824</v>
      </c>
      <c r="X3" s="3">
        <v>29700</v>
      </c>
      <c r="Y3" s="3">
        <v>29398</v>
      </c>
      <c r="Z3" s="3">
        <v>194820</v>
      </c>
      <c r="AA3" s="3">
        <v>0</v>
      </c>
      <c r="AB3" s="3">
        <v>64339</v>
      </c>
      <c r="AC3" s="3">
        <v>53240</v>
      </c>
      <c r="AD3" s="3">
        <v>23830</v>
      </c>
      <c r="AE3" s="3">
        <v>16478</v>
      </c>
      <c r="AF3" s="3">
        <v>104041</v>
      </c>
    </row>
    <row r="4" spans="1:32" ht="23.4" customHeight="1" x14ac:dyDescent="0.35">
      <c r="A4" s="2" t="s">
        <v>27</v>
      </c>
      <c r="B4" s="3">
        <v>12158</v>
      </c>
      <c r="C4" s="3">
        <v>34080</v>
      </c>
      <c r="D4" s="3">
        <v>32710</v>
      </c>
      <c r="E4" s="3">
        <v>106439</v>
      </c>
      <c r="F4" s="3"/>
      <c r="G4" s="3"/>
      <c r="H4" s="3">
        <v>137960</v>
      </c>
      <c r="I4" s="3">
        <v>23300</v>
      </c>
      <c r="J4" s="3">
        <v>108260</v>
      </c>
      <c r="K4" s="3">
        <v>111170</v>
      </c>
      <c r="L4" s="3"/>
      <c r="M4" s="3"/>
      <c r="N4" s="3"/>
      <c r="O4" s="3">
        <v>35600</v>
      </c>
      <c r="P4" s="3">
        <v>13638</v>
      </c>
      <c r="Q4" s="3">
        <v>37620</v>
      </c>
      <c r="R4" s="3">
        <v>50980</v>
      </c>
      <c r="S4" s="3"/>
      <c r="T4" s="3">
        <v>91115</v>
      </c>
      <c r="U4" s="3">
        <v>27411</v>
      </c>
      <c r="V4" s="3">
        <v>34200</v>
      </c>
      <c r="W4" s="3">
        <v>9000</v>
      </c>
      <c r="X4" s="3">
        <v>48200</v>
      </c>
      <c r="Y4" s="3">
        <v>48980</v>
      </c>
      <c r="Z4" s="3"/>
      <c r="AA4" s="3"/>
      <c r="AB4" s="3"/>
      <c r="AC4" s="3">
        <v>32900</v>
      </c>
      <c r="AD4" s="3">
        <v>69840</v>
      </c>
      <c r="AE4" s="3">
        <v>118820</v>
      </c>
      <c r="AF4" s="3">
        <v>36440</v>
      </c>
    </row>
    <row r="5" spans="1:32" ht="23.4" customHeight="1" x14ac:dyDescent="0.35">
      <c r="A5" s="2"/>
      <c r="B5" s="3">
        <v>48200</v>
      </c>
      <c r="C5" s="3">
        <v>73900</v>
      </c>
      <c r="D5" s="3">
        <v>20440</v>
      </c>
      <c r="E5" s="3">
        <v>25762</v>
      </c>
      <c r="F5" s="3"/>
      <c r="G5" s="3"/>
      <c r="H5" s="3"/>
      <c r="I5" s="3"/>
      <c r="J5" s="3"/>
      <c r="K5" s="3">
        <v>36660</v>
      </c>
      <c r="L5" s="3"/>
      <c r="M5" s="3"/>
      <c r="N5" s="3"/>
      <c r="O5" s="3"/>
      <c r="P5" s="3">
        <v>72660</v>
      </c>
      <c r="Q5" s="3">
        <v>13830</v>
      </c>
      <c r="R5" s="3">
        <v>96780</v>
      </c>
      <c r="S5" s="3"/>
      <c r="T5" s="3"/>
      <c r="U5" s="3"/>
      <c r="V5" s="3"/>
      <c r="W5" s="3">
        <v>4646</v>
      </c>
      <c r="X5" s="3"/>
      <c r="Y5" s="3">
        <v>56100</v>
      </c>
      <c r="Z5" s="3"/>
      <c r="AA5" s="3"/>
      <c r="AB5" s="3"/>
      <c r="AC5" s="3">
        <v>45400</v>
      </c>
      <c r="AD5" s="3">
        <v>35480</v>
      </c>
      <c r="AE5" s="3">
        <v>120260</v>
      </c>
      <c r="AF5" s="3"/>
    </row>
    <row r="6" spans="1:32" ht="23.4" customHeight="1" x14ac:dyDescent="0.35">
      <c r="A6" s="2"/>
      <c r="B6" s="3">
        <v>49230</v>
      </c>
      <c r="C6" s="3">
        <v>60540</v>
      </c>
      <c r="D6" s="3">
        <v>5500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48980</v>
      </c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5E4D-5CBC-4F85-8696-D03A7675E934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4113296</v>
      </c>
      <c r="B1" s="6">
        <v>45809</v>
      </c>
      <c r="C1" s="6">
        <v>45810</v>
      </c>
      <c r="D1" s="6">
        <v>45811</v>
      </c>
      <c r="E1" s="6">
        <v>45812</v>
      </c>
      <c r="F1" s="6">
        <v>45813</v>
      </c>
      <c r="G1" s="6">
        <v>45814</v>
      </c>
      <c r="H1" s="6">
        <v>45815</v>
      </c>
      <c r="I1" s="6">
        <v>45816</v>
      </c>
      <c r="J1" s="6">
        <v>45817</v>
      </c>
      <c r="K1" s="6">
        <v>45818</v>
      </c>
      <c r="L1" s="6">
        <v>45819</v>
      </c>
      <c r="M1" s="6">
        <v>45820</v>
      </c>
      <c r="N1" s="6">
        <v>45821</v>
      </c>
      <c r="O1" s="6">
        <v>45822</v>
      </c>
      <c r="P1" s="6">
        <v>45823</v>
      </c>
      <c r="Q1" s="6">
        <v>45824</v>
      </c>
      <c r="R1" s="6">
        <v>45825</v>
      </c>
      <c r="S1" s="6">
        <v>45826</v>
      </c>
      <c r="T1" s="6">
        <v>45827</v>
      </c>
      <c r="U1" s="6">
        <v>45828</v>
      </c>
      <c r="V1" s="6">
        <v>45829</v>
      </c>
      <c r="W1" s="6">
        <v>45830</v>
      </c>
      <c r="X1" s="6">
        <v>45831</v>
      </c>
      <c r="Y1" s="6">
        <v>45832</v>
      </c>
      <c r="Z1" s="6">
        <v>45833</v>
      </c>
      <c r="AA1" s="6">
        <v>45834</v>
      </c>
      <c r="AB1" s="6">
        <v>45835</v>
      </c>
      <c r="AC1" s="6">
        <v>45836</v>
      </c>
      <c r="AD1" s="6">
        <v>45837</v>
      </c>
      <c r="AE1" s="6">
        <v>45838</v>
      </c>
      <c r="AF1" s="6"/>
    </row>
    <row r="2" spans="1:32" ht="23.4" customHeight="1" x14ac:dyDescent="0.35">
      <c r="A2" s="7" t="s">
        <v>25</v>
      </c>
      <c r="B2" s="8">
        <f>SUM(B3:B14)</f>
        <v>226160</v>
      </c>
      <c r="C2" s="8">
        <f t="shared" ref="C2:AC2" si="0">SUM(C3:C14)</f>
        <v>52500</v>
      </c>
      <c r="D2" s="8">
        <f t="shared" si="0"/>
        <v>126580</v>
      </c>
      <c r="E2" s="8">
        <f t="shared" si="0"/>
        <v>71609</v>
      </c>
      <c r="F2" s="8">
        <f t="shared" si="0"/>
        <v>120910</v>
      </c>
      <c r="G2" s="8">
        <f t="shared" si="0"/>
        <v>170764</v>
      </c>
      <c r="H2" s="8">
        <f t="shared" si="0"/>
        <v>90040</v>
      </c>
      <c r="I2" s="8">
        <f t="shared" si="0"/>
        <v>541114</v>
      </c>
      <c r="J2" s="8">
        <f t="shared" si="0"/>
        <v>107050</v>
      </c>
      <c r="K2" s="8">
        <f t="shared" si="0"/>
        <v>0</v>
      </c>
      <c r="L2" s="8">
        <f t="shared" si="0"/>
        <v>83264</v>
      </c>
      <c r="M2" s="8">
        <f t="shared" si="0"/>
        <v>61214</v>
      </c>
      <c r="N2" s="8">
        <f t="shared" si="0"/>
        <v>123140</v>
      </c>
      <c r="O2" s="8">
        <f t="shared" si="0"/>
        <v>270888</v>
      </c>
      <c r="P2" s="8">
        <f t="shared" si="0"/>
        <v>205980</v>
      </c>
      <c r="Q2" s="8">
        <f t="shared" si="0"/>
        <v>25980</v>
      </c>
      <c r="R2" s="8">
        <f t="shared" si="0"/>
        <v>106885</v>
      </c>
      <c r="S2" s="8">
        <f t="shared" si="0"/>
        <v>113420</v>
      </c>
      <c r="T2" s="8">
        <f t="shared" si="0"/>
        <v>35318</v>
      </c>
      <c r="U2" s="8">
        <f t="shared" si="0"/>
        <v>0</v>
      </c>
      <c r="V2" s="8">
        <f t="shared" si="0"/>
        <v>115567</v>
      </c>
      <c r="W2" s="8">
        <f t="shared" si="0"/>
        <v>198240</v>
      </c>
      <c r="X2" s="8">
        <f t="shared" si="0"/>
        <v>153787</v>
      </c>
      <c r="Y2" s="8">
        <f t="shared" si="0"/>
        <v>0</v>
      </c>
      <c r="Z2" s="8">
        <f t="shared" si="0"/>
        <v>140372</v>
      </c>
      <c r="AA2" s="8">
        <f t="shared" si="0"/>
        <v>136200</v>
      </c>
      <c r="AB2" s="8">
        <f t="shared" si="0"/>
        <v>149300</v>
      </c>
      <c r="AC2" s="8">
        <f t="shared" si="0"/>
        <v>239440</v>
      </c>
      <c r="AD2" s="8">
        <f>SUM(AD3:AD14)</f>
        <v>73688</v>
      </c>
      <c r="AE2" s="8">
        <f>SUM(AE3:AE14)</f>
        <v>373886</v>
      </c>
      <c r="AF2" s="8">
        <f>SUM(AF3:AF14)</f>
        <v>0</v>
      </c>
    </row>
    <row r="3" spans="1:32" ht="23.4" customHeight="1" x14ac:dyDescent="0.35">
      <c r="A3" s="2" t="s">
        <v>26</v>
      </c>
      <c r="B3" s="3">
        <v>208080</v>
      </c>
      <c r="C3" s="3">
        <v>52500</v>
      </c>
      <c r="D3" s="3">
        <v>95740</v>
      </c>
      <c r="E3" s="3">
        <v>36368</v>
      </c>
      <c r="F3" s="3">
        <v>4636</v>
      </c>
      <c r="G3" s="3">
        <v>48560</v>
      </c>
      <c r="H3" s="3">
        <v>40560</v>
      </c>
      <c r="I3" s="3">
        <v>5500</v>
      </c>
      <c r="J3" s="3">
        <v>41970</v>
      </c>
      <c r="K3" s="3">
        <v>0</v>
      </c>
      <c r="L3" s="3">
        <v>83264</v>
      </c>
      <c r="M3" s="3">
        <v>8314</v>
      </c>
      <c r="N3" s="3">
        <v>123140</v>
      </c>
      <c r="O3" s="3">
        <v>70878</v>
      </c>
      <c r="P3" s="3">
        <v>5624</v>
      </c>
      <c r="Q3" s="3">
        <v>25980</v>
      </c>
      <c r="R3" s="3">
        <v>93055</v>
      </c>
      <c r="S3" s="3">
        <v>28400</v>
      </c>
      <c r="T3" s="3">
        <v>22900</v>
      </c>
      <c r="U3" s="3">
        <v>0</v>
      </c>
      <c r="V3" s="3">
        <v>84767</v>
      </c>
      <c r="W3" s="3">
        <v>198240</v>
      </c>
      <c r="X3" s="3">
        <v>7777</v>
      </c>
      <c r="Y3" s="3">
        <v>0</v>
      </c>
      <c r="Z3" s="3">
        <v>87204</v>
      </c>
      <c r="AA3" s="3">
        <v>32400</v>
      </c>
      <c r="AB3" s="3">
        <v>38200</v>
      </c>
      <c r="AC3" s="3">
        <v>26100</v>
      </c>
      <c r="AD3" s="3">
        <v>54528</v>
      </c>
      <c r="AE3" s="3">
        <v>11198</v>
      </c>
      <c r="AF3" s="3"/>
    </row>
    <row r="4" spans="1:32" ht="23.4" customHeight="1" x14ac:dyDescent="0.35">
      <c r="A4" s="2" t="s">
        <v>27</v>
      </c>
      <c r="B4" s="3">
        <v>18080</v>
      </c>
      <c r="C4" s="3"/>
      <c r="D4" s="3">
        <v>30840</v>
      </c>
      <c r="E4" s="3">
        <v>35241</v>
      </c>
      <c r="F4" s="3">
        <v>66374</v>
      </c>
      <c r="G4" s="3">
        <v>41504</v>
      </c>
      <c r="H4" s="3">
        <v>49480</v>
      </c>
      <c r="I4" s="3">
        <v>337742</v>
      </c>
      <c r="J4" s="3">
        <v>32180</v>
      </c>
      <c r="K4" s="3"/>
      <c r="L4" s="3"/>
      <c r="M4" s="3">
        <v>39300</v>
      </c>
      <c r="N4" s="3"/>
      <c r="O4" s="3">
        <v>52500</v>
      </c>
      <c r="P4" s="3">
        <v>200356</v>
      </c>
      <c r="Q4" s="3"/>
      <c r="R4" s="3">
        <v>13830</v>
      </c>
      <c r="S4" s="3">
        <v>55780</v>
      </c>
      <c r="T4" s="3">
        <v>8568</v>
      </c>
      <c r="U4" s="3"/>
      <c r="V4" s="3">
        <v>30800</v>
      </c>
      <c r="W4" s="3"/>
      <c r="X4" s="3">
        <v>49230</v>
      </c>
      <c r="Y4" s="3"/>
      <c r="Z4" s="3">
        <v>53168</v>
      </c>
      <c r="AA4" s="3">
        <v>103800</v>
      </c>
      <c r="AB4" s="3">
        <v>111100</v>
      </c>
      <c r="AC4" s="3">
        <v>69060</v>
      </c>
      <c r="AD4" s="3">
        <v>19160</v>
      </c>
      <c r="AE4" s="3">
        <v>196288</v>
      </c>
      <c r="AF4" s="3"/>
    </row>
    <row r="5" spans="1:32" ht="23.4" customHeight="1" x14ac:dyDescent="0.35">
      <c r="A5" s="2"/>
      <c r="B5" s="3"/>
      <c r="C5" s="3"/>
      <c r="D5" s="3"/>
      <c r="E5" s="3"/>
      <c r="F5" s="3">
        <v>49900</v>
      </c>
      <c r="G5" s="3">
        <v>80700</v>
      </c>
      <c r="H5" s="3"/>
      <c r="I5" s="3">
        <v>197872</v>
      </c>
      <c r="J5" s="3">
        <v>32900</v>
      </c>
      <c r="K5" s="3"/>
      <c r="L5" s="3"/>
      <c r="M5" s="3">
        <v>13600</v>
      </c>
      <c r="N5" s="3"/>
      <c r="O5" s="3">
        <v>50730</v>
      </c>
      <c r="P5" s="3"/>
      <c r="Q5" s="3"/>
      <c r="R5" s="3"/>
      <c r="S5" s="3">
        <v>29240</v>
      </c>
      <c r="T5" s="3">
        <v>3850</v>
      </c>
      <c r="U5" s="3"/>
      <c r="V5" s="3"/>
      <c r="W5" s="3"/>
      <c r="X5" s="3">
        <v>96780</v>
      </c>
      <c r="Y5" s="3"/>
      <c r="Z5" s="3"/>
      <c r="AA5" s="3"/>
      <c r="AB5" s="3"/>
      <c r="AC5" s="3">
        <v>35660</v>
      </c>
      <c r="AD5" s="3"/>
      <c r="AE5" s="3">
        <v>49730</v>
      </c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96780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108620</v>
      </c>
      <c r="AD6" s="3"/>
      <c r="AE6" s="3">
        <v>13830</v>
      </c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25640</v>
      </c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77200</v>
      </c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492C-F121-44E4-9ABA-18286D6AEDD1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3897019</v>
      </c>
      <c r="B1" s="6">
        <v>45839</v>
      </c>
      <c r="C1" s="6">
        <v>45840</v>
      </c>
      <c r="D1" s="6">
        <v>45841</v>
      </c>
      <c r="E1" s="6">
        <v>45842</v>
      </c>
      <c r="F1" s="6">
        <v>45843</v>
      </c>
      <c r="G1" s="6">
        <v>45844</v>
      </c>
      <c r="H1" s="6">
        <v>45845</v>
      </c>
      <c r="I1" s="6">
        <v>45846</v>
      </c>
      <c r="J1" s="6">
        <v>45847</v>
      </c>
      <c r="K1" s="6">
        <v>45848</v>
      </c>
      <c r="L1" s="6">
        <v>45849</v>
      </c>
      <c r="M1" s="6">
        <v>45850</v>
      </c>
      <c r="N1" s="6">
        <v>45851</v>
      </c>
      <c r="O1" s="6">
        <v>45852</v>
      </c>
      <c r="P1" s="6">
        <v>45853</v>
      </c>
      <c r="Q1" s="6">
        <v>45854</v>
      </c>
      <c r="R1" s="6">
        <v>45855</v>
      </c>
      <c r="S1" s="6">
        <v>45856</v>
      </c>
      <c r="T1" s="6">
        <v>45857</v>
      </c>
      <c r="U1" s="6">
        <v>45858</v>
      </c>
      <c r="V1" s="6">
        <v>45859</v>
      </c>
      <c r="W1" s="6">
        <v>45860</v>
      </c>
      <c r="X1" s="6">
        <v>45861</v>
      </c>
      <c r="Y1" s="6">
        <v>45862</v>
      </c>
      <c r="Z1" s="6">
        <v>45863</v>
      </c>
      <c r="AA1" s="6">
        <v>45864</v>
      </c>
      <c r="AB1" s="6">
        <v>45865</v>
      </c>
      <c r="AC1" s="6">
        <v>45866</v>
      </c>
      <c r="AD1" s="6">
        <v>45867</v>
      </c>
      <c r="AE1" s="6">
        <v>45868</v>
      </c>
      <c r="AF1" s="6">
        <v>45869</v>
      </c>
    </row>
    <row r="2" spans="1:32" ht="23.4" customHeight="1" x14ac:dyDescent="0.35">
      <c r="A2" s="7" t="s">
        <v>25</v>
      </c>
      <c r="B2" s="8">
        <f>SUM(B3:B14)</f>
        <v>50910</v>
      </c>
      <c r="C2" s="8">
        <f t="shared" ref="C2:AC2" si="0">SUM(C3:C14)</f>
        <v>128170</v>
      </c>
      <c r="D2" s="8">
        <f t="shared" si="0"/>
        <v>121421</v>
      </c>
      <c r="E2" s="8">
        <f t="shared" si="0"/>
        <v>78388</v>
      </c>
      <c r="F2" s="8">
        <f t="shared" si="0"/>
        <v>147022</v>
      </c>
      <c r="G2" s="8">
        <f t="shared" si="0"/>
        <v>546212</v>
      </c>
      <c r="H2" s="8">
        <f t="shared" si="0"/>
        <v>100780</v>
      </c>
      <c r="I2" s="8">
        <f t="shared" si="0"/>
        <v>258970</v>
      </c>
      <c r="J2" s="8">
        <f t="shared" si="0"/>
        <v>169762</v>
      </c>
      <c r="K2" s="8">
        <f t="shared" si="0"/>
        <v>234411</v>
      </c>
      <c r="L2" s="8">
        <f t="shared" si="0"/>
        <v>86500</v>
      </c>
      <c r="M2" s="8">
        <f t="shared" si="0"/>
        <v>61940</v>
      </c>
      <c r="N2" s="8">
        <f t="shared" si="0"/>
        <v>282606</v>
      </c>
      <c r="O2" s="8">
        <f t="shared" si="0"/>
        <v>52447</v>
      </c>
      <c r="P2" s="8">
        <f t="shared" si="0"/>
        <v>109081</v>
      </c>
      <c r="Q2" s="8">
        <f t="shared" si="0"/>
        <v>100172</v>
      </c>
      <c r="R2" s="8">
        <f t="shared" si="0"/>
        <v>205022</v>
      </c>
      <c r="S2" s="8">
        <f t="shared" si="0"/>
        <v>73180</v>
      </c>
      <c r="T2" s="8">
        <f t="shared" si="0"/>
        <v>135965</v>
      </c>
      <c r="U2" s="8">
        <f t="shared" si="0"/>
        <v>79020</v>
      </c>
      <c r="V2" s="8">
        <f t="shared" si="0"/>
        <v>0</v>
      </c>
      <c r="W2" s="8">
        <f t="shared" si="0"/>
        <v>46884</v>
      </c>
      <c r="X2" s="8">
        <f t="shared" si="0"/>
        <v>42800</v>
      </c>
      <c r="Y2" s="8">
        <f t="shared" si="0"/>
        <v>0</v>
      </c>
      <c r="Z2" s="8">
        <f t="shared" si="0"/>
        <v>26860</v>
      </c>
      <c r="AA2" s="8">
        <f t="shared" si="0"/>
        <v>0</v>
      </c>
      <c r="AB2" s="8">
        <f t="shared" si="0"/>
        <v>262656</v>
      </c>
      <c r="AC2" s="8">
        <f t="shared" si="0"/>
        <v>118560</v>
      </c>
      <c r="AD2" s="8">
        <f>SUM(AD3:AD14)</f>
        <v>70683</v>
      </c>
      <c r="AE2" s="8">
        <f>SUM(AE3:AE14)</f>
        <v>171760</v>
      </c>
      <c r="AF2" s="8">
        <f>SUM(AF3:AF14)</f>
        <v>134837</v>
      </c>
    </row>
    <row r="3" spans="1:32" ht="23.4" customHeight="1" x14ac:dyDescent="0.35">
      <c r="A3" s="2" t="s">
        <v>26</v>
      </c>
      <c r="B3" s="3">
        <v>50910</v>
      </c>
      <c r="C3" s="3">
        <v>19830</v>
      </c>
      <c r="D3" s="3">
        <v>58112</v>
      </c>
      <c r="E3" s="3">
        <v>10348</v>
      </c>
      <c r="F3" s="3">
        <v>96780</v>
      </c>
      <c r="G3" s="3">
        <v>212112</v>
      </c>
      <c r="H3" s="3">
        <v>64540</v>
      </c>
      <c r="I3" s="3">
        <v>49730</v>
      </c>
      <c r="J3" s="3">
        <v>7232</v>
      </c>
      <c r="K3" s="3">
        <v>55300</v>
      </c>
      <c r="L3" s="3">
        <v>52500</v>
      </c>
      <c r="M3" s="3">
        <v>22900</v>
      </c>
      <c r="N3" s="3">
        <v>79716</v>
      </c>
      <c r="O3" s="3">
        <v>7777</v>
      </c>
      <c r="P3" s="3">
        <v>109081</v>
      </c>
      <c r="Q3" s="3">
        <v>17052</v>
      </c>
      <c r="R3" s="3">
        <v>205022</v>
      </c>
      <c r="S3" s="3">
        <v>22040</v>
      </c>
      <c r="T3" s="3">
        <v>61524</v>
      </c>
      <c r="U3" s="3">
        <v>16960</v>
      </c>
      <c r="V3" s="3">
        <v>0</v>
      </c>
      <c r="W3" s="3">
        <v>46884</v>
      </c>
      <c r="X3" s="3">
        <v>42800</v>
      </c>
      <c r="Y3" s="3">
        <v>0</v>
      </c>
      <c r="Z3" s="3">
        <v>26860</v>
      </c>
      <c r="AA3" s="3">
        <v>0</v>
      </c>
      <c r="AB3" s="3">
        <v>248826</v>
      </c>
      <c r="AC3" s="3">
        <v>80940</v>
      </c>
      <c r="AD3" s="3">
        <v>70683</v>
      </c>
      <c r="AE3" s="3">
        <v>59200</v>
      </c>
      <c r="AF3" s="3">
        <v>48332</v>
      </c>
    </row>
    <row r="4" spans="1:32" ht="23.4" customHeight="1" x14ac:dyDescent="0.35">
      <c r="A4" s="2" t="s">
        <v>27</v>
      </c>
      <c r="B4" s="3"/>
      <c r="C4" s="3">
        <v>35440</v>
      </c>
      <c r="D4" s="3">
        <v>54400</v>
      </c>
      <c r="E4" s="3">
        <v>30660</v>
      </c>
      <c r="F4" s="3">
        <v>50242</v>
      </c>
      <c r="G4" s="3">
        <v>250550</v>
      </c>
      <c r="H4" s="3">
        <v>9900</v>
      </c>
      <c r="I4" s="3">
        <v>19620</v>
      </c>
      <c r="J4" s="3">
        <v>100660</v>
      </c>
      <c r="K4" s="3">
        <v>25600</v>
      </c>
      <c r="L4" s="3">
        <v>34000</v>
      </c>
      <c r="M4" s="3">
        <v>39040</v>
      </c>
      <c r="N4" s="3">
        <v>202890</v>
      </c>
      <c r="O4" s="3">
        <v>17770</v>
      </c>
      <c r="P4" s="3"/>
      <c r="Q4" s="3">
        <v>36440</v>
      </c>
      <c r="R4" s="3"/>
      <c r="S4" s="3">
        <v>51140</v>
      </c>
      <c r="T4" s="3">
        <v>19540</v>
      </c>
      <c r="U4" s="3">
        <v>62060</v>
      </c>
      <c r="V4" s="3"/>
      <c r="W4" s="3"/>
      <c r="X4" s="3"/>
      <c r="Y4" s="3"/>
      <c r="Z4" s="3"/>
      <c r="AA4" s="3"/>
      <c r="AB4" s="3">
        <v>13830</v>
      </c>
      <c r="AC4" s="3">
        <v>37620</v>
      </c>
      <c r="AD4" s="3"/>
      <c r="AE4" s="3">
        <v>55380</v>
      </c>
      <c r="AF4" s="3">
        <v>11800</v>
      </c>
    </row>
    <row r="5" spans="1:32" ht="23.4" customHeight="1" x14ac:dyDescent="0.35">
      <c r="A5" s="2"/>
      <c r="B5" s="3"/>
      <c r="C5" s="3">
        <v>72900</v>
      </c>
      <c r="D5" s="3">
        <v>8909</v>
      </c>
      <c r="E5" s="3">
        <v>37380</v>
      </c>
      <c r="F5" s="3"/>
      <c r="G5" s="3">
        <v>83550</v>
      </c>
      <c r="H5" s="3">
        <v>26340</v>
      </c>
      <c r="I5" s="3">
        <v>189620</v>
      </c>
      <c r="J5" s="3">
        <v>26320</v>
      </c>
      <c r="K5" s="3">
        <v>55224</v>
      </c>
      <c r="L5" s="3"/>
      <c r="M5" s="3"/>
      <c r="N5" s="3"/>
      <c r="O5" s="3">
        <v>26900</v>
      </c>
      <c r="P5" s="3"/>
      <c r="Q5" s="3">
        <v>31180</v>
      </c>
      <c r="R5" s="3"/>
      <c r="S5" s="3"/>
      <c r="T5" s="3">
        <v>54901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32900</v>
      </c>
      <c r="AF5" s="3">
        <v>69705</v>
      </c>
    </row>
    <row r="6" spans="1:32" ht="23.4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>
        <v>35550</v>
      </c>
      <c r="K6" s="3">
        <v>29290</v>
      </c>
      <c r="L6" s="3"/>
      <c r="M6" s="3"/>
      <c r="N6" s="3"/>
      <c r="O6" s="3"/>
      <c r="P6" s="3"/>
      <c r="Q6" s="3">
        <v>15500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24280</v>
      </c>
      <c r="AF6" s="3">
        <v>5000</v>
      </c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>
        <v>28097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 t="s">
        <v>31</v>
      </c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>
        <v>40900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95D5-F2E4-4827-95DC-51643D7F8D10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4302580</v>
      </c>
      <c r="B1" s="6">
        <v>45870</v>
      </c>
      <c r="C1" s="6">
        <v>45871</v>
      </c>
      <c r="D1" s="6">
        <v>45872</v>
      </c>
      <c r="E1" s="6">
        <v>45873</v>
      </c>
      <c r="F1" s="6">
        <v>45874</v>
      </c>
      <c r="G1" s="6">
        <v>45875</v>
      </c>
      <c r="H1" s="6">
        <v>45876</v>
      </c>
      <c r="I1" s="6">
        <v>45877</v>
      </c>
      <c r="J1" s="6">
        <v>45878</v>
      </c>
      <c r="K1" s="6">
        <v>45879</v>
      </c>
      <c r="L1" s="6">
        <v>45880</v>
      </c>
      <c r="M1" s="6">
        <v>45881</v>
      </c>
      <c r="N1" s="6">
        <v>45882</v>
      </c>
      <c r="O1" s="6">
        <v>45883</v>
      </c>
      <c r="P1" s="6">
        <v>45884</v>
      </c>
      <c r="Q1" s="6">
        <v>45885</v>
      </c>
      <c r="R1" s="6">
        <v>45886</v>
      </c>
      <c r="S1" s="6">
        <v>45887</v>
      </c>
      <c r="T1" s="6">
        <v>45888</v>
      </c>
      <c r="U1" s="6">
        <v>45889</v>
      </c>
      <c r="V1" s="6">
        <v>45890</v>
      </c>
      <c r="W1" s="6">
        <v>45891</v>
      </c>
      <c r="X1" s="6">
        <v>45892</v>
      </c>
      <c r="Y1" s="6">
        <v>45893</v>
      </c>
      <c r="Z1" s="6">
        <v>45894</v>
      </c>
      <c r="AA1" s="6">
        <v>45895</v>
      </c>
      <c r="AB1" s="6">
        <v>45896</v>
      </c>
      <c r="AC1" s="6">
        <v>45897</v>
      </c>
      <c r="AD1" s="6">
        <v>45898</v>
      </c>
      <c r="AE1" s="6">
        <v>45899</v>
      </c>
      <c r="AF1" s="6">
        <v>45900</v>
      </c>
    </row>
    <row r="2" spans="1:32" ht="23.4" customHeight="1" x14ac:dyDescent="0.35">
      <c r="A2" s="7" t="s">
        <v>25</v>
      </c>
      <c r="B2" s="8">
        <f>SUM(B3:B14)</f>
        <v>142640</v>
      </c>
      <c r="C2" s="8">
        <f t="shared" ref="C2:AC2" si="0">SUM(C3:C14)</f>
        <v>61510</v>
      </c>
      <c r="D2" s="8">
        <f t="shared" si="0"/>
        <v>196020</v>
      </c>
      <c r="E2" s="8">
        <f t="shared" si="0"/>
        <v>234520</v>
      </c>
      <c r="F2" s="8">
        <f t="shared" si="0"/>
        <v>78903</v>
      </c>
      <c r="G2" s="8">
        <f t="shared" si="0"/>
        <v>69060</v>
      </c>
      <c r="H2" s="8">
        <f t="shared" si="0"/>
        <v>152414</v>
      </c>
      <c r="I2" s="8">
        <f t="shared" si="0"/>
        <v>49950</v>
      </c>
      <c r="J2" s="8">
        <f t="shared" si="0"/>
        <v>286052</v>
      </c>
      <c r="K2" s="8">
        <f t="shared" si="0"/>
        <v>200000</v>
      </c>
      <c r="L2" s="8">
        <f t="shared" si="0"/>
        <v>587297</v>
      </c>
      <c r="M2" s="8">
        <f t="shared" si="0"/>
        <v>128200</v>
      </c>
      <c r="N2" s="8">
        <f t="shared" si="0"/>
        <v>217040</v>
      </c>
      <c r="O2" s="8">
        <f t="shared" si="0"/>
        <v>14230</v>
      </c>
      <c r="P2" s="8">
        <f t="shared" si="0"/>
        <v>61130</v>
      </c>
      <c r="Q2" s="8">
        <f t="shared" si="0"/>
        <v>200300</v>
      </c>
      <c r="R2" s="8">
        <f t="shared" si="0"/>
        <v>30800</v>
      </c>
      <c r="S2" s="8">
        <f t="shared" si="0"/>
        <v>0</v>
      </c>
      <c r="T2" s="8">
        <f t="shared" si="0"/>
        <v>231444</v>
      </c>
      <c r="U2" s="8">
        <f t="shared" si="0"/>
        <v>0</v>
      </c>
      <c r="V2" s="8">
        <f>SUM(V3:V14)</f>
        <v>34341</v>
      </c>
      <c r="W2" s="8">
        <f t="shared" si="0"/>
        <v>21900</v>
      </c>
      <c r="X2" s="8">
        <f t="shared" si="0"/>
        <v>144750</v>
      </c>
      <c r="Y2" s="8">
        <f t="shared" si="0"/>
        <v>144040</v>
      </c>
      <c r="Z2" s="8">
        <f t="shared" si="0"/>
        <v>89765</v>
      </c>
      <c r="AA2" s="8">
        <f t="shared" si="0"/>
        <v>13830</v>
      </c>
      <c r="AB2" s="8">
        <f t="shared" si="0"/>
        <v>0</v>
      </c>
      <c r="AC2" s="8">
        <f t="shared" si="0"/>
        <v>234350</v>
      </c>
      <c r="AD2" s="8">
        <f>SUM(AD3:AD14)</f>
        <v>196930</v>
      </c>
      <c r="AE2" s="8">
        <f>SUM(AE3:AE14)</f>
        <v>201640</v>
      </c>
      <c r="AF2" s="8">
        <f>SUM(AF3:AF14)</f>
        <v>279524</v>
      </c>
    </row>
    <row r="3" spans="1:32" ht="23.4" customHeight="1" x14ac:dyDescent="0.35">
      <c r="A3" s="2" t="s">
        <v>26</v>
      </c>
      <c r="B3" s="3">
        <v>29240</v>
      </c>
      <c r="C3" s="3">
        <v>48230</v>
      </c>
      <c r="D3" s="3">
        <v>11050</v>
      </c>
      <c r="E3" s="3">
        <v>234520</v>
      </c>
      <c r="F3" s="3">
        <v>78903</v>
      </c>
      <c r="G3" s="3">
        <v>69060</v>
      </c>
      <c r="H3" s="3">
        <v>132494</v>
      </c>
      <c r="I3" s="3">
        <v>49950</v>
      </c>
      <c r="J3" s="3">
        <v>19882</v>
      </c>
      <c r="K3" s="3">
        <v>200000</v>
      </c>
      <c r="L3" s="3">
        <v>332435</v>
      </c>
      <c r="M3" s="3">
        <v>11130</v>
      </c>
      <c r="N3" s="3">
        <v>106520</v>
      </c>
      <c r="O3" s="3">
        <v>14230</v>
      </c>
      <c r="P3" s="3">
        <v>30330</v>
      </c>
      <c r="Q3" s="3">
        <v>133560</v>
      </c>
      <c r="R3" s="3">
        <v>30800</v>
      </c>
      <c r="S3" s="3">
        <v>0</v>
      </c>
      <c r="T3" s="3">
        <v>231444</v>
      </c>
      <c r="U3" s="3">
        <v>0</v>
      </c>
      <c r="V3" s="3">
        <v>21900</v>
      </c>
      <c r="W3" s="3">
        <v>21900</v>
      </c>
      <c r="X3" s="3">
        <v>39660</v>
      </c>
      <c r="Y3" s="3">
        <v>22040</v>
      </c>
      <c r="Z3" s="3">
        <v>3275</v>
      </c>
      <c r="AA3" s="3">
        <v>13830</v>
      </c>
      <c r="AB3" s="3">
        <v>0</v>
      </c>
      <c r="AC3" s="3">
        <v>171100</v>
      </c>
      <c r="AD3" s="3">
        <v>76900</v>
      </c>
      <c r="AE3" s="3">
        <v>152660</v>
      </c>
      <c r="AF3" s="3">
        <v>279524</v>
      </c>
    </row>
    <row r="4" spans="1:32" ht="23.4" customHeight="1" x14ac:dyDescent="0.35">
      <c r="A4" s="2" t="s">
        <v>27</v>
      </c>
      <c r="B4" s="3">
        <v>72900</v>
      </c>
      <c r="C4" s="3">
        <v>13280</v>
      </c>
      <c r="D4" s="3">
        <v>171140</v>
      </c>
      <c r="E4" s="3"/>
      <c r="F4" s="3"/>
      <c r="G4" s="3"/>
      <c r="H4" s="3">
        <v>19920</v>
      </c>
      <c r="I4" s="3"/>
      <c r="J4" s="3">
        <v>36650</v>
      </c>
      <c r="K4" s="3"/>
      <c r="L4" s="3">
        <v>254862</v>
      </c>
      <c r="M4" s="3">
        <v>39540</v>
      </c>
      <c r="N4" s="3">
        <v>28440</v>
      </c>
      <c r="O4" s="3"/>
      <c r="P4" s="3">
        <v>30800</v>
      </c>
      <c r="Q4" s="3">
        <v>15010</v>
      </c>
      <c r="R4" s="3"/>
      <c r="S4" s="3"/>
      <c r="T4" s="3"/>
      <c r="U4" s="3"/>
      <c r="V4" s="3">
        <v>12441</v>
      </c>
      <c r="W4" s="3"/>
      <c r="X4" s="3">
        <v>48480</v>
      </c>
      <c r="Y4" s="3">
        <v>47790</v>
      </c>
      <c r="Z4" s="3">
        <v>53160</v>
      </c>
      <c r="AA4" s="3"/>
      <c r="AB4" s="3"/>
      <c r="AC4" s="3">
        <v>48240</v>
      </c>
      <c r="AD4" s="3">
        <v>24640</v>
      </c>
      <c r="AE4" s="3">
        <v>48980</v>
      </c>
      <c r="AF4" s="3"/>
    </row>
    <row r="5" spans="1:32" ht="23.4" customHeight="1" x14ac:dyDescent="0.35">
      <c r="A5" s="2"/>
      <c r="B5" s="3">
        <v>40500</v>
      </c>
      <c r="C5" s="3"/>
      <c r="D5" s="3">
        <v>13830</v>
      </c>
      <c r="E5" s="3"/>
      <c r="F5" s="3"/>
      <c r="G5" s="3"/>
      <c r="H5" s="3"/>
      <c r="I5" s="3"/>
      <c r="J5" s="3">
        <v>64400</v>
      </c>
      <c r="K5" s="3"/>
      <c r="L5" s="3"/>
      <c r="M5" s="3">
        <v>27800</v>
      </c>
      <c r="N5" s="3">
        <v>20460</v>
      </c>
      <c r="O5" s="3"/>
      <c r="P5" s="3"/>
      <c r="Q5" s="3">
        <v>51730</v>
      </c>
      <c r="R5" s="3"/>
      <c r="S5" s="3"/>
      <c r="T5" s="3"/>
      <c r="U5" s="3"/>
      <c r="W5" s="3"/>
      <c r="X5" s="3">
        <v>36970</v>
      </c>
      <c r="Y5" s="3">
        <v>74210</v>
      </c>
      <c r="Z5" s="3">
        <v>33330</v>
      </c>
      <c r="AA5" s="3"/>
      <c r="AB5" s="3"/>
      <c r="AC5" s="3">
        <v>15010</v>
      </c>
      <c r="AD5" s="3">
        <v>56330</v>
      </c>
      <c r="AE5" s="3"/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>
        <v>11800</v>
      </c>
      <c r="K6" s="3"/>
      <c r="L6" s="3"/>
      <c r="M6" s="3">
        <v>49730</v>
      </c>
      <c r="N6" s="3">
        <v>61620</v>
      </c>
      <c r="O6" s="3"/>
      <c r="P6" s="3"/>
      <c r="Q6" s="3"/>
      <c r="R6" s="3"/>
      <c r="S6" s="3"/>
      <c r="T6" s="3"/>
      <c r="U6" s="3"/>
      <c r="V6" s="3"/>
      <c r="W6" s="3"/>
      <c r="X6" s="3">
        <v>19640</v>
      </c>
      <c r="Y6" s="3"/>
      <c r="Z6" s="3"/>
      <c r="AA6" s="3"/>
      <c r="AB6" s="3"/>
      <c r="AC6" s="3"/>
      <c r="AD6" s="3">
        <v>39060</v>
      </c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>
        <v>49230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>
        <v>104090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58A0-064E-4CFD-88F8-EE08FFC6CF07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4038989</v>
      </c>
      <c r="B1" s="6">
        <v>45901</v>
      </c>
      <c r="C1" s="6">
        <v>45902</v>
      </c>
      <c r="D1" s="6">
        <v>45903</v>
      </c>
      <c r="E1" s="6">
        <v>45904</v>
      </c>
      <c r="F1" s="6">
        <v>45905</v>
      </c>
      <c r="G1" s="6">
        <v>45906</v>
      </c>
      <c r="H1" s="6">
        <v>45907</v>
      </c>
      <c r="I1" s="6">
        <v>45908</v>
      </c>
      <c r="J1" s="6">
        <v>45909</v>
      </c>
      <c r="K1" s="6">
        <v>45910</v>
      </c>
      <c r="L1" s="6">
        <v>45911</v>
      </c>
      <c r="M1" s="6">
        <v>45912</v>
      </c>
      <c r="N1" s="6">
        <v>45913</v>
      </c>
      <c r="O1" s="6">
        <v>45914</v>
      </c>
      <c r="P1" s="6">
        <v>45915</v>
      </c>
      <c r="Q1" s="6">
        <v>45916</v>
      </c>
      <c r="R1" s="6">
        <v>45917</v>
      </c>
      <c r="S1" s="6">
        <v>45918</v>
      </c>
      <c r="T1" s="6">
        <v>45919</v>
      </c>
      <c r="U1" s="6">
        <v>45920</v>
      </c>
      <c r="V1" s="6">
        <v>45921</v>
      </c>
      <c r="W1" s="6">
        <v>45922</v>
      </c>
      <c r="X1" s="6">
        <v>45923</v>
      </c>
      <c r="Y1" s="6">
        <v>45924</v>
      </c>
      <c r="Z1" s="6">
        <v>45925</v>
      </c>
      <c r="AA1" s="6">
        <v>45926</v>
      </c>
      <c r="AB1" s="6">
        <v>45927</v>
      </c>
      <c r="AC1" s="6">
        <v>45928</v>
      </c>
      <c r="AD1" s="6">
        <v>45929</v>
      </c>
      <c r="AE1" s="6">
        <v>45930</v>
      </c>
      <c r="AF1" s="6"/>
    </row>
    <row r="2" spans="1:32" ht="23.4" customHeight="1" x14ac:dyDescent="0.35">
      <c r="A2" s="7" t="s">
        <v>25</v>
      </c>
      <c r="B2" s="8">
        <f>SUM(B3:B14)</f>
        <v>67446</v>
      </c>
      <c r="C2" s="8">
        <f t="shared" ref="C2:AC2" si="0">SUM(C3:C14)</f>
        <v>82510</v>
      </c>
      <c r="D2" s="8">
        <f t="shared" si="0"/>
        <v>78880</v>
      </c>
      <c r="E2" s="8">
        <f>SUM(E3:E14)</f>
        <v>133400</v>
      </c>
      <c r="F2" s="8">
        <f t="shared" si="0"/>
        <v>298560</v>
      </c>
      <c r="G2" s="8">
        <f t="shared" si="0"/>
        <v>121972</v>
      </c>
      <c r="H2" s="8">
        <f t="shared" si="0"/>
        <v>25640</v>
      </c>
      <c r="I2" s="8">
        <f t="shared" si="0"/>
        <v>366052</v>
      </c>
      <c r="J2" s="8">
        <f t="shared" si="0"/>
        <v>304435</v>
      </c>
      <c r="K2" s="8">
        <f t="shared" si="0"/>
        <v>73436</v>
      </c>
      <c r="L2" s="8">
        <f t="shared" si="0"/>
        <v>216776</v>
      </c>
      <c r="M2" s="8">
        <f t="shared" si="0"/>
        <v>0</v>
      </c>
      <c r="N2" s="8">
        <f t="shared" si="0"/>
        <v>139860</v>
      </c>
      <c r="O2" s="8">
        <f t="shared" si="0"/>
        <v>152365</v>
      </c>
      <c r="P2" s="8">
        <f t="shared" si="0"/>
        <v>130472</v>
      </c>
      <c r="Q2" s="8">
        <f t="shared" si="0"/>
        <v>22958</v>
      </c>
      <c r="R2" s="8">
        <f t="shared" si="0"/>
        <v>180365</v>
      </c>
      <c r="S2" s="8">
        <f t="shared" si="0"/>
        <v>321567</v>
      </c>
      <c r="T2" s="8">
        <f t="shared" si="0"/>
        <v>166884</v>
      </c>
      <c r="U2" s="8">
        <f t="shared" si="0"/>
        <v>216008</v>
      </c>
      <c r="V2" s="8">
        <f>SUM(V3:V14)</f>
        <v>0</v>
      </c>
      <c r="W2" s="8">
        <f t="shared" si="0"/>
        <v>32900</v>
      </c>
      <c r="X2" s="8">
        <f t="shared" si="0"/>
        <v>66760</v>
      </c>
      <c r="Y2" s="8">
        <f t="shared" si="0"/>
        <v>128146</v>
      </c>
      <c r="Z2" s="8">
        <f t="shared" si="0"/>
        <v>313808</v>
      </c>
      <c r="AA2" s="8">
        <f t="shared" si="0"/>
        <v>130568</v>
      </c>
      <c r="AB2" s="8">
        <f t="shared" si="0"/>
        <v>54091</v>
      </c>
      <c r="AC2" s="8">
        <f t="shared" si="0"/>
        <v>153840</v>
      </c>
      <c r="AD2" s="8">
        <f>SUM(AD3:AD14)</f>
        <v>59290</v>
      </c>
      <c r="AE2" s="8">
        <f>SUM(AE3:AE14)</f>
        <v>0</v>
      </c>
      <c r="AF2" s="8">
        <f>SUM(AF3:AF14)</f>
        <v>0</v>
      </c>
    </row>
    <row r="3" spans="1:32" ht="23.4" customHeight="1" x14ac:dyDescent="0.35">
      <c r="A3" s="2" t="s">
        <v>26</v>
      </c>
      <c r="B3" s="3">
        <v>17240</v>
      </c>
      <c r="C3" s="3">
        <v>82510</v>
      </c>
      <c r="D3" s="3">
        <v>40040</v>
      </c>
      <c r="E3" s="3">
        <v>7000</v>
      </c>
      <c r="F3" s="3">
        <v>49980</v>
      </c>
      <c r="G3" s="3">
        <v>85860</v>
      </c>
      <c r="H3" s="3">
        <v>25640</v>
      </c>
      <c r="I3" s="3">
        <v>39050</v>
      </c>
      <c r="J3" s="3">
        <v>10524</v>
      </c>
      <c r="K3" s="3">
        <v>42776</v>
      </c>
      <c r="L3" s="3">
        <v>50480</v>
      </c>
      <c r="M3" s="3">
        <v>0</v>
      </c>
      <c r="N3" s="3">
        <v>57270</v>
      </c>
      <c r="O3" s="3">
        <v>48980</v>
      </c>
      <c r="P3" s="3">
        <v>41700</v>
      </c>
      <c r="Q3" s="3">
        <v>13830</v>
      </c>
      <c r="R3" s="3">
        <v>134180</v>
      </c>
      <c r="S3" s="3">
        <v>284566</v>
      </c>
      <c r="T3" s="3">
        <v>66324</v>
      </c>
      <c r="U3" s="3">
        <v>19640</v>
      </c>
      <c r="V3" s="3">
        <v>0</v>
      </c>
      <c r="W3" s="3">
        <v>32900</v>
      </c>
      <c r="X3" s="3">
        <v>66760</v>
      </c>
      <c r="Y3" s="3">
        <v>70256</v>
      </c>
      <c r="Z3" s="3">
        <v>200808</v>
      </c>
      <c r="AA3" s="3">
        <v>80838</v>
      </c>
      <c r="AB3" s="3">
        <v>13830</v>
      </c>
      <c r="AC3" s="3">
        <v>57060</v>
      </c>
      <c r="AD3" s="3">
        <v>59290</v>
      </c>
      <c r="AE3" s="3">
        <v>0</v>
      </c>
      <c r="AF3" s="3"/>
    </row>
    <row r="4" spans="1:32" ht="23.4" customHeight="1" x14ac:dyDescent="0.35">
      <c r="A4" s="2" t="s">
        <v>27</v>
      </c>
      <c r="B4" s="3">
        <v>50206</v>
      </c>
      <c r="C4" s="3"/>
      <c r="D4" s="3">
        <v>38840</v>
      </c>
      <c r="E4" s="3">
        <v>32120</v>
      </c>
      <c r="F4" s="3">
        <v>75900</v>
      </c>
      <c r="G4" s="3">
        <v>36112</v>
      </c>
      <c r="H4" s="3"/>
      <c r="I4" s="3">
        <v>290452</v>
      </c>
      <c r="J4" s="3">
        <v>293911</v>
      </c>
      <c r="K4" s="3">
        <v>30660</v>
      </c>
      <c r="L4" s="3">
        <v>90796</v>
      </c>
      <c r="M4" s="3"/>
      <c r="N4" s="3">
        <v>56630</v>
      </c>
      <c r="O4" s="3">
        <v>72660</v>
      </c>
      <c r="P4" s="3">
        <v>64692</v>
      </c>
      <c r="Q4" s="3">
        <v>9128</v>
      </c>
      <c r="R4" s="3">
        <v>46185</v>
      </c>
      <c r="S4" s="3">
        <v>37001</v>
      </c>
      <c r="T4" s="3">
        <v>100560</v>
      </c>
      <c r="U4" s="3">
        <v>76978</v>
      </c>
      <c r="V4" s="3"/>
      <c r="W4" s="3"/>
      <c r="X4" s="3"/>
      <c r="Y4" s="3">
        <v>57890</v>
      </c>
      <c r="Z4" s="3">
        <v>113000</v>
      </c>
      <c r="AA4" s="3">
        <v>49730</v>
      </c>
      <c r="AB4" s="3">
        <v>14731</v>
      </c>
      <c r="AC4" s="3">
        <v>96780</v>
      </c>
      <c r="AD4" s="3"/>
      <c r="AE4" s="3"/>
      <c r="AF4" s="3"/>
    </row>
    <row r="5" spans="1:32" ht="23.4" customHeight="1" x14ac:dyDescent="0.35">
      <c r="A5" s="2"/>
      <c r="B5" s="3"/>
      <c r="C5" s="3"/>
      <c r="D5" s="3"/>
      <c r="E5" s="3">
        <v>13830</v>
      </c>
      <c r="F5" s="3">
        <v>39360</v>
      </c>
      <c r="G5" s="3"/>
      <c r="H5" s="3"/>
      <c r="I5" s="3">
        <v>36550</v>
      </c>
      <c r="J5" s="3"/>
      <c r="K5" s="3"/>
      <c r="L5" s="3">
        <v>75500</v>
      </c>
      <c r="M5" s="3"/>
      <c r="N5" s="3">
        <v>25960</v>
      </c>
      <c r="O5" s="3">
        <v>30725</v>
      </c>
      <c r="P5" s="3">
        <v>24080</v>
      </c>
      <c r="Q5" s="3"/>
      <c r="R5" s="3"/>
      <c r="S5" s="3"/>
      <c r="T5" s="3"/>
      <c r="U5" s="3">
        <v>119390</v>
      </c>
      <c r="W5" s="3"/>
      <c r="X5" s="3"/>
      <c r="Y5" s="3"/>
      <c r="Z5" s="3"/>
      <c r="AA5" s="3"/>
      <c r="AB5" s="3">
        <v>25530</v>
      </c>
      <c r="AC5" s="3"/>
      <c r="AD5" s="3"/>
      <c r="AE5" s="3"/>
      <c r="AF5" s="3"/>
    </row>
    <row r="6" spans="1:32" ht="23.4" customHeight="1" x14ac:dyDescent="0.35">
      <c r="A6" s="2"/>
      <c r="B6" s="3"/>
      <c r="C6" s="3"/>
      <c r="D6" s="3"/>
      <c r="E6" s="3">
        <v>80450</v>
      </c>
      <c r="F6" s="3">
        <v>76020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>
        <v>57300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DCBE-BAFB-45D5-B541-46217B684377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3939091</v>
      </c>
      <c r="B1" s="6">
        <v>45931</v>
      </c>
      <c r="C1" s="6">
        <v>45932</v>
      </c>
      <c r="D1" s="6">
        <v>45933</v>
      </c>
      <c r="E1" s="6">
        <v>45934</v>
      </c>
      <c r="F1" s="6">
        <v>45935</v>
      </c>
      <c r="G1" s="6">
        <v>45936</v>
      </c>
      <c r="H1" s="6">
        <v>45937</v>
      </c>
      <c r="I1" s="6">
        <v>45938</v>
      </c>
      <c r="J1" s="6">
        <v>45939</v>
      </c>
      <c r="K1" s="6">
        <v>45940</v>
      </c>
      <c r="L1" s="6">
        <v>45941</v>
      </c>
      <c r="M1" s="6">
        <v>45942</v>
      </c>
      <c r="N1" s="6">
        <v>45943</v>
      </c>
      <c r="O1" s="6">
        <v>45944</v>
      </c>
      <c r="P1" s="6">
        <v>45945</v>
      </c>
      <c r="Q1" s="6">
        <v>45946</v>
      </c>
      <c r="R1" s="6">
        <v>45947</v>
      </c>
      <c r="S1" s="6">
        <v>45948</v>
      </c>
      <c r="T1" s="6">
        <v>45949</v>
      </c>
      <c r="U1" s="6">
        <v>45950</v>
      </c>
      <c r="V1" s="6">
        <v>45951</v>
      </c>
      <c r="W1" s="6">
        <v>45952</v>
      </c>
      <c r="X1" s="6">
        <v>45953</v>
      </c>
      <c r="Y1" s="6">
        <v>45954</v>
      </c>
      <c r="Z1" s="6">
        <v>45955</v>
      </c>
      <c r="AA1" s="6">
        <v>45956</v>
      </c>
      <c r="AB1" s="6">
        <v>45957</v>
      </c>
      <c r="AC1" s="6">
        <v>45958</v>
      </c>
      <c r="AD1" s="6">
        <v>45959</v>
      </c>
      <c r="AE1" s="6">
        <v>45960</v>
      </c>
      <c r="AF1" s="6">
        <v>45961</v>
      </c>
    </row>
    <row r="2" spans="1:32" ht="23.4" customHeight="1" x14ac:dyDescent="0.35">
      <c r="A2" s="7" t="s">
        <v>25</v>
      </c>
      <c r="B2" s="8">
        <f>SUM(B3:B14)</f>
        <v>307626</v>
      </c>
      <c r="C2" s="8">
        <f t="shared" ref="C2:AC2" si="0">SUM(C3:C14)</f>
        <v>180422</v>
      </c>
      <c r="D2" s="8">
        <f t="shared" si="0"/>
        <v>98018</v>
      </c>
      <c r="E2" s="8">
        <f>SUM(E3:E14)</f>
        <v>59330</v>
      </c>
      <c r="F2" s="8">
        <f t="shared" si="0"/>
        <v>37620</v>
      </c>
      <c r="G2" s="8">
        <f t="shared" si="0"/>
        <v>178030</v>
      </c>
      <c r="H2" s="8">
        <f t="shared" si="0"/>
        <v>319372</v>
      </c>
      <c r="I2" s="8">
        <f t="shared" si="0"/>
        <v>0</v>
      </c>
      <c r="J2" s="8">
        <f t="shared" si="0"/>
        <v>116300</v>
      </c>
      <c r="K2" s="8">
        <f t="shared" si="0"/>
        <v>22280</v>
      </c>
      <c r="L2" s="8">
        <f t="shared" si="0"/>
        <v>162692</v>
      </c>
      <c r="M2" s="8">
        <f t="shared" si="0"/>
        <v>102640</v>
      </c>
      <c r="N2" s="8">
        <f t="shared" si="0"/>
        <v>87660</v>
      </c>
      <c r="O2" s="8">
        <f t="shared" si="0"/>
        <v>69418</v>
      </c>
      <c r="P2" s="8">
        <f t="shared" si="0"/>
        <v>0</v>
      </c>
      <c r="Q2" s="8">
        <f t="shared" si="0"/>
        <v>251929</v>
      </c>
      <c r="R2" s="8">
        <f t="shared" si="0"/>
        <v>73740</v>
      </c>
      <c r="S2" s="8">
        <f t="shared" si="0"/>
        <v>97363</v>
      </c>
      <c r="T2" s="8">
        <f t="shared" si="0"/>
        <v>102416</v>
      </c>
      <c r="U2" s="8">
        <f t="shared" si="0"/>
        <v>176190</v>
      </c>
      <c r="V2" s="8">
        <f>SUM(V3:V14)</f>
        <v>72295</v>
      </c>
      <c r="W2" s="8">
        <f t="shared" si="0"/>
        <v>242230</v>
      </c>
      <c r="X2" s="8">
        <f t="shared" si="0"/>
        <v>84600</v>
      </c>
      <c r="Y2" s="8">
        <f t="shared" si="0"/>
        <v>170520</v>
      </c>
      <c r="Z2" s="8">
        <f t="shared" si="0"/>
        <v>128575</v>
      </c>
      <c r="AA2" s="8">
        <f t="shared" si="0"/>
        <v>118050</v>
      </c>
      <c r="AB2" s="8">
        <f t="shared" si="0"/>
        <v>107040</v>
      </c>
      <c r="AC2" s="8">
        <f t="shared" si="0"/>
        <v>0</v>
      </c>
      <c r="AD2" s="8">
        <f>SUM(AD3:AD14)</f>
        <v>219660</v>
      </c>
      <c r="AE2" s="8">
        <f>SUM(AE3:AE14)</f>
        <v>0</v>
      </c>
      <c r="AF2" s="8">
        <f>SUM(AF3:AF14)</f>
        <v>353075</v>
      </c>
    </row>
    <row r="3" spans="1:32" ht="23.4" customHeight="1" x14ac:dyDescent="0.35">
      <c r="A3" s="2" t="s">
        <v>26</v>
      </c>
      <c r="B3" s="3">
        <v>8500</v>
      </c>
      <c r="C3" s="3">
        <v>50480</v>
      </c>
      <c r="D3" s="3">
        <v>25930</v>
      </c>
      <c r="E3" s="3">
        <v>32250</v>
      </c>
      <c r="F3" s="3">
        <v>37620</v>
      </c>
      <c r="G3" s="3">
        <v>21800</v>
      </c>
      <c r="H3" s="3">
        <v>48730</v>
      </c>
      <c r="I3" s="3">
        <v>0</v>
      </c>
      <c r="J3" s="3">
        <v>88210</v>
      </c>
      <c r="K3" s="3">
        <v>22280</v>
      </c>
      <c r="L3" s="3">
        <v>50730</v>
      </c>
      <c r="M3" s="3">
        <v>32900</v>
      </c>
      <c r="N3" s="3">
        <v>55000</v>
      </c>
      <c r="O3" s="3">
        <v>69418</v>
      </c>
      <c r="P3" s="3">
        <v>0</v>
      </c>
      <c r="Q3" s="3">
        <v>7499</v>
      </c>
      <c r="R3" s="3">
        <v>14840</v>
      </c>
      <c r="S3" s="3">
        <v>39640</v>
      </c>
      <c r="T3" s="3">
        <v>102416</v>
      </c>
      <c r="U3" s="3">
        <v>17170</v>
      </c>
      <c r="V3" s="3">
        <v>72295</v>
      </c>
      <c r="W3" s="3">
        <v>242230</v>
      </c>
      <c r="X3" s="3">
        <v>84600</v>
      </c>
      <c r="Y3" s="3">
        <v>78420</v>
      </c>
      <c r="Z3" s="3">
        <v>68455</v>
      </c>
      <c r="AA3" s="3">
        <v>48730</v>
      </c>
      <c r="AB3" s="3">
        <v>53110</v>
      </c>
      <c r="AC3" s="3">
        <v>0</v>
      </c>
      <c r="AD3" s="3">
        <v>219660</v>
      </c>
      <c r="AE3" s="3">
        <v>0</v>
      </c>
      <c r="AF3" s="3">
        <v>107000</v>
      </c>
    </row>
    <row r="4" spans="1:32" ht="23.4" customHeight="1" x14ac:dyDescent="0.35">
      <c r="A4" s="2" t="s">
        <v>27</v>
      </c>
      <c r="B4" s="3">
        <v>5500</v>
      </c>
      <c r="C4" s="3">
        <v>85572</v>
      </c>
      <c r="D4" s="3">
        <v>54528</v>
      </c>
      <c r="E4" s="3">
        <v>27080</v>
      </c>
      <c r="F4" s="3"/>
      <c r="G4" s="3">
        <v>135800</v>
      </c>
      <c r="H4" s="3">
        <v>270642</v>
      </c>
      <c r="I4" s="3"/>
      <c r="J4" s="3">
        <v>28090</v>
      </c>
      <c r="K4" s="3"/>
      <c r="L4" s="3">
        <v>76374</v>
      </c>
      <c r="M4" s="3">
        <v>69740</v>
      </c>
      <c r="N4" s="3">
        <v>32660</v>
      </c>
      <c r="O4" s="3"/>
      <c r="P4" s="3"/>
      <c r="Q4" s="3">
        <v>244430</v>
      </c>
      <c r="R4" s="3">
        <v>58900</v>
      </c>
      <c r="S4" s="3">
        <v>57723</v>
      </c>
      <c r="T4" s="3"/>
      <c r="U4" s="3">
        <v>159020</v>
      </c>
      <c r="V4" s="3"/>
      <c r="W4" s="3"/>
      <c r="X4" s="3"/>
      <c r="Y4" s="3">
        <v>54480</v>
      </c>
      <c r="Z4" s="3">
        <v>60120</v>
      </c>
      <c r="AA4" s="3">
        <v>27800</v>
      </c>
      <c r="AB4" s="3">
        <v>14120</v>
      </c>
      <c r="AC4" s="3"/>
      <c r="AD4" s="3"/>
      <c r="AE4" s="3"/>
      <c r="AF4" s="3">
        <v>51600</v>
      </c>
    </row>
    <row r="5" spans="1:32" ht="23.4" customHeight="1" x14ac:dyDescent="0.35">
      <c r="A5" s="2"/>
      <c r="B5" s="3">
        <v>37620</v>
      </c>
      <c r="C5" s="3">
        <v>44370</v>
      </c>
      <c r="D5" s="3">
        <v>17560</v>
      </c>
      <c r="E5" s="3"/>
      <c r="F5" s="3"/>
      <c r="G5" s="3">
        <v>20430</v>
      </c>
      <c r="H5" s="3"/>
      <c r="I5" s="3"/>
      <c r="J5" s="3"/>
      <c r="K5" s="3"/>
      <c r="L5" s="3">
        <v>35588</v>
      </c>
      <c r="M5" s="3"/>
      <c r="N5" s="3"/>
      <c r="O5" s="3"/>
      <c r="P5" s="3"/>
      <c r="Q5" s="3"/>
      <c r="R5" s="3"/>
      <c r="S5" s="3"/>
      <c r="T5" s="3"/>
      <c r="U5" s="3"/>
      <c r="W5" s="3"/>
      <c r="X5" s="3"/>
      <c r="Y5" s="3">
        <v>37620</v>
      </c>
      <c r="Z5" s="3"/>
      <c r="AA5" s="3">
        <v>41520</v>
      </c>
      <c r="AB5" s="3">
        <v>39810</v>
      </c>
      <c r="AC5" s="3"/>
      <c r="AD5" s="3"/>
      <c r="AE5" s="3"/>
      <c r="AF5" s="3">
        <v>66200</v>
      </c>
    </row>
    <row r="6" spans="1:32" ht="23.4" customHeight="1" x14ac:dyDescent="0.35">
      <c r="A6" s="2"/>
      <c r="B6" s="3">
        <v>13830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49980</v>
      </c>
    </row>
    <row r="7" spans="1:32" ht="23.4" customHeight="1" x14ac:dyDescent="0.35">
      <c r="A7" s="2"/>
      <c r="B7" s="3">
        <v>214194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78295</v>
      </c>
    </row>
    <row r="8" spans="1:32" ht="23.4" customHeight="1" x14ac:dyDescent="0.35">
      <c r="A8" s="2"/>
      <c r="B8" s="3">
        <v>9642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>
        <v>18340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DC64-45F2-47F9-930D-FDFAA5A75BB7}">
  <dimension ref="A1:AF10"/>
  <sheetViews>
    <sheetView workbookViewId="0">
      <pane xSplit="1" topLeftCell="B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3937229</v>
      </c>
      <c r="B1" s="6">
        <v>45962</v>
      </c>
      <c r="C1" s="6">
        <v>45963</v>
      </c>
      <c r="D1" s="6">
        <v>45964</v>
      </c>
      <c r="E1" s="6">
        <v>45965</v>
      </c>
      <c r="F1" s="6">
        <v>45966</v>
      </c>
      <c r="G1" s="6">
        <v>45967</v>
      </c>
      <c r="H1" s="6">
        <v>45968</v>
      </c>
      <c r="I1" s="6">
        <v>45969</v>
      </c>
      <c r="J1" s="6">
        <v>45970</v>
      </c>
      <c r="K1" s="6">
        <v>45971</v>
      </c>
      <c r="L1" s="6">
        <v>45972</v>
      </c>
      <c r="M1" s="6">
        <v>45973</v>
      </c>
      <c r="N1" s="6">
        <v>45974</v>
      </c>
      <c r="O1" s="6">
        <v>45975</v>
      </c>
      <c r="P1" s="6">
        <v>45976</v>
      </c>
      <c r="Q1" s="6">
        <v>45977</v>
      </c>
      <c r="R1" s="6">
        <v>45978</v>
      </c>
      <c r="S1" s="6">
        <v>45979</v>
      </c>
      <c r="T1" s="6">
        <v>45980</v>
      </c>
      <c r="U1" s="6">
        <v>45981</v>
      </c>
      <c r="V1" s="6">
        <v>45982</v>
      </c>
      <c r="W1" s="6">
        <v>45983</v>
      </c>
      <c r="X1" s="6">
        <v>45984</v>
      </c>
      <c r="Y1" s="6">
        <v>45985</v>
      </c>
      <c r="Z1" s="6">
        <v>45986</v>
      </c>
      <c r="AA1" s="6">
        <v>45987</v>
      </c>
      <c r="AB1" s="6">
        <v>45988</v>
      </c>
      <c r="AC1" s="6">
        <v>45989</v>
      </c>
      <c r="AD1" s="6">
        <v>45990</v>
      </c>
      <c r="AE1" s="6">
        <v>45991</v>
      </c>
      <c r="AF1" s="6"/>
    </row>
    <row r="2" spans="1:32" ht="23.4" customHeight="1" x14ac:dyDescent="0.35">
      <c r="A2" s="7" t="s">
        <v>25</v>
      </c>
      <c r="B2" s="8">
        <f>SUM(B3:B14)</f>
        <v>84559</v>
      </c>
      <c r="C2" s="8">
        <f t="shared" ref="C2:AC2" si="0">SUM(C3:C14)</f>
        <v>0</v>
      </c>
      <c r="D2" s="8">
        <f t="shared" si="0"/>
        <v>0</v>
      </c>
      <c r="E2" s="8">
        <f>SUM(E3:E14)</f>
        <v>51598</v>
      </c>
      <c r="F2" s="8">
        <f t="shared" si="0"/>
        <v>206810</v>
      </c>
      <c r="G2" s="8">
        <f t="shared" si="0"/>
        <v>132104</v>
      </c>
      <c r="H2" s="8">
        <f t="shared" si="0"/>
        <v>142318</v>
      </c>
      <c r="I2" s="8">
        <f t="shared" si="0"/>
        <v>212820</v>
      </c>
      <c r="J2" s="8">
        <f t="shared" si="0"/>
        <v>359499</v>
      </c>
      <c r="K2" s="8">
        <f t="shared" si="0"/>
        <v>30440</v>
      </c>
      <c r="L2" s="8">
        <f t="shared" si="0"/>
        <v>283985</v>
      </c>
      <c r="M2" s="8">
        <f t="shared" si="0"/>
        <v>64500</v>
      </c>
      <c r="N2" s="8">
        <f t="shared" si="0"/>
        <v>240370</v>
      </c>
      <c r="O2" s="8">
        <f t="shared" si="0"/>
        <v>141260</v>
      </c>
      <c r="P2" s="8">
        <f t="shared" si="0"/>
        <v>163740</v>
      </c>
      <c r="Q2" s="8">
        <f t="shared" si="0"/>
        <v>98570</v>
      </c>
      <c r="R2" s="8">
        <f t="shared" si="0"/>
        <v>269582</v>
      </c>
      <c r="S2" s="8">
        <f t="shared" si="0"/>
        <v>89379</v>
      </c>
      <c r="T2" s="8">
        <f t="shared" si="0"/>
        <v>34200</v>
      </c>
      <c r="U2" s="8">
        <f t="shared" si="0"/>
        <v>96780</v>
      </c>
      <c r="V2" s="8">
        <f>SUM(V3:V14)</f>
        <v>200370</v>
      </c>
      <c r="W2" s="8">
        <f t="shared" si="0"/>
        <v>210095</v>
      </c>
      <c r="X2" s="8">
        <f t="shared" si="0"/>
        <v>85560</v>
      </c>
      <c r="Y2" s="8">
        <f t="shared" si="0"/>
        <v>46220</v>
      </c>
      <c r="Z2" s="8">
        <f t="shared" si="0"/>
        <v>49230</v>
      </c>
      <c r="AA2" s="8">
        <f t="shared" si="0"/>
        <v>27051</v>
      </c>
      <c r="AB2" s="8">
        <f t="shared" si="0"/>
        <v>98864</v>
      </c>
      <c r="AC2" s="8">
        <f t="shared" si="0"/>
        <v>345605</v>
      </c>
      <c r="AD2" s="8">
        <f>SUM(AD3:AD14)</f>
        <v>64680</v>
      </c>
      <c r="AE2" s="8">
        <f>SUM(AE3:AE14)</f>
        <v>107040</v>
      </c>
      <c r="AF2" s="8">
        <f>SUM(AF3:AF14)</f>
        <v>0</v>
      </c>
    </row>
    <row r="3" spans="1:32" ht="23.4" customHeight="1" x14ac:dyDescent="0.35">
      <c r="A3" s="2" t="s">
        <v>26</v>
      </c>
      <c r="B3" s="3">
        <v>54159</v>
      </c>
      <c r="C3" s="3">
        <v>0</v>
      </c>
      <c r="D3" s="3">
        <v>0</v>
      </c>
      <c r="E3" s="3">
        <v>51598</v>
      </c>
      <c r="F3" s="3">
        <v>206810</v>
      </c>
      <c r="G3" s="3">
        <v>71412</v>
      </c>
      <c r="H3" s="3">
        <v>101278</v>
      </c>
      <c r="I3" s="3">
        <v>96780</v>
      </c>
      <c r="J3" s="3">
        <v>44219</v>
      </c>
      <c r="K3" s="3">
        <v>30440</v>
      </c>
      <c r="L3" s="3">
        <v>236408</v>
      </c>
      <c r="M3" s="3">
        <v>64500</v>
      </c>
      <c r="N3" s="3">
        <v>46260</v>
      </c>
      <c r="O3" s="3">
        <v>99780</v>
      </c>
      <c r="P3" s="3">
        <v>50480</v>
      </c>
      <c r="Q3" s="3">
        <v>38460</v>
      </c>
      <c r="R3" s="3">
        <v>193032</v>
      </c>
      <c r="S3" s="3">
        <v>48730</v>
      </c>
      <c r="T3" s="3">
        <v>34200</v>
      </c>
      <c r="U3" s="3">
        <v>96780</v>
      </c>
      <c r="V3" s="3">
        <v>200370</v>
      </c>
      <c r="W3" s="3">
        <v>143800</v>
      </c>
      <c r="X3" s="3">
        <v>85560</v>
      </c>
      <c r="Y3" s="3">
        <v>46220</v>
      </c>
      <c r="Z3" s="3">
        <v>49230</v>
      </c>
      <c r="AA3" s="3">
        <v>27051</v>
      </c>
      <c r="AB3" s="3">
        <v>98864</v>
      </c>
      <c r="AC3" s="3">
        <v>5071</v>
      </c>
      <c r="AD3" s="3">
        <v>46200</v>
      </c>
      <c r="AE3" s="3">
        <v>49980</v>
      </c>
      <c r="AF3" s="3"/>
    </row>
    <row r="4" spans="1:32" ht="23.4" customHeight="1" x14ac:dyDescent="0.35">
      <c r="A4" s="2" t="s">
        <v>27</v>
      </c>
      <c r="B4" s="3">
        <v>30400</v>
      </c>
      <c r="C4" s="3"/>
      <c r="D4" s="3"/>
      <c r="E4" s="3"/>
      <c r="F4" s="3"/>
      <c r="G4" s="3">
        <v>37620</v>
      </c>
      <c r="H4" s="3">
        <v>41040</v>
      </c>
      <c r="I4" s="3">
        <v>85560</v>
      </c>
      <c r="J4" s="3">
        <v>265550</v>
      </c>
      <c r="K4" s="3"/>
      <c r="L4" s="3">
        <v>47577</v>
      </c>
      <c r="M4" s="3"/>
      <c r="N4" s="3">
        <v>67010</v>
      </c>
      <c r="O4" s="3">
        <v>41480</v>
      </c>
      <c r="P4" s="3">
        <v>79860</v>
      </c>
      <c r="Q4" s="3">
        <v>60110</v>
      </c>
      <c r="R4" s="3">
        <v>33810</v>
      </c>
      <c r="S4" s="3">
        <v>40649</v>
      </c>
      <c r="T4" s="3"/>
      <c r="U4" s="3"/>
      <c r="V4" s="3"/>
      <c r="W4" s="3">
        <v>66295</v>
      </c>
      <c r="X4" s="3"/>
      <c r="Y4" s="3"/>
      <c r="Z4" s="3"/>
      <c r="AA4" s="3"/>
      <c r="AB4" s="3"/>
      <c r="AC4" s="3">
        <v>4000</v>
      </c>
      <c r="AD4" s="3">
        <v>18480</v>
      </c>
      <c r="AE4" s="3">
        <v>57060</v>
      </c>
      <c r="AF4" s="3"/>
    </row>
    <row r="5" spans="1:32" ht="23.4" customHeight="1" x14ac:dyDescent="0.35">
      <c r="A5" s="2"/>
      <c r="B5" s="3"/>
      <c r="C5" s="3"/>
      <c r="D5" s="3"/>
      <c r="E5" s="3"/>
      <c r="F5" s="3"/>
      <c r="G5" s="3">
        <v>3850</v>
      </c>
      <c r="H5" s="3"/>
      <c r="I5" s="3">
        <v>30480</v>
      </c>
      <c r="J5" s="3">
        <v>49730</v>
      </c>
      <c r="K5" s="3"/>
      <c r="L5" s="3"/>
      <c r="M5" s="3"/>
      <c r="N5" s="3">
        <v>127100</v>
      </c>
      <c r="O5" s="3"/>
      <c r="P5" s="3">
        <v>33400</v>
      </c>
      <c r="Q5" s="3"/>
      <c r="R5" s="3">
        <v>24970</v>
      </c>
      <c r="S5" s="3"/>
      <c r="T5" s="3"/>
      <c r="U5" s="3"/>
      <c r="W5" s="3"/>
      <c r="X5" s="3"/>
      <c r="Y5" s="3"/>
      <c r="Z5" s="3"/>
      <c r="AA5" s="3"/>
      <c r="AB5" s="3"/>
      <c r="AC5" s="3">
        <v>56294</v>
      </c>
      <c r="AD5" s="3"/>
      <c r="AE5" s="3"/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>
        <v>5054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17770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34200</v>
      </c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>
        <v>14168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246040</v>
      </c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CC5D-C592-4966-ABC9-450DBA9BA9BB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4969997</v>
      </c>
      <c r="B1" s="6">
        <v>45992</v>
      </c>
      <c r="C1" s="6">
        <v>45993</v>
      </c>
      <c r="D1" s="6">
        <v>45994</v>
      </c>
      <c r="E1" s="6">
        <v>45995</v>
      </c>
      <c r="F1" s="6">
        <v>45996</v>
      </c>
      <c r="G1" s="6">
        <v>45997</v>
      </c>
      <c r="H1" s="6">
        <v>45998</v>
      </c>
      <c r="I1" s="6">
        <v>45999</v>
      </c>
      <c r="J1" s="6">
        <v>46000</v>
      </c>
      <c r="K1" s="6">
        <v>46001</v>
      </c>
      <c r="L1" s="6">
        <v>46002</v>
      </c>
      <c r="M1" s="6">
        <v>46003</v>
      </c>
      <c r="N1" s="6">
        <v>46004</v>
      </c>
      <c r="O1" s="6">
        <v>46005</v>
      </c>
      <c r="P1" s="6">
        <v>46006</v>
      </c>
      <c r="Q1" s="6">
        <v>46007</v>
      </c>
      <c r="R1" s="6">
        <v>46008</v>
      </c>
      <c r="S1" s="6">
        <v>46009</v>
      </c>
      <c r="T1" s="6">
        <v>46010</v>
      </c>
      <c r="U1" s="6">
        <v>46011</v>
      </c>
      <c r="V1" s="6">
        <v>46012</v>
      </c>
      <c r="W1" s="6">
        <v>46013</v>
      </c>
      <c r="X1" s="6">
        <v>46014</v>
      </c>
      <c r="Y1" s="6">
        <v>46015</v>
      </c>
      <c r="Z1" s="6">
        <v>46016</v>
      </c>
      <c r="AA1" s="6">
        <v>46017</v>
      </c>
      <c r="AB1" s="6">
        <v>46018</v>
      </c>
      <c r="AC1" s="6">
        <v>46019</v>
      </c>
      <c r="AD1" s="6">
        <v>46020</v>
      </c>
      <c r="AE1" s="6">
        <v>46021</v>
      </c>
      <c r="AF1" s="6">
        <v>46022</v>
      </c>
    </row>
    <row r="2" spans="1:32" ht="23.4" customHeight="1" x14ac:dyDescent="0.35">
      <c r="A2" s="7" t="s">
        <v>25</v>
      </c>
      <c r="B2" s="8">
        <f>SUM(B3:B14)</f>
        <v>188954</v>
      </c>
      <c r="C2" s="8">
        <f t="shared" ref="C2:AC2" si="0">SUM(C3:C14)</f>
        <v>172501</v>
      </c>
      <c r="D2" s="8">
        <f t="shared" si="0"/>
        <v>30440</v>
      </c>
      <c r="E2" s="8">
        <f>SUM(E3:E14)</f>
        <v>300402</v>
      </c>
      <c r="F2" s="8">
        <f t="shared" si="0"/>
        <v>0</v>
      </c>
      <c r="G2" s="8">
        <f t="shared" si="0"/>
        <v>302900</v>
      </c>
      <c r="H2" s="8">
        <f t="shared" si="0"/>
        <v>275210</v>
      </c>
      <c r="I2" s="8">
        <f t="shared" si="0"/>
        <v>110730</v>
      </c>
      <c r="J2" s="8">
        <f t="shared" si="0"/>
        <v>57497</v>
      </c>
      <c r="K2" s="8">
        <f t="shared" si="0"/>
        <v>0</v>
      </c>
      <c r="L2" s="8">
        <f t="shared" si="0"/>
        <v>257160</v>
      </c>
      <c r="M2" s="8">
        <f t="shared" si="0"/>
        <v>96220</v>
      </c>
      <c r="N2" s="8">
        <f t="shared" si="0"/>
        <v>186147</v>
      </c>
      <c r="O2" s="8">
        <f t="shared" si="0"/>
        <v>60383</v>
      </c>
      <c r="P2" s="8">
        <f t="shared" si="0"/>
        <v>100400</v>
      </c>
      <c r="Q2" s="8">
        <f t="shared" si="0"/>
        <v>0</v>
      </c>
      <c r="R2" s="8">
        <f t="shared" si="0"/>
        <v>105185</v>
      </c>
      <c r="S2" s="8">
        <f t="shared" si="0"/>
        <v>0</v>
      </c>
      <c r="T2" s="8">
        <f t="shared" si="0"/>
        <v>325492</v>
      </c>
      <c r="U2" s="8">
        <f t="shared" si="0"/>
        <v>212258</v>
      </c>
      <c r="V2" s="8">
        <f>SUM(V3:V14)</f>
        <v>173580</v>
      </c>
      <c r="W2" s="8">
        <f t="shared" si="0"/>
        <v>218409</v>
      </c>
      <c r="X2" s="8">
        <f t="shared" si="0"/>
        <v>284270</v>
      </c>
      <c r="Y2" s="8">
        <f t="shared" si="0"/>
        <v>0</v>
      </c>
      <c r="Z2" s="8">
        <f t="shared" si="0"/>
        <v>56520</v>
      </c>
      <c r="AA2" s="8">
        <f t="shared" si="0"/>
        <v>518373</v>
      </c>
      <c r="AB2" s="8">
        <f t="shared" si="0"/>
        <v>231852</v>
      </c>
      <c r="AC2" s="8">
        <f t="shared" si="0"/>
        <v>116312</v>
      </c>
      <c r="AD2" s="8">
        <f>SUM(AD3:AD14)</f>
        <v>144150</v>
      </c>
      <c r="AE2" s="8">
        <f>SUM(AE3:AE14)</f>
        <v>138088</v>
      </c>
      <c r="AF2" s="8">
        <f>SUM(AF3:AF14)</f>
        <v>306564</v>
      </c>
    </row>
    <row r="3" spans="1:32" ht="23.4" customHeight="1" x14ac:dyDescent="0.35">
      <c r="A3" s="2" t="s">
        <v>26</v>
      </c>
      <c r="B3" s="3">
        <v>84910</v>
      </c>
      <c r="C3" s="3">
        <v>67620</v>
      </c>
      <c r="D3" s="3">
        <v>30440</v>
      </c>
      <c r="E3" s="3">
        <v>41206</v>
      </c>
      <c r="F3" s="3">
        <v>0</v>
      </c>
      <c r="G3" s="3">
        <v>46530</v>
      </c>
      <c r="H3" s="3">
        <v>242550</v>
      </c>
      <c r="I3" s="3">
        <v>18310</v>
      </c>
      <c r="J3" s="3">
        <v>57497</v>
      </c>
      <c r="K3" s="3">
        <v>0</v>
      </c>
      <c r="L3" s="3">
        <v>257160</v>
      </c>
      <c r="M3" s="3">
        <v>96220</v>
      </c>
      <c r="N3" s="3">
        <v>13034</v>
      </c>
      <c r="O3" s="3">
        <v>60383</v>
      </c>
      <c r="P3" s="3">
        <v>46260</v>
      </c>
      <c r="Q3" s="3">
        <v>0</v>
      </c>
      <c r="R3" s="3">
        <v>39605</v>
      </c>
      <c r="S3" s="3">
        <v>0</v>
      </c>
      <c r="T3" s="3">
        <v>50480</v>
      </c>
      <c r="U3" s="3">
        <v>109900</v>
      </c>
      <c r="V3" s="3">
        <v>49980</v>
      </c>
      <c r="W3" s="3">
        <v>4247</v>
      </c>
      <c r="X3" s="3">
        <v>206960</v>
      </c>
      <c r="Y3" s="3">
        <v>0</v>
      </c>
      <c r="Z3" s="3">
        <v>13060</v>
      </c>
      <c r="AA3" s="3">
        <v>319204</v>
      </c>
      <c r="AB3" s="3">
        <v>38820</v>
      </c>
      <c r="AC3" s="3">
        <v>50480</v>
      </c>
      <c r="AD3" s="3">
        <v>26360</v>
      </c>
      <c r="AE3" s="3">
        <v>43830</v>
      </c>
      <c r="AF3" s="3">
        <v>36900</v>
      </c>
    </row>
    <row r="4" spans="1:32" ht="23.4" customHeight="1" x14ac:dyDescent="0.35">
      <c r="A4" s="2" t="s">
        <v>27</v>
      </c>
      <c r="B4" s="3">
        <v>34000</v>
      </c>
      <c r="C4" s="3">
        <v>104881</v>
      </c>
      <c r="D4" s="3"/>
      <c r="E4" s="3">
        <v>202070</v>
      </c>
      <c r="F4" s="3"/>
      <c r="G4" s="3">
        <v>37450</v>
      </c>
      <c r="H4" s="3">
        <v>32660</v>
      </c>
      <c r="I4" s="3">
        <v>54080</v>
      </c>
      <c r="J4" s="3"/>
      <c r="K4" s="3"/>
      <c r="L4" s="3"/>
      <c r="M4" s="3"/>
      <c r="N4" s="3">
        <v>51230</v>
      </c>
      <c r="O4" s="3"/>
      <c r="P4" s="3">
        <v>54140</v>
      </c>
      <c r="Q4" s="3"/>
      <c r="R4" s="3">
        <v>65580</v>
      </c>
      <c r="S4" s="3"/>
      <c r="T4" s="3">
        <v>275012</v>
      </c>
      <c r="U4" s="3">
        <v>63898</v>
      </c>
      <c r="V4" s="3">
        <v>123600</v>
      </c>
      <c r="W4" s="3">
        <v>214162</v>
      </c>
      <c r="X4" s="3">
        <v>77310</v>
      </c>
      <c r="Y4" s="3"/>
      <c r="Z4" s="3">
        <v>43460</v>
      </c>
      <c r="AA4" s="3">
        <v>148189</v>
      </c>
      <c r="AB4" s="3">
        <v>66160</v>
      </c>
      <c r="AC4" s="3">
        <v>11852</v>
      </c>
      <c r="AD4" s="3">
        <v>106870</v>
      </c>
      <c r="AE4" s="3">
        <v>49480</v>
      </c>
      <c r="AF4" s="3">
        <v>79932</v>
      </c>
    </row>
    <row r="5" spans="1:32" ht="23.4" customHeight="1" x14ac:dyDescent="0.35">
      <c r="A5" s="2"/>
      <c r="B5" s="3">
        <v>48744</v>
      </c>
      <c r="C5" s="3"/>
      <c r="D5" s="3"/>
      <c r="E5" s="3">
        <v>57126</v>
      </c>
      <c r="F5" s="3"/>
      <c r="G5" s="3">
        <v>50230</v>
      </c>
      <c r="H5" s="3"/>
      <c r="I5" s="3">
        <v>38340</v>
      </c>
      <c r="J5" s="3"/>
      <c r="K5" s="3"/>
      <c r="L5" s="3"/>
      <c r="M5" s="3"/>
      <c r="N5" s="3">
        <v>44983</v>
      </c>
      <c r="O5" s="3"/>
      <c r="P5" s="3"/>
      <c r="Q5" s="3"/>
      <c r="R5" s="3"/>
      <c r="S5" s="3"/>
      <c r="T5" s="3"/>
      <c r="U5" s="3">
        <v>38460</v>
      </c>
      <c r="W5" s="3"/>
      <c r="X5" s="3"/>
      <c r="Y5" s="3"/>
      <c r="Z5" s="3"/>
      <c r="AA5" s="3">
        <v>50980</v>
      </c>
      <c r="AB5" s="3">
        <v>34150</v>
      </c>
      <c r="AC5" s="3">
        <v>27080</v>
      </c>
      <c r="AD5" s="3">
        <v>10920</v>
      </c>
      <c r="AE5" s="3">
        <v>37780</v>
      </c>
      <c r="AF5" s="3">
        <v>189732</v>
      </c>
    </row>
    <row r="6" spans="1:32" ht="23.4" customHeight="1" x14ac:dyDescent="0.35">
      <c r="A6" s="2"/>
      <c r="B6" s="3">
        <v>21300</v>
      </c>
      <c r="C6" s="3"/>
      <c r="D6" s="3"/>
      <c r="E6" s="3"/>
      <c r="F6" s="3"/>
      <c r="G6" s="3">
        <v>63500</v>
      </c>
      <c r="H6" s="3"/>
      <c r="I6" s="3"/>
      <c r="J6" s="3"/>
      <c r="K6" s="3"/>
      <c r="L6" s="3"/>
      <c r="M6" s="3"/>
      <c r="N6" s="3">
        <v>76900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92722</v>
      </c>
      <c r="AC6" s="3">
        <v>26900</v>
      </c>
      <c r="AD6" s="3"/>
      <c r="AE6" s="3">
        <v>6998</v>
      </c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>
        <v>105190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7D65-ED06-47A7-AB65-0340BCBCA62D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4185148</v>
      </c>
      <c r="B1" s="6">
        <v>46023</v>
      </c>
      <c r="C1" s="6">
        <v>46024</v>
      </c>
      <c r="D1" s="6">
        <v>46025</v>
      </c>
      <c r="E1" s="6">
        <v>46026</v>
      </c>
      <c r="F1" s="6">
        <v>46027</v>
      </c>
      <c r="G1" s="6">
        <v>46028</v>
      </c>
      <c r="H1" s="6">
        <v>46029</v>
      </c>
      <c r="I1" s="6">
        <v>46030</v>
      </c>
      <c r="J1" s="6">
        <v>46031</v>
      </c>
      <c r="K1" s="6">
        <v>46032</v>
      </c>
      <c r="L1" s="6">
        <v>46033</v>
      </c>
      <c r="M1" s="6">
        <v>46034</v>
      </c>
      <c r="N1" s="6">
        <v>46035</v>
      </c>
      <c r="O1" s="6">
        <v>46036</v>
      </c>
      <c r="P1" s="6">
        <v>46037</v>
      </c>
      <c r="Q1" s="6">
        <v>46038</v>
      </c>
      <c r="R1" s="6">
        <v>46039</v>
      </c>
      <c r="S1" s="6">
        <v>46040</v>
      </c>
      <c r="T1" s="6">
        <v>46041</v>
      </c>
      <c r="U1" s="6">
        <v>46042</v>
      </c>
      <c r="V1" s="6">
        <v>46043</v>
      </c>
      <c r="W1" s="6">
        <v>46044</v>
      </c>
      <c r="X1" s="6">
        <v>46045</v>
      </c>
      <c r="Y1" s="6">
        <v>46046</v>
      </c>
      <c r="Z1" s="6">
        <v>46047</v>
      </c>
      <c r="AA1" s="6">
        <v>46048</v>
      </c>
      <c r="AB1" s="6">
        <v>46049</v>
      </c>
      <c r="AC1" s="6">
        <v>46050</v>
      </c>
      <c r="AD1" s="6">
        <v>46051</v>
      </c>
      <c r="AE1" s="6">
        <v>46052</v>
      </c>
      <c r="AF1" s="6">
        <v>46053</v>
      </c>
    </row>
    <row r="2" spans="1:32" ht="23.4" customHeight="1" x14ac:dyDescent="0.35">
      <c r="A2" s="7" t="s">
        <v>25</v>
      </c>
      <c r="B2" s="8">
        <f>SUM(B3:B14)</f>
        <v>42000</v>
      </c>
      <c r="C2" s="8">
        <f t="shared" ref="C2:AF2" si="0">SUM(C3:C14)</f>
        <v>18586</v>
      </c>
      <c r="D2" s="8">
        <f t="shared" si="0"/>
        <v>38340</v>
      </c>
      <c r="E2" s="8">
        <f t="shared" si="0"/>
        <v>7445</v>
      </c>
      <c r="F2" s="8">
        <f t="shared" si="0"/>
        <v>570514</v>
      </c>
      <c r="G2" s="8">
        <f t="shared" si="0"/>
        <v>34747</v>
      </c>
      <c r="H2" s="8">
        <f t="shared" si="0"/>
        <v>55130</v>
      </c>
      <c r="I2" s="8">
        <f t="shared" si="0"/>
        <v>118246</v>
      </c>
      <c r="J2" s="8">
        <f t="shared" si="0"/>
        <v>77160</v>
      </c>
      <c r="K2" s="8">
        <f t="shared" si="0"/>
        <v>250509</v>
      </c>
      <c r="L2" s="8">
        <f t="shared" si="0"/>
        <v>155361</v>
      </c>
      <c r="M2" s="8">
        <f t="shared" si="0"/>
        <v>76220</v>
      </c>
      <c r="N2" s="8">
        <f t="shared" si="0"/>
        <v>69656</v>
      </c>
      <c r="O2" s="8">
        <f t="shared" si="0"/>
        <v>249340</v>
      </c>
      <c r="P2" s="8">
        <f t="shared" si="0"/>
        <v>112880</v>
      </c>
      <c r="Q2" s="8">
        <f t="shared" si="0"/>
        <v>381592</v>
      </c>
      <c r="R2" s="8">
        <f t="shared" si="0"/>
        <v>282044</v>
      </c>
      <c r="S2" s="8">
        <f t="shared" si="0"/>
        <v>165359</v>
      </c>
      <c r="T2" s="8">
        <f t="shared" si="0"/>
        <v>4000</v>
      </c>
      <c r="U2" s="8">
        <f t="shared" si="0"/>
        <v>74065</v>
      </c>
      <c r="V2" s="8">
        <f t="shared" si="0"/>
        <v>38240</v>
      </c>
      <c r="W2" s="8">
        <f t="shared" si="0"/>
        <v>266036</v>
      </c>
      <c r="X2" s="8">
        <f t="shared" si="0"/>
        <v>0</v>
      </c>
      <c r="Y2" s="8">
        <f t="shared" si="0"/>
        <v>23820</v>
      </c>
      <c r="Z2" s="8">
        <f t="shared" si="0"/>
        <v>125650</v>
      </c>
      <c r="AA2" s="8">
        <f t="shared" si="0"/>
        <v>416438</v>
      </c>
      <c r="AB2" s="8">
        <f t="shared" si="0"/>
        <v>124898</v>
      </c>
      <c r="AC2" s="8">
        <f t="shared" si="0"/>
        <v>80510</v>
      </c>
      <c r="AD2" s="8">
        <f t="shared" si="0"/>
        <v>151808</v>
      </c>
      <c r="AE2" s="8">
        <f t="shared" si="0"/>
        <v>121344</v>
      </c>
      <c r="AF2" s="8">
        <f t="shared" si="0"/>
        <v>53210</v>
      </c>
    </row>
    <row r="3" spans="1:32" ht="23.4" customHeight="1" x14ac:dyDescent="0.35">
      <c r="A3" s="2" t="s">
        <v>26</v>
      </c>
      <c r="B3" s="3">
        <v>42000</v>
      </c>
      <c r="C3" s="3">
        <v>1794</v>
      </c>
      <c r="D3" s="3">
        <v>38340</v>
      </c>
      <c r="E3" s="3">
        <v>7445</v>
      </c>
      <c r="F3" s="3">
        <v>270014</v>
      </c>
      <c r="G3" s="3">
        <v>13830</v>
      </c>
      <c r="H3" s="3">
        <v>27330</v>
      </c>
      <c r="I3" s="3">
        <v>47980</v>
      </c>
      <c r="J3" s="3">
        <v>46240</v>
      </c>
      <c r="K3" s="3">
        <v>52280</v>
      </c>
      <c r="L3" s="3">
        <v>55780</v>
      </c>
      <c r="M3" s="3">
        <v>49770</v>
      </c>
      <c r="N3" s="3">
        <v>12062</v>
      </c>
      <c r="O3" s="3">
        <v>153280</v>
      </c>
      <c r="P3" s="3">
        <v>42720</v>
      </c>
      <c r="Q3" s="3">
        <v>325552</v>
      </c>
      <c r="R3" s="3">
        <v>74560</v>
      </c>
      <c r="S3" s="3">
        <v>73159</v>
      </c>
      <c r="T3" s="3">
        <v>4000</v>
      </c>
      <c r="U3" s="3">
        <v>74065</v>
      </c>
      <c r="V3" s="3">
        <v>38240</v>
      </c>
      <c r="W3" s="3">
        <v>20560</v>
      </c>
      <c r="X3" s="3">
        <v>0</v>
      </c>
      <c r="Y3" s="3">
        <v>16520</v>
      </c>
      <c r="Z3" s="3">
        <v>22400</v>
      </c>
      <c r="AA3" s="3">
        <v>103740</v>
      </c>
      <c r="AB3" s="3">
        <v>103918</v>
      </c>
      <c r="AC3" s="3">
        <v>49150</v>
      </c>
      <c r="AD3" s="3">
        <v>15980</v>
      </c>
      <c r="AE3" s="3">
        <v>35370</v>
      </c>
      <c r="AF3" s="3">
        <v>34330</v>
      </c>
    </row>
    <row r="4" spans="1:32" ht="23.4" customHeight="1" x14ac:dyDescent="0.35">
      <c r="A4" s="2" t="s">
        <v>27</v>
      </c>
      <c r="B4" s="3"/>
      <c r="C4" s="3">
        <v>16792</v>
      </c>
      <c r="D4" s="3"/>
      <c r="E4" s="3"/>
      <c r="F4" s="3">
        <v>300500</v>
      </c>
      <c r="G4" s="3">
        <v>20917</v>
      </c>
      <c r="H4" s="3">
        <v>27800</v>
      </c>
      <c r="I4" s="3">
        <v>12930</v>
      </c>
      <c r="J4" s="3">
        <v>30920</v>
      </c>
      <c r="K4" s="3">
        <v>107519</v>
      </c>
      <c r="L4" s="3">
        <v>15951</v>
      </c>
      <c r="M4" s="3">
        <v>26450</v>
      </c>
      <c r="N4" s="3">
        <v>57594</v>
      </c>
      <c r="O4" s="3">
        <v>96060</v>
      </c>
      <c r="P4" s="3">
        <v>56330</v>
      </c>
      <c r="Q4" s="3">
        <v>25640</v>
      </c>
      <c r="R4" s="3">
        <v>56596</v>
      </c>
      <c r="S4" s="3">
        <v>49480</v>
      </c>
      <c r="T4" s="3"/>
      <c r="U4" s="3"/>
      <c r="V4" s="3"/>
      <c r="W4" s="3">
        <v>125516</v>
      </c>
      <c r="X4" s="3"/>
      <c r="Y4" s="3">
        <v>7300</v>
      </c>
      <c r="Z4" s="3">
        <v>26440</v>
      </c>
      <c r="AA4" s="3">
        <v>266678</v>
      </c>
      <c r="AB4" s="3">
        <v>20980</v>
      </c>
      <c r="AC4" s="3">
        <v>31360</v>
      </c>
      <c r="AD4" s="3">
        <v>70460</v>
      </c>
      <c r="AE4" s="3">
        <v>85974</v>
      </c>
      <c r="AF4" s="3">
        <v>18880</v>
      </c>
    </row>
    <row r="5" spans="1:32" ht="23.4" customHeight="1" x14ac:dyDescent="0.35">
      <c r="A5" s="2"/>
      <c r="B5" s="3"/>
      <c r="C5" s="3"/>
      <c r="D5" s="3"/>
      <c r="E5" s="3"/>
      <c r="F5" s="3"/>
      <c r="G5" s="3"/>
      <c r="H5" s="3"/>
      <c r="I5" s="3">
        <v>57336</v>
      </c>
      <c r="J5" s="3"/>
      <c r="K5" s="3">
        <v>13810</v>
      </c>
      <c r="L5" s="3">
        <v>5500</v>
      </c>
      <c r="M5" s="3"/>
      <c r="N5" s="3"/>
      <c r="O5" s="3"/>
      <c r="P5" s="3">
        <v>13830</v>
      </c>
      <c r="Q5" s="3">
        <v>30400</v>
      </c>
      <c r="R5" s="3">
        <v>95738</v>
      </c>
      <c r="S5" s="3">
        <v>42720</v>
      </c>
      <c r="T5" s="3"/>
      <c r="U5" s="3"/>
      <c r="V5" s="3"/>
      <c r="W5" s="3">
        <v>119960</v>
      </c>
      <c r="X5" s="3"/>
      <c r="Y5" s="3"/>
      <c r="Z5" s="3">
        <v>27330</v>
      </c>
      <c r="AA5" s="3">
        <v>46020</v>
      </c>
      <c r="AB5" s="3"/>
      <c r="AC5" s="3"/>
      <c r="AD5" s="3">
        <v>55610</v>
      </c>
      <c r="AE5" s="3"/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/>
      <c r="K6" s="3">
        <v>76900</v>
      </c>
      <c r="L6" s="3">
        <v>51230</v>
      </c>
      <c r="M6" s="3"/>
      <c r="N6" s="3"/>
      <c r="O6" s="3"/>
      <c r="P6" s="3"/>
      <c r="Q6" s="3"/>
      <c r="R6" s="3">
        <v>55150</v>
      </c>
      <c r="S6" s="3"/>
      <c r="T6" s="3"/>
      <c r="U6" s="3"/>
      <c r="V6" s="3"/>
      <c r="W6" s="3"/>
      <c r="X6" s="3"/>
      <c r="Y6" s="3"/>
      <c r="Z6" s="3">
        <v>49480</v>
      </c>
      <c r="AA6" s="3"/>
      <c r="AB6" s="3"/>
      <c r="AC6" s="3"/>
      <c r="AD6" s="3">
        <v>9758</v>
      </c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>
        <v>26900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3104-E85C-4BD7-A144-E56C20E9CCCE}">
  <dimension ref="A1:AF10"/>
  <sheetViews>
    <sheetView workbookViewId="0">
      <pane xSplit="1" topLeftCell="M1" activePane="topRight" state="frozen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4409564</v>
      </c>
      <c r="B1" s="6">
        <v>46054</v>
      </c>
      <c r="C1" s="6">
        <v>46055</v>
      </c>
      <c r="D1" s="6">
        <v>46056</v>
      </c>
      <c r="E1" s="6">
        <v>46057</v>
      </c>
      <c r="F1" s="6">
        <v>46058</v>
      </c>
      <c r="G1" s="6">
        <v>46059</v>
      </c>
      <c r="H1" s="6">
        <v>46060</v>
      </c>
      <c r="I1" s="6">
        <v>46061</v>
      </c>
      <c r="J1" s="6">
        <v>46062</v>
      </c>
      <c r="K1" s="6">
        <v>46063</v>
      </c>
      <c r="L1" s="6">
        <v>46064</v>
      </c>
      <c r="M1" s="6">
        <v>46065</v>
      </c>
      <c r="N1" s="6">
        <v>46066</v>
      </c>
      <c r="O1" s="6">
        <v>46067</v>
      </c>
      <c r="P1" s="6">
        <v>46068</v>
      </c>
      <c r="Q1" s="6">
        <v>46069</v>
      </c>
      <c r="R1" s="6">
        <v>46070</v>
      </c>
      <c r="S1" s="6">
        <v>46071</v>
      </c>
      <c r="T1" s="6">
        <v>46072</v>
      </c>
      <c r="U1" s="6">
        <v>46073</v>
      </c>
      <c r="V1" s="6">
        <v>46074</v>
      </c>
      <c r="W1" s="6">
        <v>46075</v>
      </c>
      <c r="X1" s="6">
        <v>46076</v>
      </c>
      <c r="Y1" s="6">
        <v>46077</v>
      </c>
      <c r="Z1" s="6">
        <v>46078</v>
      </c>
      <c r="AA1" s="6">
        <v>46079</v>
      </c>
      <c r="AB1" s="6">
        <v>46080</v>
      </c>
      <c r="AC1" s="6">
        <v>46081</v>
      </c>
      <c r="AD1" s="6"/>
      <c r="AE1" s="6"/>
      <c r="AF1" s="6"/>
    </row>
    <row r="2" spans="1:32" ht="23.4" customHeight="1" x14ac:dyDescent="0.35">
      <c r="A2" s="7" t="s">
        <v>25</v>
      </c>
      <c r="B2" s="8">
        <f>SUM(B3:B14)</f>
        <v>226462</v>
      </c>
      <c r="C2" s="8">
        <f t="shared" ref="C2:AF2" si="0">SUM(C3:C14)</f>
        <v>110386</v>
      </c>
      <c r="D2" s="8">
        <f t="shared" si="0"/>
        <v>104872</v>
      </c>
      <c r="E2" s="8">
        <f t="shared" si="0"/>
        <v>81438</v>
      </c>
      <c r="F2" s="8">
        <f t="shared" si="0"/>
        <v>267894</v>
      </c>
      <c r="G2" s="8">
        <f t="shared" si="0"/>
        <v>83930</v>
      </c>
      <c r="H2" s="8">
        <f t="shared" si="0"/>
        <v>215445</v>
      </c>
      <c r="I2" s="8">
        <f t="shared" si="0"/>
        <v>0</v>
      </c>
      <c r="J2" s="8">
        <f t="shared" si="0"/>
        <v>66677</v>
      </c>
      <c r="K2" s="8">
        <f t="shared" si="0"/>
        <v>57465</v>
      </c>
      <c r="L2" s="8">
        <f t="shared" si="0"/>
        <v>332481</v>
      </c>
      <c r="M2" s="8">
        <f t="shared" si="0"/>
        <v>466704</v>
      </c>
      <c r="N2" s="8">
        <f t="shared" si="0"/>
        <v>64650</v>
      </c>
      <c r="O2" s="8">
        <f t="shared" si="0"/>
        <v>182914</v>
      </c>
      <c r="P2" s="8">
        <f t="shared" si="0"/>
        <v>284500</v>
      </c>
      <c r="Q2" s="8">
        <f t="shared" si="0"/>
        <v>102965</v>
      </c>
      <c r="R2" s="8">
        <f t="shared" si="0"/>
        <v>27175</v>
      </c>
      <c r="S2" s="8">
        <f t="shared" si="0"/>
        <v>0</v>
      </c>
      <c r="T2" s="8">
        <f t="shared" si="0"/>
        <v>427870</v>
      </c>
      <c r="U2" s="8">
        <f t="shared" si="0"/>
        <v>322995</v>
      </c>
      <c r="V2" s="8">
        <f t="shared" si="0"/>
        <v>103090</v>
      </c>
      <c r="W2" s="8">
        <f t="shared" si="0"/>
        <v>0</v>
      </c>
      <c r="X2" s="8">
        <f t="shared" si="0"/>
        <v>51120</v>
      </c>
      <c r="Y2" s="8">
        <f t="shared" si="0"/>
        <v>139412</v>
      </c>
      <c r="Z2" s="8">
        <f t="shared" si="0"/>
        <v>138197</v>
      </c>
      <c r="AA2" s="8">
        <f t="shared" si="0"/>
        <v>83720</v>
      </c>
      <c r="AB2" s="8">
        <f t="shared" si="0"/>
        <v>365984</v>
      </c>
      <c r="AC2" s="8">
        <f t="shared" si="0"/>
        <v>101218</v>
      </c>
      <c r="AD2" s="8">
        <f t="shared" si="0"/>
        <v>0</v>
      </c>
      <c r="AE2" s="8">
        <f t="shared" si="0"/>
        <v>0</v>
      </c>
      <c r="AF2" s="8">
        <f t="shared" si="0"/>
        <v>0</v>
      </c>
    </row>
    <row r="3" spans="1:32" ht="23.4" customHeight="1" x14ac:dyDescent="0.35">
      <c r="A3" s="2" t="s">
        <v>26</v>
      </c>
      <c r="B3" s="3">
        <v>141572</v>
      </c>
      <c r="C3" s="3">
        <v>6796</v>
      </c>
      <c r="D3" s="3">
        <v>70062</v>
      </c>
      <c r="E3" s="3">
        <v>50998</v>
      </c>
      <c r="F3" s="3">
        <v>5500</v>
      </c>
      <c r="G3" s="3">
        <v>34200</v>
      </c>
      <c r="H3" s="3">
        <v>100795</v>
      </c>
      <c r="I3" s="3">
        <v>0</v>
      </c>
      <c r="J3" s="3">
        <v>36015</v>
      </c>
      <c r="K3" s="3">
        <v>6405</v>
      </c>
      <c r="L3" s="3">
        <v>44400</v>
      </c>
      <c r="M3" s="3">
        <v>302050</v>
      </c>
      <c r="N3" s="3">
        <v>30450</v>
      </c>
      <c r="O3" s="3">
        <v>96900</v>
      </c>
      <c r="P3" s="3">
        <v>86912</v>
      </c>
      <c r="Q3" s="3">
        <v>33800</v>
      </c>
      <c r="R3" s="3">
        <v>14845</v>
      </c>
      <c r="S3" s="3">
        <v>0</v>
      </c>
      <c r="T3" s="3">
        <v>427870</v>
      </c>
      <c r="U3" s="3">
        <v>102320</v>
      </c>
      <c r="V3" s="3">
        <v>85650</v>
      </c>
      <c r="W3" s="3">
        <v>0</v>
      </c>
      <c r="X3" s="3">
        <v>51120</v>
      </c>
      <c r="Y3" s="3">
        <v>11239</v>
      </c>
      <c r="Z3" s="3">
        <v>68757</v>
      </c>
      <c r="AA3" s="3">
        <v>5000</v>
      </c>
      <c r="AB3" s="3">
        <v>56900</v>
      </c>
      <c r="AC3" s="3">
        <v>49980</v>
      </c>
      <c r="AD3" s="3"/>
      <c r="AE3" s="3"/>
      <c r="AF3" s="3"/>
    </row>
    <row r="4" spans="1:32" ht="23.4" customHeight="1" x14ac:dyDescent="0.35">
      <c r="A4" s="2" t="s">
        <v>27</v>
      </c>
      <c r="B4" s="3">
        <v>49230</v>
      </c>
      <c r="C4" s="3">
        <v>61760</v>
      </c>
      <c r="D4" s="3">
        <v>34810</v>
      </c>
      <c r="E4" s="3">
        <v>30440</v>
      </c>
      <c r="F4" s="3">
        <v>24330</v>
      </c>
      <c r="G4" s="3">
        <v>49730</v>
      </c>
      <c r="H4" s="3">
        <v>72650</v>
      </c>
      <c r="I4" s="3"/>
      <c r="J4" s="3">
        <v>30662</v>
      </c>
      <c r="K4" s="3">
        <v>34540</v>
      </c>
      <c r="L4" s="3">
        <v>288081</v>
      </c>
      <c r="M4" s="3">
        <v>39460</v>
      </c>
      <c r="N4" s="3">
        <v>34200</v>
      </c>
      <c r="O4" s="3">
        <v>46924</v>
      </c>
      <c r="P4" s="3">
        <v>120060</v>
      </c>
      <c r="Q4" s="3">
        <v>44998</v>
      </c>
      <c r="R4" s="3">
        <v>12330</v>
      </c>
      <c r="S4" s="3"/>
      <c r="T4" s="3"/>
      <c r="U4" s="3">
        <v>66055</v>
      </c>
      <c r="V4" s="3">
        <v>17440</v>
      </c>
      <c r="W4" s="3"/>
      <c r="X4" s="3"/>
      <c r="Y4" s="3">
        <v>100643</v>
      </c>
      <c r="Z4" s="3">
        <v>69440</v>
      </c>
      <c r="AA4" s="3">
        <v>23240</v>
      </c>
      <c r="AB4" s="3">
        <v>22900</v>
      </c>
      <c r="AC4" s="3">
        <v>41610</v>
      </c>
      <c r="AD4" s="3"/>
      <c r="AE4" s="3"/>
      <c r="AF4" s="3"/>
    </row>
    <row r="5" spans="1:32" ht="23.4" customHeight="1" x14ac:dyDescent="0.35">
      <c r="A5" s="2"/>
      <c r="B5" s="3">
        <v>35660</v>
      </c>
      <c r="C5" s="3">
        <v>41830</v>
      </c>
      <c r="D5" s="3"/>
      <c r="E5" s="3"/>
      <c r="F5" s="3">
        <v>238064</v>
      </c>
      <c r="G5" s="3"/>
      <c r="H5" s="3">
        <v>42000</v>
      </c>
      <c r="I5" s="3"/>
      <c r="J5" s="3"/>
      <c r="K5" s="3">
        <v>16520</v>
      </c>
      <c r="L5" s="3"/>
      <c r="M5" s="3">
        <v>76464</v>
      </c>
      <c r="N5" s="3"/>
      <c r="O5" s="3">
        <v>39090</v>
      </c>
      <c r="P5" s="3">
        <v>77528</v>
      </c>
      <c r="Q5" s="3">
        <v>7947</v>
      </c>
      <c r="R5" s="3"/>
      <c r="S5" s="3"/>
      <c r="T5" s="3"/>
      <c r="U5" s="3">
        <v>104640</v>
      </c>
      <c r="V5" s="3"/>
      <c r="W5" s="3"/>
      <c r="X5" s="3"/>
      <c r="Y5" s="3">
        <v>27530</v>
      </c>
      <c r="Z5" s="3"/>
      <c r="AA5" s="3">
        <v>55480</v>
      </c>
      <c r="AB5" s="3">
        <v>122004</v>
      </c>
      <c r="AC5" s="3">
        <v>9628</v>
      </c>
      <c r="AD5" s="3"/>
      <c r="AE5" s="3"/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>
        <v>48730</v>
      </c>
      <c r="N6" s="3"/>
      <c r="O6" s="3"/>
      <c r="P6" s="3"/>
      <c r="Q6" s="3">
        <v>16220</v>
      </c>
      <c r="R6" s="3"/>
      <c r="S6" s="3"/>
      <c r="T6" s="3"/>
      <c r="U6" s="3">
        <v>49980</v>
      </c>
      <c r="V6" s="3"/>
      <c r="W6" s="3"/>
      <c r="X6" s="3"/>
      <c r="Y6" s="3"/>
      <c r="Z6" s="3"/>
      <c r="AA6" s="3"/>
      <c r="AB6" s="3">
        <v>70640</v>
      </c>
      <c r="AC6" s="3"/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93540</v>
      </c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949A-447C-4C60-92A7-097519EF45F2}">
  <dimension ref="A1:AF10"/>
  <sheetViews>
    <sheetView workbookViewId="0">
      <pane xSplit="1" topLeftCell="B1" activePane="topRight" state="frozen"/>
      <selection activeCell="AB11" sqref="AB11"/>
      <selection pane="topRight" activeCell="Y6" sqref="Y6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4668273</v>
      </c>
      <c r="B1" s="6">
        <v>46082</v>
      </c>
      <c r="C1" s="6">
        <v>46083</v>
      </c>
      <c r="D1" s="6">
        <v>46084</v>
      </c>
      <c r="E1" s="6">
        <v>46085</v>
      </c>
      <c r="F1" s="6">
        <v>46086</v>
      </c>
      <c r="G1" s="6">
        <v>46087</v>
      </c>
      <c r="H1" s="6">
        <v>46088</v>
      </c>
      <c r="I1" s="6">
        <v>46089</v>
      </c>
      <c r="J1" s="6">
        <v>46090</v>
      </c>
      <c r="K1" s="6">
        <v>46091</v>
      </c>
      <c r="L1" s="6">
        <v>46092</v>
      </c>
      <c r="M1" s="6">
        <v>46093</v>
      </c>
      <c r="N1" s="6">
        <v>46094</v>
      </c>
      <c r="O1" s="6">
        <v>46095</v>
      </c>
      <c r="P1" s="6">
        <v>46096</v>
      </c>
      <c r="Q1" s="6">
        <v>46097</v>
      </c>
      <c r="R1" s="6">
        <v>46098</v>
      </c>
      <c r="S1" s="6">
        <v>46099</v>
      </c>
      <c r="T1" s="6">
        <v>46100</v>
      </c>
      <c r="U1" s="6">
        <v>46101</v>
      </c>
      <c r="V1" s="6">
        <v>46102</v>
      </c>
      <c r="W1" s="6">
        <v>46103</v>
      </c>
      <c r="X1" s="6">
        <v>46104</v>
      </c>
      <c r="Y1" s="6">
        <v>46105</v>
      </c>
      <c r="Z1" s="6">
        <v>46106</v>
      </c>
      <c r="AA1" s="6">
        <v>46107</v>
      </c>
      <c r="AB1" s="6">
        <v>46108</v>
      </c>
      <c r="AC1" s="6">
        <v>46109</v>
      </c>
      <c r="AD1" s="6">
        <v>46110</v>
      </c>
      <c r="AE1" s="6">
        <v>46111</v>
      </c>
      <c r="AF1" s="6">
        <v>46112</v>
      </c>
    </row>
    <row r="2" spans="1:32" ht="23.4" customHeight="1" x14ac:dyDescent="0.35">
      <c r="A2" s="7" t="s">
        <v>25</v>
      </c>
      <c r="B2" s="8">
        <f t="shared" ref="B2:G2" si="0">SUM(B3:B14)</f>
        <v>67620</v>
      </c>
      <c r="C2" s="8">
        <f t="shared" si="0"/>
        <v>245894</v>
      </c>
      <c r="D2" s="8">
        <f t="shared" si="0"/>
        <v>181328</v>
      </c>
      <c r="E2" s="8">
        <f t="shared" si="0"/>
        <v>561057</v>
      </c>
      <c r="F2" s="8">
        <f t="shared" si="0"/>
        <v>169150</v>
      </c>
      <c r="G2" s="8">
        <f t="shared" si="0"/>
        <v>54730</v>
      </c>
      <c r="H2" s="8">
        <f t="shared" ref="H2:AF2" si="1">SUM(H3:H14)</f>
        <v>82650</v>
      </c>
      <c r="I2" s="8">
        <f t="shared" si="1"/>
        <v>126180</v>
      </c>
      <c r="J2" s="8">
        <f t="shared" si="1"/>
        <v>335040</v>
      </c>
      <c r="K2" s="8">
        <f t="shared" si="1"/>
        <v>86457</v>
      </c>
      <c r="L2" s="8">
        <f t="shared" si="1"/>
        <v>175296</v>
      </c>
      <c r="M2" s="8">
        <f t="shared" si="1"/>
        <v>168290</v>
      </c>
      <c r="N2" s="8">
        <f t="shared" si="1"/>
        <v>119150</v>
      </c>
      <c r="O2" s="8">
        <f t="shared" si="1"/>
        <v>106961</v>
      </c>
      <c r="P2" s="8">
        <f t="shared" si="1"/>
        <v>229120</v>
      </c>
      <c r="Q2" s="8">
        <f t="shared" si="1"/>
        <v>364216</v>
      </c>
      <c r="R2" s="8">
        <f t="shared" si="1"/>
        <v>121930</v>
      </c>
      <c r="S2" s="8">
        <f t="shared" si="1"/>
        <v>170632</v>
      </c>
      <c r="T2" s="8">
        <f t="shared" si="1"/>
        <v>117250</v>
      </c>
      <c r="U2" s="8">
        <f t="shared" si="1"/>
        <v>36440</v>
      </c>
      <c r="V2" s="8">
        <f t="shared" si="1"/>
        <v>67260</v>
      </c>
      <c r="W2" s="8">
        <f t="shared" si="1"/>
        <v>143056</v>
      </c>
      <c r="X2" s="8">
        <f t="shared" si="1"/>
        <v>17170</v>
      </c>
      <c r="Y2" s="8">
        <f t="shared" si="1"/>
        <v>43680</v>
      </c>
      <c r="Z2" s="8">
        <f t="shared" si="1"/>
        <v>5500</v>
      </c>
      <c r="AA2" s="8">
        <f t="shared" si="1"/>
        <v>152610</v>
      </c>
      <c r="AB2" s="8">
        <f t="shared" si="1"/>
        <v>205608</v>
      </c>
      <c r="AC2" s="8">
        <f t="shared" si="1"/>
        <v>82360</v>
      </c>
      <c r="AD2" s="8">
        <f t="shared" si="1"/>
        <v>0</v>
      </c>
      <c r="AE2" s="8">
        <f t="shared" si="1"/>
        <v>80170</v>
      </c>
      <c r="AF2" s="8">
        <f t="shared" si="1"/>
        <v>351468</v>
      </c>
    </row>
    <row r="3" spans="1:32" ht="23.4" customHeight="1" x14ac:dyDescent="0.35">
      <c r="A3" s="2" t="s">
        <v>26</v>
      </c>
      <c r="B3" s="3">
        <v>67620</v>
      </c>
      <c r="C3" s="3">
        <v>95754</v>
      </c>
      <c r="D3" s="3">
        <v>108538</v>
      </c>
      <c r="E3" s="3">
        <v>65460</v>
      </c>
      <c r="F3" s="3">
        <v>68150</v>
      </c>
      <c r="G3" s="3">
        <v>5000</v>
      </c>
      <c r="H3" s="3">
        <v>660</v>
      </c>
      <c r="I3" s="3">
        <v>126180</v>
      </c>
      <c r="J3" s="3">
        <v>39300</v>
      </c>
      <c r="K3" s="3">
        <v>11437</v>
      </c>
      <c r="L3" s="3">
        <v>45012</v>
      </c>
      <c r="M3" s="3">
        <v>5000</v>
      </c>
      <c r="N3" s="3">
        <v>64150</v>
      </c>
      <c r="O3" s="3">
        <v>76299</v>
      </c>
      <c r="P3" s="3">
        <v>86480</v>
      </c>
      <c r="Q3" s="3">
        <v>364216</v>
      </c>
      <c r="R3" s="3">
        <v>99140</v>
      </c>
      <c r="S3" s="3">
        <v>45012</v>
      </c>
      <c r="T3" s="3">
        <v>117250</v>
      </c>
      <c r="U3" s="3">
        <v>36440</v>
      </c>
      <c r="V3" s="3">
        <v>67260</v>
      </c>
      <c r="W3" s="3">
        <v>143056</v>
      </c>
      <c r="X3" s="3">
        <v>17170</v>
      </c>
      <c r="Y3" s="3">
        <v>43680</v>
      </c>
      <c r="Z3" s="3">
        <v>5500</v>
      </c>
      <c r="AA3" s="3">
        <v>55830</v>
      </c>
      <c r="AB3" s="3">
        <v>124020</v>
      </c>
      <c r="AC3" s="3">
        <v>82360</v>
      </c>
      <c r="AD3" s="3"/>
      <c r="AE3" s="3">
        <v>32200</v>
      </c>
      <c r="AF3" s="3">
        <v>351468</v>
      </c>
    </row>
    <row r="4" spans="1:32" ht="23.4" customHeight="1" x14ac:dyDescent="0.35">
      <c r="A4" s="2" t="s">
        <v>27</v>
      </c>
      <c r="B4" s="3"/>
      <c r="C4" s="3">
        <v>150140</v>
      </c>
      <c r="D4" s="3">
        <v>12330</v>
      </c>
      <c r="E4" s="3">
        <v>34200</v>
      </c>
      <c r="F4" s="3">
        <v>66800</v>
      </c>
      <c r="G4" s="3">
        <v>49730</v>
      </c>
      <c r="H4" s="3">
        <v>7730</v>
      </c>
      <c r="I4" s="3"/>
      <c r="J4" s="3">
        <v>223550</v>
      </c>
      <c r="K4" s="3">
        <v>12330</v>
      </c>
      <c r="L4" s="3">
        <v>49230</v>
      </c>
      <c r="M4" s="3">
        <v>163290</v>
      </c>
      <c r="N4" s="3">
        <v>55000</v>
      </c>
      <c r="O4" s="3">
        <v>30662</v>
      </c>
      <c r="P4" s="3">
        <v>142640</v>
      </c>
      <c r="Q4" s="3"/>
      <c r="R4" s="3">
        <v>22790</v>
      </c>
      <c r="S4" s="3">
        <v>125620</v>
      </c>
      <c r="T4" s="3"/>
      <c r="U4" s="3"/>
      <c r="V4" s="3"/>
      <c r="W4" s="3"/>
      <c r="X4" s="3"/>
      <c r="Y4" s="3"/>
      <c r="Z4" s="3"/>
      <c r="AA4" s="3">
        <v>96780</v>
      </c>
      <c r="AB4" s="3">
        <v>81588</v>
      </c>
      <c r="AC4" s="3"/>
      <c r="AD4" s="3"/>
      <c r="AE4" s="3">
        <v>47970</v>
      </c>
      <c r="AF4" s="3"/>
    </row>
    <row r="5" spans="1:32" ht="23.4" customHeight="1" x14ac:dyDescent="0.35">
      <c r="A5" s="2"/>
      <c r="B5" s="3"/>
      <c r="C5" s="3"/>
      <c r="D5" s="3">
        <v>60460</v>
      </c>
      <c r="E5" s="3">
        <v>143213</v>
      </c>
      <c r="F5" s="3">
        <v>34200</v>
      </c>
      <c r="G5" s="3"/>
      <c r="H5" s="3">
        <v>49100</v>
      </c>
      <c r="I5" s="3"/>
      <c r="J5" s="3">
        <v>72190</v>
      </c>
      <c r="K5" s="3">
        <v>62690</v>
      </c>
      <c r="L5" s="3">
        <v>22440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23.4" customHeight="1" x14ac:dyDescent="0.35">
      <c r="A6" s="2"/>
      <c r="B6" s="3"/>
      <c r="C6" s="3"/>
      <c r="D6" s="3"/>
      <c r="E6" s="3">
        <v>318184</v>
      </c>
      <c r="F6" s="3"/>
      <c r="G6" s="3"/>
      <c r="H6" s="3">
        <v>25160</v>
      </c>
      <c r="I6" s="3"/>
      <c r="J6" s="3"/>
      <c r="K6" s="3"/>
      <c r="L6" s="3">
        <v>58614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Chi phí cố định</vt:lpstr>
      <vt:lpstr>MẪU</vt:lpstr>
      <vt:lpstr>2026_04</vt:lpstr>
      <vt:lpstr>2026_05</vt:lpstr>
      <vt:lpstr>2026_06</vt:lpstr>
      <vt:lpstr>2026_07</vt:lpstr>
      <vt:lpstr>2026_08</vt:lpstr>
      <vt:lpstr>2026_09</vt:lpstr>
      <vt:lpstr>2026_10</vt:lpstr>
      <vt:lpstr>2026_11</vt:lpstr>
      <vt:lpstr>2026_12</vt:lpstr>
      <vt:lpstr>2027_01</vt:lpstr>
      <vt:lpstr>2027_02</vt:lpstr>
      <vt:lpstr>2027_03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dcterms:created xsi:type="dcterms:W3CDTF">2026-02-04T15:11:35Z</dcterms:created>
  <dcterms:modified xsi:type="dcterms:W3CDTF">2026-04-28T16:39:10Z</dcterms:modified>
</cp:coreProperties>
</file>