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99A06B6-114F-4A7A-80E2-DC7EBE6C471E}" xr6:coauthVersionLast="47" xr6:coauthVersionMax="47" xr10:uidLastSave="{00000000-0000-0000-0000-000000000000}"/>
  <bookViews>
    <workbookView xWindow="-30828" yWindow="-108" windowWidth="30936" windowHeight="16776" xr2:uid="{00000000-000D-0000-FFFF-FFFF00000000}"/>
  </bookViews>
  <sheets>
    <sheet name="Tồn kho_2026_03_31" sheetId="1" r:id="rId1"/>
  </sheets>
  <calcPr calcId="191029"/>
</workbook>
</file>

<file path=xl/calcChain.xml><?xml version="1.0" encoding="utf-8"?>
<calcChain xmlns="http://schemas.openxmlformats.org/spreadsheetml/2006/main">
  <c r="E12" i="1" l="1"/>
  <c r="E69" i="1"/>
  <c r="E80" i="1"/>
  <c r="E103" i="1"/>
  <c r="E115" i="1"/>
  <c r="E117" i="1"/>
  <c r="E138" i="1"/>
  <c r="E151" i="1"/>
  <c r="E152" i="1"/>
  <c r="E173" i="1"/>
  <c r="E185" i="1"/>
  <c r="E209" i="1"/>
  <c r="E213" i="1"/>
  <c r="E219" i="1"/>
  <c r="E228" i="1"/>
  <c r="E240" i="1"/>
  <c r="E252" i="1"/>
  <c r="E276" i="1"/>
  <c r="E288" i="1"/>
  <c r="E300" i="1"/>
  <c r="E312" i="1"/>
  <c r="E313" i="1"/>
  <c r="E324" i="1"/>
  <c r="E336" i="1"/>
  <c r="E350" i="1"/>
  <c r="E352" i="1"/>
  <c r="E371" i="1"/>
  <c r="E383" i="1"/>
  <c r="E395" i="1"/>
  <c r="E407" i="1"/>
  <c r="E418" i="1"/>
  <c r="E419" i="1"/>
  <c r="E421" i="1"/>
  <c r="E428" i="1"/>
  <c r="E440" i="1"/>
  <c r="E445" i="1"/>
  <c r="E452" i="1"/>
  <c r="E457" i="1"/>
  <c r="E465" i="1"/>
  <c r="E467" i="1"/>
  <c r="E469" i="1"/>
  <c r="E476" i="1"/>
  <c r="E488" i="1"/>
  <c r="E491" i="1"/>
  <c r="E493" i="1"/>
  <c r="E500" i="1"/>
  <c r="E519" i="1"/>
  <c r="E524" i="1"/>
  <c r="E526" i="1"/>
  <c r="E530" i="1"/>
  <c r="E546" i="1"/>
  <c r="E547" i="1"/>
  <c r="E555" i="1"/>
  <c r="E576" i="1"/>
  <c r="E584" i="1"/>
  <c r="E585" i="1"/>
  <c r="E590" i="1"/>
  <c r="E595" i="1"/>
  <c r="E600" i="1"/>
  <c r="E606" i="1"/>
  <c r="E614" i="1"/>
  <c r="E621" i="1"/>
  <c r="E624" i="1"/>
  <c r="E625" i="1"/>
  <c r="E636" i="1"/>
  <c r="E637" i="1"/>
  <c r="E681" i="1"/>
  <c r="E684" i="1"/>
  <c r="E696" i="1"/>
  <c r="E699" i="1"/>
  <c r="E713" i="1"/>
  <c r="E720" i="1"/>
  <c r="E725" i="1"/>
  <c r="E732" i="1"/>
  <c r="E737" i="1"/>
  <c r="E743" i="1"/>
  <c r="E334" i="1"/>
  <c r="E342" i="1"/>
  <c r="E458" i="1"/>
  <c r="E459" i="1"/>
  <c r="E498" i="1"/>
  <c r="E529" i="1"/>
  <c r="E542" i="1"/>
  <c r="E551" i="1"/>
  <c r="E552" i="1"/>
  <c r="E556" i="1"/>
  <c r="E578" i="1"/>
  <c r="E611" i="1"/>
  <c r="E623" i="1"/>
  <c r="E638" i="1"/>
  <c r="E672" i="1"/>
  <c r="E674" i="1"/>
  <c r="E697" i="1"/>
  <c r="E19" i="1"/>
  <c r="E52" i="1"/>
  <c r="E107" i="1"/>
  <c r="E113" i="1"/>
  <c r="E124" i="1"/>
  <c r="E131" i="1"/>
  <c r="E137" i="1"/>
  <c r="E157" i="1"/>
  <c r="E247" i="1"/>
  <c r="E274" i="1"/>
  <c r="E281" i="1"/>
  <c r="E357" i="1"/>
  <c r="E378" i="1"/>
  <c r="E382" i="1"/>
  <c r="E416" i="1"/>
  <c r="E471" i="1"/>
  <c r="E507" i="1"/>
  <c r="E564" i="1"/>
  <c r="E566" i="1"/>
  <c r="E686" i="1"/>
  <c r="E220" i="1"/>
  <c r="E11" i="1"/>
  <c r="E65" i="1"/>
  <c r="E96" i="1"/>
  <c r="E98" i="1"/>
  <c r="E99" i="1"/>
  <c r="E125" i="1"/>
  <c r="E148" i="1"/>
  <c r="E193" i="1"/>
  <c r="E177" i="1"/>
  <c r="E322" i="1"/>
  <c r="E311" i="1"/>
  <c r="E343" i="1"/>
  <c r="E402" i="1"/>
  <c r="E415" i="1"/>
  <c r="E435" i="1"/>
  <c r="E447" i="1"/>
  <c r="E470" i="1"/>
  <c r="E481" i="1"/>
  <c r="E483" i="1"/>
  <c r="E485" i="1"/>
  <c r="E495" i="1"/>
  <c r="E521" i="1"/>
  <c r="E554" i="1"/>
  <c r="E28" i="1"/>
  <c r="E110" i="1"/>
  <c r="E111" i="1"/>
  <c r="E97" i="1"/>
  <c r="E130" i="1"/>
  <c r="E13" i="1"/>
  <c r="E14" i="1"/>
  <c r="E15" i="1"/>
  <c r="E16" i="1"/>
  <c r="E24" i="1"/>
  <c r="E25" i="1"/>
  <c r="E26" i="1"/>
  <c r="E27" i="1"/>
  <c r="E36" i="1"/>
  <c r="E37" i="1"/>
  <c r="E38" i="1"/>
  <c r="E39" i="1"/>
  <c r="E47" i="1"/>
  <c r="E48" i="1"/>
  <c r="E49" i="1"/>
  <c r="E50" i="1"/>
  <c r="E60" i="1"/>
  <c r="E61" i="1"/>
  <c r="E62" i="1"/>
  <c r="E70" i="1"/>
  <c r="E71" i="1"/>
  <c r="E72" i="1"/>
  <c r="E81" i="1"/>
  <c r="E82" i="1"/>
  <c r="E83" i="1"/>
  <c r="E94" i="1"/>
  <c r="E95" i="1"/>
  <c r="E106" i="1"/>
  <c r="E109" i="1"/>
  <c r="E118" i="1"/>
  <c r="E123" i="1"/>
  <c r="E135" i="1"/>
  <c r="E168" i="1"/>
  <c r="E178" i="1"/>
  <c r="E179" i="1"/>
  <c r="E180" i="1"/>
  <c r="E190" i="1"/>
  <c r="E202" i="1"/>
  <c r="E203" i="1"/>
  <c r="E204" i="1"/>
  <c r="E212" i="1"/>
  <c r="E214" i="1"/>
  <c r="E221" i="1"/>
  <c r="E222" i="1"/>
  <c r="E233" i="1"/>
  <c r="E235" i="1"/>
  <c r="E245" i="1"/>
  <c r="E246" i="1"/>
  <c r="E257" i="1"/>
  <c r="E269" i="1"/>
  <c r="E270" i="1"/>
  <c r="E295" i="1"/>
  <c r="E296" i="1"/>
  <c r="E307" i="1"/>
  <c r="E319" i="1"/>
  <c r="E329" i="1"/>
  <c r="E331" i="1"/>
  <c r="E340" i="1"/>
  <c r="E353" i="1"/>
  <c r="E354" i="1"/>
  <c r="E364" i="1"/>
  <c r="E366" i="1"/>
  <c r="E376" i="1"/>
  <c r="E377" i="1"/>
  <c r="E388" i="1"/>
  <c r="E400" i="1"/>
  <c r="E411" i="1"/>
  <c r="E505" i="1"/>
  <c r="E517" i="1"/>
  <c r="E612" i="1"/>
  <c r="E613" i="1"/>
  <c r="E165" i="1" l="1"/>
  <c r="E405" i="1"/>
  <c r="E392" i="1"/>
  <c r="E112" i="1"/>
  <c r="E100" i="1"/>
  <c r="E93" i="1"/>
  <c r="E604" i="1"/>
  <c r="E189" i="1"/>
  <c r="E79" i="1"/>
  <c r="E299" i="1"/>
  <c r="E287" i="1"/>
  <c r="E200" i="1"/>
  <c r="E91" i="1"/>
  <c r="E677" i="1"/>
  <c r="E541" i="1"/>
  <c r="E466" i="1"/>
  <c r="E453" i="1"/>
  <c r="E119" i="1"/>
  <c r="E617" i="1"/>
  <c r="E478" i="1"/>
  <c r="E386" i="1"/>
  <c r="E664" i="1"/>
  <c r="E345" i="1"/>
  <c r="E105" i="1"/>
  <c r="E615" i="1"/>
  <c r="E712" i="1"/>
  <c r="E622" i="1"/>
  <c r="E273" i="1"/>
  <c r="E261" i="1"/>
  <c r="E59" i="1"/>
  <c r="E35" i="1"/>
  <c r="E21" i="1"/>
  <c r="E738" i="1"/>
  <c r="E726" i="1"/>
  <c r="E553" i="1"/>
  <c r="E506" i="1"/>
  <c r="E310" i="1"/>
  <c r="E298" i="1"/>
  <c r="E286" i="1"/>
  <c r="E248" i="1"/>
  <c r="E211" i="1"/>
  <c r="E309" i="1"/>
  <c r="E297" i="1"/>
  <c r="E285" i="1"/>
  <c r="E57" i="1"/>
  <c r="E45" i="1"/>
  <c r="E33" i="1"/>
  <c r="E747" i="1"/>
  <c r="E344" i="1"/>
  <c r="E333" i="1"/>
  <c r="E321" i="1"/>
  <c r="E332" i="1"/>
  <c r="E320" i="1"/>
  <c r="E516" i="1"/>
  <c r="E446" i="1"/>
  <c r="E368" i="1"/>
  <c r="E356" i="1"/>
  <c r="E367" i="1"/>
  <c r="E355" i="1"/>
  <c r="E528" i="1"/>
  <c r="E710" i="1"/>
  <c r="E746" i="1"/>
  <c r="E736" i="1"/>
  <c r="E724" i="1"/>
  <c r="E676" i="1"/>
  <c r="E603" i="1"/>
  <c r="E586" i="1"/>
  <c r="E527" i="1"/>
  <c r="E497" i="1"/>
  <c r="E394" i="1"/>
  <c r="E308" i="1"/>
  <c r="E201" i="1"/>
  <c r="E23" i="1"/>
  <c r="E708" i="1"/>
  <c r="E271" i="1"/>
  <c r="E745" i="1"/>
  <c r="E709" i="1"/>
  <c r="E675" i="1"/>
  <c r="E525" i="1"/>
  <c r="E406" i="1"/>
  <c r="E393" i="1"/>
  <c r="E381" i="1"/>
  <c r="E369" i="1"/>
  <c r="E160" i="1"/>
  <c r="E122" i="1"/>
  <c r="E22" i="1"/>
  <c r="E722" i="1"/>
  <c r="E673" i="1"/>
  <c r="E599" i="1"/>
  <c r="E441" i="1"/>
  <c r="E616" i="1"/>
  <c r="E427" i="1"/>
  <c r="E417" i="1"/>
  <c r="E404" i="1"/>
  <c r="E341" i="1"/>
  <c r="E330" i="1"/>
  <c r="E318" i="1"/>
  <c r="E158" i="1"/>
  <c r="E92" i="1"/>
  <c r="E68" i="1"/>
  <c r="E58" i="1"/>
  <c r="E46" i="1"/>
  <c r="E34" i="1"/>
  <c r="E689" i="1"/>
  <c r="E439" i="1"/>
  <c r="E426" i="1"/>
  <c r="E145" i="1"/>
  <c r="E67" i="1"/>
  <c r="E688" i="1"/>
  <c r="E654" i="1"/>
  <c r="E629" i="1"/>
  <c r="E579" i="1"/>
  <c r="E565" i="1"/>
  <c r="E537" i="1"/>
  <c r="E504" i="1"/>
  <c r="E477" i="1"/>
  <c r="E451" i="1"/>
  <c r="E438" i="1"/>
  <c r="E365" i="1"/>
  <c r="E278" i="1"/>
  <c r="E266" i="1"/>
  <c r="E254" i="1"/>
  <c r="E218" i="1"/>
  <c r="E156" i="1"/>
  <c r="E144" i="1"/>
  <c r="E90" i="1"/>
  <c r="E78" i="1"/>
  <c r="E66" i="1"/>
  <c r="E56" i="1"/>
  <c r="E44" i="1"/>
  <c r="E32" i="1"/>
  <c r="E648" i="1"/>
  <c r="E667" i="1"/>
  <c r="E701" i="1"/>
  <c r="E687" i="1"/>
  <c r="E653" i="1"/>
  <c r="E628" i="1"/>
  <c r="E503" i="1"/>
  <c r="E490" i="1"/>
  <c r="E437" i="1"/>
  <c r="E424" i="1"/>
  <c r="E414" i="1"/>
  <c r="E315" i="1"/>
  <c r="E167" i="1"/>
  <c r="E155" i="1"/>
  <c r="E129" i="1"/>
  <c r="E89" i="1"/>
  <c r="E77" i="1"/>
  <c r="E700" i="1"/>
  <c r="E685" i="1"/>
  <c r="E665" i="1"/>
  <c r="E627" i="1"/>
  <c r="E577" i="1"/>
  <c r="E563" i="1"/>
  <c r="E518" i="1"/>
  <c r="E489" i="1"/>
  <c r="E449" i="1"/>
  <c r="E436" i="1"/>
  <c r="E264" i="1"/>
  <c r="E194" i="1"/>
  <c r="E182" i="1"/>
  <c r="E166" i="1"/>
  <c r="E128" i="1"/>
  <c r="E88" i="1"/>
  <c r="E76" i="1"/>
  <c r="E592" i="1"/>
  <c r="E575" i="1"/>
  <c r="E374" i="1"/>
  <c r="E362" i="1"/>
  <c r="E215" i="1"/>
  <c r="E205" i="1"/>
  <c r="E181" i="1"/>
  <c r="E127" i="1"/>
  <c r="E663" i="1"/>
  <c r="E591" i="1"/>
  <c r="E561" i="1"/>
  <c r="E486" i="1"/>
  <c r="E262" i="1"/>
  <c r="E250" i="1"/>
  <c r="E225" i="1"/>
  <c r="E192" i="1"/>
  <c r="E140" i="1"/>
  <c r="E126" i="1"/>
  <c r="E114" i="1"/>
  <c r="E102" i="1"/>
  <c r="E573" i="1"/>
  <c r="E515" i="1"/>
  <c r="E346" i="1"/>
  <c r="E335" i="1"/>
  <c r="E323" i="1"/>
  <c r="E249" i="1"/>
  <c r="E224" i="1"/>
  <c r="E191" i="1"/>
  <c r="E571" i="1"/>
  <c r="E317" i="1"/>
  <c r="E390" i="1"/>
  <c r="E631" i="1"/>
  <c r="E197" i="1"/>
  <c r="E29" i="1"/>
  <c r="E748" i="1"/>
  <c r="E739" i="1"/>
  <c r="E714" i="1"/>
  <c r="E702" i="1"/>
  <c r="E690" i="1"/>
  <c r="E678" i="1"/>
  <c r="E666" i="1"/>
  <c r="E642" i="1"/>
  <c r="E630" i="1"/>
  <c r="E618" i="1"/>
  <c r="E605" i="1"/>
  <c r="E492" i="1"/>
  <c r="E479" i="1"/>
  <c r="E454" i="1"/>
  <c r="E429" i="1"/>
  <c r="E370" i="1"/>
  <c r="E358" i="1"/>
  <c r="E238" i="1"/>
  <c r="E226" i="1"/>
  <c r="E216" i="1"/>
  <c r="E206" i="1"/>
  <c r="E132" i="1"/>
  <c r="E120" i="1"/>
  <c r="E108" i="1"/>
  <c r="E237" i="1"/>
  <c r="E143" i="1"/>
  <c r="E380" i="1"/>
  <c r="E272" i="1"/>
  <c r="E154" i="1"/>
  <c r="E711" i="1"/>
  <c r="E651" i="1"/>
  <c r="E639" i="1"/>
  <c r="E589" i="1"/>
  <c r="E539" i="1"/>
  <c r="E502" i="1"/>
  <c r="E464" i="1"/>
  <c r="E391" i="1"/>
  <c r="E379" i="1"/>
  <c r="E284" i="1"/>
  <c r="E223" i="1"/>
  <c r="E153" i="1"/>
  <c r="E20" i="1"/>
  <c r="E433" i="1"/>
  <c r="E259" i="1"/>
  <c r="E142" i="1"/>
  <c r="E744" i="1"/>
  <c r="E735" i="1"/>
  <c r="E723" i="1"/>
  <c r="E698" i="1"/>
  <c r="E662" i="1"/>
  <c r="E650" i="1"/>
  <c r="E626" i="1"/>
  <c r="E601" i="1"/>
  <c r="E587" i="1"/>
  <c r="E574" i="1"/>
  <c r="E562" i="1"/>
  <c r="E550" i="1"/>
  <c r="E538" i="1"/>
  <c r="E514" i="1"/>
  <c r="E501" i="1"/>
  <c r="E487" i="1"/>
  <c r="E475" i="1"/>
  <c r="E463" i="1"/>
  <c r="E450" i="1"/>
  <c r="E425" i="1"/>
  <c r="E403" i="1"/>
  <c r="E258" i="1"/>
  <c r="E234" i="1"/>
  <c r="E176" i="1"/>
  <c r="E164" i="1"/>
  <c r="E141" i="1"/>
  <c r="E116" i="1"/>
  <c r="E104" i="1"/>
  <c r="E55" i="1"/>
  <c r="E43" i="1"/>
  <c r="E31" i="1"/>
  <c r="E423" i="1"/>
  <c r="E734" i="1"/>
  <c r="E661" i="1"/>
  <c r="E649" i="1"/>
  <c r="E549" i="1"/>
  <c r="E513" i="1"/>
  <c r="E474" i="1"/>
  <c r="E462" i="1"/>
  <c r="E389" i="1"/>
  <c r="E306" i="1"/>
  <c r="E294" i="1"/>
  <c r="E282" i="1"/>
  <c r="E175" i="1"/>
  <c r="E163" i="1"/>
  <c r="E64" i="1"/>
  <c r="E54" i="1"/>
  <c r="E42" i="1"/>
  <c r="E30" i="1"/>
  <c r="E18" i="1"/>
  <c r="E619" i="1"/>
  <c r="E733" i="1"/>
  <c r="E721" i="1"/>
  <c r="E598" i="1"/>
  <c r="E572" i="1"/>
  <c r="E560" i="1"/>
  <c r="E548" i="1"/>
  <c r="E536" i="1"/>
  <c r="E512" i="1"/>
  <c r="E499" i="1"/>
  <c r="E473" i="1"/>
  <c r="E461" i="1"/>
  <c r="E448" i="1"/>
  <c r="E280" i="1"/>
  <c r="E268" i="1"/>
  <c r="E256" i="1"/>
  <c r="E244" i="1"/>
  <c r="E232" i="1"/>
  <c r="E188" i="1"/>
  <c r="E174" i="1"/>
  <c r="E162" i="1"/>
  <c r="E150" i="1"/>
  <c r="E139" i="1"/>
  <c r="E87" i="1"/>
  <c r="E75" i="1"/>
  <c r="E53" i="1"/>
  <c r="E17" i="1"/>
  <c r="E652" i="1"/>
  <c r="E260" i="1"/>
  <c r="E602" i="1"/>
  <c r="E540" i="1"/>
  <c r="E413" i="1"/>
  <c r="E359" i="1"/>
  <c r="E305" i="1"/>
  <c r="E85" i="1"/>
  <c r="E707" i="1"/>
  <c r="E695" i="1"/>
  <c r="E683" i="1"/>
  <c r="E671" i="1"/>
  <c r="E659" i="1"/>
  <c r="E647" i="1"/>
  <c r="E635" i="1"/>
  <c r="E610" i="1"/>
  <c r="E597" i="1"/>
  <c r="E535" i="1"/>
  <c r="E523" i="1"/>
  <c r="E511" i="1"/>
  <c r="E484" i="1"/>
  <c r="E472" i="1"/>
  <c r="E460" i="1"/>
  <c r="E434" i="1"/>
  <c r="E422" i="1"/>
  <c r="E412" i="1"/>
  <c r="E399" i="1"/>
  <c r="E387" i="1"/>
  <c r="E375" i="1"/>
  <c r="E363" i="1"/>
  <c r="E351" i="1"/>
  <c r="E339" i="1"/>
  <c r="E328" i="1"/>
  <c r="E316" i="1"/>
  <c r="E304" i="1"/>
  <c r="E292" i="1"/>
  <c r="E279" i="1"/>
  <c r="E267" i="1"/>
  <c r="E255" i="1"/>
  <c r="E243" i="1"/>
  <c r="E231" i="1"/>
  <c r="E199" i="1"/>
  <c r="E187" i="1"/>
  <c r="E161" i="1"/>
  <c r="E149" i="1"/>
  <c r="E101" i="1"/>
  <c r="E86" i="1"/>
  <c r="E40" i="1"/>
  <c r="E641" i="1"/>
  <c r="E74" i="1"/>
  <c r="E731" i="1"/>
  <c r="E719" i="1"/>
  <c r="E706" i="1"/>
  <c r="E694" i="1"/>
  <c r="E682" i="1"/>
  <c r="E670" i="1"/>
  <c r="E658" i="1"/>
  <c r="E646" i="1"/>
  <c r="E634" i="1"/>
  <c r="E609" i="1"/>
  <c r="E596" i="1"/>
  <c r="E583" i="1"/>
  <c r="E570" i="1"/>
  <c r="E558" i="1"/>
  <c r="E534" i="1"/>
  <c r="E522" i="1"/>
  <c r="E510" i="1"/>
  <c r="E398" i="1"/>
  <c r="E338" i="1"/>
  <c r="E327" i="1"/>
  <c r="E303" i="1"/>
  <c r="E291" i="1"/>
  <c r="E242" i="1"/>
  <c r="E230" i="1"/>
  <c r="E210" i="1"/>
  <c r="E198" i="1"/>
  <c r="E186" i="1"/>
  <c r="E172" i="1"/>
  <c r="E73" i="1"/>
  <c r="E63" i="1"/>
  <c r="E51" i="1"/>
  <c r="E559" i="1"/>
  <c r="E531" i="1"/>
  <c r="E236" i="1"/>
  <c r="E727" i="1"/>
  <c r="E751" i="1"/>
  <c r="E742" i="1"/>
  <c r="E730" i="1"/>
  <c r="E718" i="1"/>
  <c r="E705" i="1"/>
  <c r="E693" i="1"/>
  <c r="E669" i="1"/>
  <c r="E657" i="1"/>
  <c r="E645" i="1"/>
  <c r="E633" i="1"/>
  <c r="E608" i="1"/>
  <c r="E582" i="1"/>
  <c r="E569" i="1"/>
  <c r="E557" i="1"/>
  <c r="E545" i="1"/>
  <c r="E533" i="1"/>
  <c r="E509" i="1"/>
  <c r="E496" i="1"/>
  <c r="E482" i="1"/>
  <c r="E444" i="1"/>
  <c r="E432" i="1"/>
  <c r="E410" i="1"/>
  <c r="E397" i="1"/>
  <c r="E385" i="1"/>
  <c r="E373" i="1"/>
  <c r="E361" i="1"/>
  <c r="E349" i="1"/>
  <c r="E337" i="1"/>
  <c r="E326" i="1"/>
  <c r="E314" i="1"/>
  <c r="E302" i="1"/>
  <c r="E290" i="1"/>
  <c r="E277" i="1"/>
  <c r="E265" i="1"/>
  <c r="E253" i="1"/>
  <c r="E241" i="1"/>
  <c r="E229" i="1"/>
  <c r="E171" i="1"/>
  <c r="E159" i="1"/>
  <c r="E147" i="1"/>
  <c r="E136" i="1"/>
  <c r="E84" i="1"/>
  <c r="E660" i="1"/>
  <c r="E401" i="1"/>
  <c r="E293" i="1"/>
  <c r="E715" i="1"/>
  <c r="E750" i="1"/>
  <c r="E741" i="1"/>
  <c r="E729" i="1"/>
  <c r="E717" i="1"/>
  <c r="E704" i="1"/>
  <c r="E692" i="1"/>
  <c r="E680" i="1"/>
  <c r="E668" i="1"/>
  <c r="E656" i="1"/>
  <c r="E644" i="1"/>
  <c r="E632" i="1"/>
  <c r="E620" i="1"/>
  <c r="E607" i="1"/>
  <c r="E594" i="1"/>
  <c r="E581" i="1"/>
  <c r="E568" i="1"/>
  <c r="E544" i="1"/>
  <c r="E520" i="1"/>
  <c r="E508" i="1"/>
  <c r="E456" i="1"/>
  <c r="E443" i="1"/>
  <c r="E431" i="1"/>
  <c r="E409" i="1"/>
  <c r="E396" i="1"/>
  <c r="E384" i="1"/>
  <c r="E372" i="1"/>
  <c r="E360" i="1"/>
  <c r="E348" i="1"/>
  <c r="E325" i="1"/>
  <c r="E301" i="1"/>
  <c r="E289" i="1"/>
  <c r="E208" i="1"/>
  <c r="E196" i="1"/>
  <c r="E184" i="1"/>
  <c r="E170" i="1"/>
  <c r="E134" i="1"/>
  <c r="E640" i="1"/>
  <c r="E588" i="1"/>
  <c r="E283" i="1"/>
  <c r="E41" i="1"/>
  <c r="E749" i="1"/>
  <c r="E740" i="1"/>
  <c r="E728" i="1"/>
  <c r="E716" i="1"/>
  <c r="E703" i="1"/>
  <c r="E691" i="1"/>
  <c r="E679" i="1"/>
  <c r="E655" i="1"/>
  <c r="E643" i="1"/>
  <c r="E593" i="1"/>
  <c r="E580" i="1"/>
  <c r="E567" i="1"/>
  <c r="E543" i="1"/>
  <c r="E532" i="1"/>
  <c r="E494" i="1"/>
  <c r="E480" i="1"/>
  <c r="E468" i="1"/>
  <c r="E455" i="1"/>
  <c r="E442" i="1"/>
  <c r="E430" i="1"/>
  <c r="E420" i="1"/>
  <c r="E408" i="1"/>
  <c r="E347" i="1"/>
  <c r="E275" i="1"/>
  <c r="E263" i="1"/>
  <c r="E251" i="1"/>
  <c r="E239" i="1"/>
  <c r="E227" i="1"/>
  <c r="E217" i="1"/>
  <c r="E207" i="1"/>
  <c r="E195" i="1"/>
  <c r="E183" i="1"/>
  <c r="E169" i="1"/>
  <c r="E146" i="1"/>
  <c r="E133" i="1"/>
  <c r="E121" i="1"/>
  <c r="D752" i="1"/>
  <c r="E752" i="1" l="1"/>
</calcChain>
</file>

<file path=xl/sharedStrings.xml><?xml version="1.0" encoding="utf-8"?>
<sst xmlns="http://schemas.openxmlformats.org/spreadsheetml/2006/main" count="1500" uniqueCount="1500">
  <si>
    <t>SP201345</t>
  </si>
  <si>
    <t>NUTIFOOD HƯƠNG CAM</t>
  </si>
  <si>
    <t>ÓC HEO</t>
  </si>
  <si>
    <t>TUONG BAN</t>
  </si>
  <si>
    <t>DƯA CẢI TƯƠI</t>
  </si>
  <si>
    <t>NƯỚC ÉP XOÀI</t>
  </si>
  <si>
    <t>BÁNH GẠO AN VỊ TỰ NHIÊN</t>
  </si>
  <si>
    <t>XỐT GIẢ CẦY BARONA 80G</t>
  </si>
  <si>
    <t>KẸO CHEW DÂU</t>
  </si>
  <si>
    <t>GIA VỊ GÀ TẦN</t>
  </si>
  <si>
    <t>SỮA ÔNG THỌ</t>
  </si>
  <si>
    <t>GIA VỊ NÊM SẴN AJI-QUICK BÚN RIÊU CUA 54G</t>
  </si>
  <si>
    <t>SĐN HẠNH NHÂN VINAMILK 180ML</t>
  </si>
  <si>
    <t>BANH GAO CUON VI RONG BIEN</t>
  </si>
  <si>
    <t>BANH GAO VI PHO MAI</t>
  </si>
  <si>
    <t>BANH GAO CUON VI TRUNG MUOI</t>
  </si>
  <si>
    <t>BANH GAO CUON VI BAP THANH NGOT 180G</t>
  </si>
  <si>
    <t>NƯỚC CỐT DỪA VIETCOCO 160ML</t>
  </si>
  <si>
    <t>BÁNH AFC VỊ RAU DINH DƯỠNG 172G</t>
  </si>
  <si>
    <t>RAU KINH GIỚI</t>
  </si>
  <si>
    <t>NGHỆ TƯƠI</t>
  </si>
  <si>
    <t>TRỨNG VỊT THƯỜNG</t>
  </si>
  <si>
    <t>BÁNH HỎI KOME | KOME 細いビーフン</t>
  </si>
  <si>
    <t>SƯƠNG SÁO ĐEN</t>
  </si>
  <si>
    <t>MÍA</t>
  </si>
  <si>
    <t>ĐU ĐỦ CHÍN</t>
  </si>
  <si>
    <t>XÀ BÔNG ROMANO DELUXE CLASSIC 90G</t>
  </si>
  <si>
    <t>XÀ BÔNG NƯỚC HOA X-MEN WOOD SPORT CHO NAM GIÚP KHỬ MÙI, THƠM LÂU 90G</t>
  </si>
  <si>
    <t>CHÂN GÀ RÚT XƯƠNG</t>
  </si>
  <si>
    <t>GIÒ BÒ VIETNAMDELI 450G</t>
  </si>
  <si>
    <t>GIÒ LỤA VIETNAMDELI｜ベトナム風ポークハム｜450G</t>
  </si>
  <si>
    <t>NƯỚC YẾN NGÂN NHĨ BIDRICO</t>
  </si>
  <si>
    <t>DỪA KHÔ</t>
  </si>
  <si>
    <t>BÁNH PÍA DỪA SẦU RIÊNG</t>
  </si>
  <si>
    <t>BÁNH QUẾ COSY XOÀI XÍ MUỘI</t>
  </si>
  <si>
    <t>BÁNH COSY QUẾ KEM VI DÂU 126G</t>
  </si>
  <si>
    <t>QUẤT-冷凍すだち</t>
  </si>
  <si>
    <t>LIPO BÁNH GATO CUỘN VỊ DÂU</t>
  </si>
  <si>
    <t>BÁNH LIPO TRỨNG SỮA</t>
  </si>
  <si>
    <t>MUỐI TÂY NINH ỚT CAY GÓI 200 GR</t>
  </si>
  <si>
    <t>LẠP XƯỞNG MAI QUẾ LỘ 300G /ラップスオンベトナムサラミ DELI</t>
  </si>
  <si>
    <t>BÒ VIÊN VIETNAMDELI</t>
  </si>
  <si>
    <t>VẢI ライチ</t>
  </si>
  <si>
    <t>PHỞ BÒ STORY CHINSU</t>
  </si>
  <si>
    <t>BÚN TƯƠI THAK</t>
  </si>
  <si>
    <t>MĂNG KHÔ NẤU LIỀN</t>
  </si>
  <si>
    <t>NGÔ NẾP</t>
  </si>
  <si>
    <t>CHẢ CÁ VIETNAMDELI｜豚肉と白身魚のさつま揚げ｜450G</t>
  </si>
  <si>
    <t>CHẢ MỰC VIETNAMDELI いかさつま揚げ</t>
  </si>
  <si>
    <t>MỌC SỐNG VIETNAMDELI</t>
  </si>
  <si>
    <t>CHẢ LỤA VIETNAMDELI</t>
  </si>
  <si>
    <t>CHẢ QUẾ VIETNAMDELI</t>
  </si>
  <si>
    <t>SỮA ĐẬU XANH 緑豆ミルク</t>
  </si>
  <si>
    <t>SỮA BẮP コーンミルク</t>
  </si>
  <si>
    <t>MÌ GẤU ĐỎ VỊ GÀ SỢI PHỞ HÀNH PHI GÓI 64G</t>
  </si>
  <si>
    <t>MÌ GẤU ĐỎ TÔM CHUA CAY 65G</t>
  </si>
  <si>
    <t>NƯỚC DỪA CÓ CƠM DỪA</t>
  </si>
  <si>
    <t>KHOAI MỠ / KHOAI TÍA</t>
  </si>
  <si>
    <t>CÀ DẦM TÔM- TRUNG THÀNH</t>
  </si>
  <si>
    <t>MÌ QUẢNG</t>
  </si>
  <si>
    <t>HƯỚNG DƯƠNG CHACHA NGŨ VỊ 260GR | ひまわりの種五の香</t>
  </si>
  <si>
    <t>HƯỚNG DƯƠNG CHACHA VỊ DỪA 260GR | ひまわりの種ココナツ味</t>
  </si>
  <si>
    <t>NUI BÒ LÁ CHANH</t>
  </si>
  <si>
    <t>TÚI ĐỰNG QUÀ</t>
  </si>
  <si>
    <t>NAM NGƯ ỚT TỎI LÝ SƠN 300ML</t>
  </si>
  <si>
    <t>MÌ TÔM 3 MIỀN BÒ HẦM RAU THƠM</t>
  </si>
  <si>
    <t>MÌ TÔM 3 MIỀN</t>
  </si>
  <si>
    <t>KẸO DỪA SÁP CAFFE MUỐI</t>
  </si>
  <si>
    <t>NƯỚC MẮM ĐỆ NHỊ 900ML</t>
  </si>
  <si>
    <t>MIẾN DONG LÀNG SO / DƯƠNG KIÊN 500G</t>
  </si>
  <si>
    <t>CHÁO GÀ VIFON 50G / INSTANT PORRIDGE CHICKEN FLAVOUR / チキン風味おかゆ</t>
  </si>
  <si>
    <t>BÁNH HỎI DUY ANH</t>
  </si>
  <si>
    <t>MÌ SƯỜN NON HẦM MĂNG</t>
  </si>
  <si>
    <t>SNACK NHÂN VỊ SỮA DỪA PILLOWS OISHI GÓI 100G</t>
  </si>
  <si>
    <t>CHẢ GIÒ RẾ CUA BIỂN KOME</t>
  </si>
  <si>
    <t>BỘT BÁNH XÈO TPX</t>
  </si>
  <si>
    <t>SỮA ĐẶC NUTIMILK</t>
  </si>
  <si>
    <t>NƯỚC MẮM CÁ CƠM ĐẶC SẢN HƯNG THỊNH 40 ĐỘ ĐẠM CHAI 750ML</t>
  </si>
  <si>
    <t>NƯỚC CỐT DỪA TƯƠI VIETCOCO 400ML</t>
  </si>
  <si>
    <t>NƯỚC MẮM CAO CẤP ASHIMI GOLD HƯƠNG CÁ HỒI THƯỢNG HẠNG 500ML</t>
  </si>
  <si>
    <t>KHOAI MÔN LỆ PHỐ</t>
  </si>
  <si>
    <t>CƠM CHÁY MẮM HÀNH</t>
  </si>
  <si>
    <t>MĂNG NỨA PHÚ VINH</t>
  </si>
  <si>
    <t>BÁNH PÍA ĐẬU SẦU RIÊNG CHAY</t>
  </si>
  <si>
    <t>BÁNH PÍA TÂN HUÊ VIÊN 1 TRỨNG 280GR</t>
  </si>
  <si>
    <t>BÁNH PHỒNG CUA</t>
  </si>
  <si>
    <t>GIÒ XÀO</t>
  </si>
  <si>
    <t>BÁNH HURA DELI HƯƠNG CỐM DỪA BIBICA 336G</t>
  </si>
  <si>
    <t>NHẬT MINH FOODS MĂNG LÁ TƯƠI 550G BAMBOO SHOOTS</t>
  </si>
  <si>
    <t>BÁNH AFC VỊ LÚA MÌ 200G 16H * 8 CÁI X 25G</t>
  </si>
  <si>
    <t>CÁ VIÊN BASA</t>
  </si>
  <si>
    <t>ỚT ĐÔNG LẠNH</t>
  </si>
  <si>
    <t>CHẢ GIÒ RẾ HẢI SẢN KOME | 揚げ春巻き</t>
  </si>
  <si>
    <t>BÁNH ĐA LƯƠNG SƠN ĂN LIỀN</t>
  </si>
  <si>
    <t>MIẾN PHÚ HƯƠNG THỊT BẰM</t>
  </si>
  <si>
    <t>ĐỖ XANH 500G</t>
  </si>
  <si>
    <t>BÁNH PÍA 6 SAO</t>
  </si>
  <si>
    <t>KẸO CHEW CAM</t>
  </si>
  <si>
    <t>MÌ A-ONE THỊT XÀO</t>
  </si>
  <si>
    <t>TƯƠNG ỚT ASHIMI</t>
  </si>
  <si>
    <t>MỲ GẠO CHŨ DƯƠNG KIÊN 500G/ ライスヌドール</t>
  </si>
  <si>
    <t>KẸO CHEW NHO ĐEN 105G</t>
  </si>
  <si>
    <t>KẸO HẢI HÀ CHEW VỊ KHOAI MÔN 100G</t>
  </si>
  <si>
    <t>NƯỚC DỪA XIÊM XANH COCOXIM 1 LÍT</t>
  </si>
  <si>
    <t>NƯỚC UỐNG CHANH DÂY WONDERFARM 320ML</t>
  </si>
  <si>
    <t>NƯỚC ME WONDERFARM LON 310ML</t>
  </si>
  <si>
    <t>BÁNH DỪA NƯỚNG ĐẬU PHỘNG ĐỎ ココナッツクラッカー</t>
  </si>
  <si>
    <t>WAKE UP 247</t>
  </si>
  <si>
    <t>BÚN BÒ HUẾ DUY ANH/ ブンボフエ 300GR</t>
  </si>
  <si>
    <t>KẸO CHEW ĐẬU ĐỎ</t>
  </si>
  <si>
    <t>BÁNH TƯƠI KARO 6 CHIẾC/TÚI</t>
  </si>
  <si>
    <t>XÚC XÍCH TIỆT TRÙNG CP RED 200G</t>
  </si>
  <si>
    <t>DẦU ĐIỀU</t>
  </si>
  <si>
    <t>KẸO DYNAMITE BIGBANG HƯƠNG BẠC HÀ NHÂN SOCOLA</t>
  </si>
  <si>
    <t>SẤU ĐÔNG LẠNH</t>
  </si>
  <si>
    <t>MÈ XỬNG HOÀNG LONG</t>
  </si>
  <si>
    <t>BÁNH PÍA MINI LÁ DỨA</t>
  </si>
  <si>
    <t>GIA VỊ CÁ KHO RIỀNG KNOR</t>
  </si>
  <si>
    <t>THỊT KHO TÀU KNORR</t>
  </si>
  <si>
    <t>TƯƠNG BẦN HƯNG YÊN</t>
  </si>
  <si>
    <t>XỐT GIA VỊ HOÀN CHỈNH BARONA CÁ/ THỊT KHO 80GR</t>
  </si>
  <si>
    <t>BỘT GÀ RANG MUỐI KME</t>
  </si>
  <si>
    <t>NƯỚC YẾN TRẮNG WONDERFARM 250ML</t>
  </si>
  <si>
    <t>BÚN RIÊU CUA VIFON GÓI 80G</t>
  </si>
  <si>
    <t>LƯƠN ĐÔNG LẠNH 500G</t>
  </si>
  <si>
    <t>BÁNH PÍA HẢI SƠN TÚI TO</t>
  </si>
  <si>
    <t>MỨT DỪA SẤY GIÒN</t>
  </si>
  <si>
    <t>TĂM CAY ĐEN</t>
  </si>
  <si>
    <t>LƯƠNG KHÔ HẢI CHÂU 5*</t>
  </si>
  <si>
    <t>BÁNH ĐA KHÔ VIFON 300G</t>
  </si>
  <si>
    <t>BÁNH ĐẬU XANH HÒA AN 200G</t>
  </si>
  <si>
    <t>BỘT RAU CÂU CON CÁ DẺO</t>
  </si>
  <si>
    <t>VỎ RAM HÀ TĨNH</t>
  </si>
  <si>
    <t>VIFON BÚN GIÒ HEO 65G INSTANT RICE NOODLE</t>
  </si>
  <si>
    <t>PINATSU CỐT DỪA 85G</t>
  </si>
  <si>
    <t>BÁNH PÍA MINI SẦU RIÊNG</t>
  </si>
  <si>
    <t>BÁNH TRỨNG CUSTAS</t>
  </si>
  <si>
    <t>BÁNH TRỨNG SỮA MỀM VỊ CỐM DỪA BELGI</t>
  </si>
  <si>
    <t>合同会社Truong Giang</t>
    <rPh sb="0" eb="4">
      <t>ゴウド</t>
    </rPh>
    <phoneticPr fontId="0"/>
  </si>
  <si>
    <t>電話番号：080-2372-6019</t>
    <rPh sb="0" eb="3">
      <t>デンワバンゴ</t>
    </rPh>
    <rPh sb="3" eb="4">
      <t>ゴウ</t>
    </rPh>
    <phoneticPr fontId="0"/>
  </si>
  <si>
    <t>在庫管理</t>
    <rPh sb="0" eb="2">
      <t>ザイコカンイ</t>
    </rPh>
    <rPh sb="2" eb="4">
      <t>カンリ</t>
    </rPh>
    <phoneticPr fontId="0"/>
  </si>
  <si>
    <r>
      <rPr>
        <sz val="18"/>
        <color theme="1"/>
        <rFont val="游ゴシック"/>
        <family val="2"/>
        <charset val="128"/>
      </rPr>
      <t>担当</t>
    </r>
    <r>
      <rPr>
        <sz val="18"/>
        <color theme="1"/>
        <rFont val="Times New Roman"/>
        <family val="1"/>
      </rPr>
      <t xml:space="preserve"> : Nguyen Van Giang</t>
    </r>
  </si>
  <si>
    <t>MÃ SẢN PHẨM</t>
    <phoneticPr fontId="0"/>
  </si>
  <si>
    <t>TÊN SẢN PHẨM</t>
    <phoneticPr fontId="0"/>
  </si>
  <si>
    <t>TỒN KHO</t>
    <phoneticPr fontId="0"/>
  </si>
  <si>
    <t>コード</t>
    <phoneticPr fontId="0"/>
  </si>
  <si>
    <t>商品名</t>
    <rPh sb="0" eb="3">
      <t>ショウヒn</t>
    </rPh>
    <phoneticPr fontId="0"/>
  </si>
  <si>
    <t>原価</t>
    <rPh sb="0" eb="2">
      <t>ゲンカ</t>
    </rPh>
    <phoneticPr fontId="0"/>
  </si>
  <si>
    <t>個数</t>
    <rPh sb="0" eb="2">
      <t>コスウ</t>
    </rPh>
    <phoneticPr fontId="0"/>
  </si>
  <si>
    <t>小計</t>
    <rPh sb="0" eb="2">
      <t>ショウケイ</t>
    </rPh>
    <phoneticPr fontId="0"/>
  </si>
  <si>
    <t>GIÁ TRỊ KHO</t>
  </si>
  <si>
    <t>GIÁ VỐN</t>
  </si>
  <si>
    <t>合計</t>
  </si>
  <si>
    <r>
      <t>店名：Kokura Xuân Shop Vi</t>
    </r>
    <r>
      <rPr>
        <b/>
        <sz val="18"/>
        <color theme="1"/>
        <rFont val="Cambria"/>
        <family val="1"/>
      </rPr>
      <t>ệ</t>
    </r>
    <r>
      <rPr>
        <b/>
        <sz val="18"/>
        <color theme="1"/>
        <rFont val="Yu Gothic"/>
        <family val="3"/>
        <charset val="1"/>
      </rPr>
      <t>t Nh</t>
    </r>
    <r>
      <rPr>
        <b/>
        <sz val="18"/>
        <color theme="1"/>
        <rFont val="Cambria"/>
        <family val="1"/>
      </rPr>
      <t>ậ</t>
    </r>
    <r>
      <rPr>
        <b/>
        <sz val="18"/>
        <color theme="1"/>
        <rFont val="Yu Gothic"/>
        <family val="3"/>
        <charset val="1"/>
      </rPr>
      <t>t</t>
    </r>
  </si>
  <si>
    <r>
      <rPr>
        <b/>
        <sz val="18"/>
        <color theme="1"/>
        <rFont val="游ゴシック"/>
        <family val="2"/>
        <charset val="128"/>
      </rPr>
      <t>住所：</t>
    </r>
    <r>
      <rPr>
        <b/>
        <sz val="18"/>
        <color theme="1"/>
        <rFont val="Times New Roman"/>
        <family val="1"/>
      </rPr>
      <t>福岡県北九州市小倉北区浅野2丁目18番29号</t>
    </r>
  </si>
  <si>
    <t>BÁNH PÍA CHAY HẢI SƠN GÓI 300G</t>
  </si>
  <si>
    <t>BỘT NĂNG VĨNH THUẬN GÓI 400G</t>
  </si>
  <si>
    <t>BÚN BÒ HUẾ DUY ANH GÓI TO 400G</t>
  </si>
  <si>
    <t>TƯƠNG ỚT CHUA NGỌT THỦY TINH 270G S 27/04</t>
  </si>
  <si>
    <t>BÁNH TRÁNG SIÊU MỎNG DUY ANH 300G</t>
  </si>
  <si>
    <t>MIẾN DONG 500G</t>
  </si>
  <si>
    <t>SẦU RIÊNG HỘP NHỰA 500G</t>
  </si>
  <si>
    <t>SẦU RIÊNG MONTHONG 300G</t>
  </si>
  <si>
    <t>LÁ CHANH 100G</t>
  </si>
  <si>
    <t>MÌ TÔM 3 MIỀN GOLD CHUA CAY 3 CẤP ĐỘ 75G</t>
  </si>
  <si>
    <t>MIẾN ĐẬU XANH PHÚ HƯƠNG HƯƠNG VỊ SƯỜN HEO GÓI 58G</t>
  </si>
  <si>
    <t>AFC VỊ CỐM 109G</t>
  </si>
  <si>
    <t>SET LÒNG DỒI 500G</t>
  </si>
  <si>
    <t>ĐẬU COVE 1KG</t>
  </si>
  <si>
    <t>TÁO VN 500GR</t>
  </si>
  <si>
    <t>MẮM TÔM THUỶ SẢN 250G</t>
  </si>
  <si>
    <t>BIM BIM MIX</t>
  </si>
  <si>
    <t>CƠM MẺ</t>
  </si>
  <si>
    <t>GÀ TO</t>
  </si>
  <si>
    <t>LÁ GIANG</t>
  </si>
  <si>
    <t>CHÂN GÀ SẢ TẮC ĂN CÙNG BÀ TUYẾT</t>
  </si>
  <si>
    <t>VỊT LỘN</t>
  </si>
  <si>
    <t>MƯỚP ĐẮNG</t>
  </si>
  <si>
    <t>BỘT RANG MUỐI TUẤN PHƯƠNG 45G</t>
  </si>
  <si>
    <t>SNACK NHÂN ĐẬU PHỘNG VỊ NƯỚC CỐT DỪA PINATTSU OISHI GÓI 100G/20</t>
  </si>
  <si>
    <t>CHÂN GÀ BÀ TUYẾT</t>
  </si>
  <si>
    <t>MÌ GẠO CHŨ HÙNG LÔ</t>
  </si>
  <si>
    <t>MỘC NGHĨ 100G</t>
  </si>
  <si>
    <t>XÔI GẤC</t>
  </si>
  <si>
    <t>GÀ NGUYÊN CON</t>
  </si>
  <si>
    <t>CÀ PHÊ HÒA TAN G7 3IN1 TRUNG NGUYÊN 21 GÓI</t>
  </si>
  <si>
    <t>MĂNG CỦ PHÚ VINH</t>
  </si>
  <si>
    <t>ĐỨC HẠNH KẸO DẺO BẮP VIỆT 400G</t>
  </si>
  <si>
    <t>MÌ 3 MIỀN GOLD CHUA CAY THÁI</t>
  </si>
  <si>
    <t>BÁNH AKIKO</t>
  </si>
  <si>
    <t>DẦU MÀU ĐIỀU DH FOOD 100ML</t>
  </si>
  <si>
    <t>TÉP ĐÔNG LẠNH 300GR</t>
  </si>
  <si>
    <t>BÁNH ĂN SÁNG C'EST BON SANDWICH_SỐT PHÔ MAI CHÀ BÔNG</t>
  </si>
  <si>
    <t>BÁNH BON VỊ BƠ TỎI ĐÚT LÒ</t>
  </si>
  <si>
    <t>DH FOODS TAY NINH SHRIMP SALT 60G MUỐI TÔM TÂY NINH 60G シュリンプソルト60G</t>
  </si>
  <si>
    <t>KHAY OMAI TRÁI CÂY</t>
  </si>
  <si>
    <t>OMAI MIX VỊ</t>
  </si>
  <si>
    <t>NUTI DÂU</t>
  </si>
  <si>
    <t>KHAY MIX HẠT</t>
  </si>
  <si>
    <t>MÌ HOÀNH THÁNH</t>
  </si>
  <si>
    <t>BÁNH PHỞ KHÔ BÔNG LÚA VÀNG XANH</t>
  </si>
  <si>
    <t>SET ĐÙI</t>
  </si>
  <si>
    <t>NẦM LỢN</t>
  </si>
  <si>
    <t>ĐẬU COVE 400GR</t>
  </si>
  <si>
    <t>MIẾN DONG MIONI | MIONI ライスヌードル</t>
  </si>
  <si>
    <t>GÀ ĐÔNG LẠNH</t>
  </si>
  <si>
    <t>THỊT TAI THỦ</t>
  </si>
  <si>
    <t>GẠO NHẬT 5KG</t>
  </si>
  <si>
    <t>MÌ GÓI HẢO 100</t>
  </si>
  <si>
    <t>SƯỜN MIẾNG</t>
  </si>
  <si>
    <t>CHÂN GÀ ĂN LIỀN ANNA LALA ĐỎ</t>
  </si>
  <si>
    <t>CHÂN GÀ ĂN LIỀN ANNA LALA XANH</t>
  </si>
  <si>
    <t>SÁCH BÒ TRẮNG</t>
  </si>
  <si>
    <t>RIỀNG CỦ ĐÔNG LẠNH</t>
  </si>
  <si>
    <t>TRỨNG GÀ LỘN</t>
  </si>
  <si>
    <t>SỮA HẠT HẠNH NHÂN VINAMILK 180ML</t>
  </si>
  <si>
    <t>CHÂN GÀ RÚT XƯƠNG KHAY 500GR</t>
  </si>
  <si>
    <t>ĐẦU HEO</t>
  </si>
  <si>
    <t>NABATI CHOCOLATE 50G</t>
  </si>
  <si>
    <t>BÁNH QUẾ COSY VỊ DỨA</t>
  </si>
  <si>
    <t>MĂNG CHUA KIM BÔI THÁI SẴN 200G</t>
  </si>
  <si>
    <t>BIM BIM</t>
  </si>
  <si>
    <t>CHUỐI SẤY MÈ GỪNG</t>
  </si>
  <si>
    <t>BÁNH KEM XỐP PHÔ MAI RICHEESE NABATI CHEESE WAFER GÓI 110G</t>
  </si>
  <si>
    <t>BÁNH KEM XỐP PHÔ MAI RICHEESE NABATI GÓI 50G</t>
  </si>
  <si>
    <t>VỊT CẮT SẴN</t>
  </si>
  <si>
    <t>SÁCH BÒ ĐEN</t>
  </si>
  <si>
    <t>PHÈO PHỌT/ LÒNG NON</t>
  </si>
  <si>
    <t>DẦU GỘI ĐẦU</t>
  </si>
  <si>
    <t>SHIP 175</t>
  </si>
  <si>
    <t>MĂNG ỚT MẮC MẬT 550G</t>
  </si>
  <si>
    <t>BÁNH ỐNG QUẾ THÁI LAN 180G</t>
  </si>
  <si>
    <t>MĂNG DẦM ỚT TÂM ĐỨC 500G</t>
  </si>
  <si>
    <t>XƯƠNG ỐNG HEO</t>
  </si>
  <si>
    <t>GẠO NHẬT 10KG</t>
  </si>
  <si>
    <t>MÁ HEO</t>
  </si>
  <si>
    <t>CHÂN GÀ DÀI</t>
  </si>
  <si>
    <t>GÀ ĐÔNG LẠNH SIZE 1.2-1.6KG</t>
  </si>
  <si>
    <t>CÀ PHÊ PHỐ ĐEN ĐÁ</t>
  </si>
  <si>
    <t>MÍT TÚI ĐÔNG LẠNH 250G</t>
  </si>
  <si>
    <t>NƯỚC DỪA ĐEN</t>
  </si>
  <si>
    <t>PHỞ GÀ GOOD (MÌ GÀ SỢI PHỞ)</t>
  </si>
  <si>
    <t>ĐÙI GÀ Ủ MUỐI</t>
  </si>
  <si>
    <t>CHÂN GÀ SỐT THÁI</t>
  </si>
  <si>
    <t>CHÂN GÀ SẢ TẮC</t>
  </si>
  <si>
    <t>CÁNH GÀ Ủ MUỐI</t>
  </si>
  <si>
    <t>CHÂN GÀ Ủ MUỐI</t>
  </si>
  <si>
    <t>DẦU HÀO MAGGI 350G</t>
  </si>
  <si>
    <t>TÁO ĐỎ KẸP SỮA &amp; HẠT ĐIỀU</t>
  </si>
  <si>
    <t>DỪA NON CẮT SỢI 250G</t>
  </si>
  <si>
    <t>GẤC ĐÔNG LẠNH 250G</t>
  </si>
  <si>
    <t>BÁNH ƯỚT DUY ANH 400G</t>
  </si>
  <si>
    <t>GÀ NON</t>
  </si>
  <si>
    <t>MUỐI TIÊU CHANH ỚT DH 50G</t>
  </si>
  <si>
    <t>CHÀ BÔNG 200G</t>
  </si>
  <si>
    <t>BÁNH GẠO NƯỚNG AN CỐM SEN ORION 168G</t>
  </si>
  <si>
    <t>CHẢ CÁ BASA VIÊN 400G</t>
  </si>
  <si>
    <t>CÁ THÁC LÁC XAY / 冷凍カタラ 300G</t>
  </si>
  <si>
    <t>OMAI HOÀNG ÁNH</t>
  </si>
  <si>
    <t>DƯA CẢI MUỐI</t>
  </si>
  <si>
    <t>MĂNG DẦM ỚT TÂM ĐỨC 800G</t>
  </si>
  <si>
    <t>SHIP 80</t>
  </si>
  <si>
    <t>DỒI SỤN</t>
  </si>
  <si>
    <t>DẤM GẠO NẾP THỦY SẢN 1 CHAI 500ML</t>
  </si>
  <si>
    <t>NƯỚC ME LON FOCO 350ML</t>
  </si>
  <si>
    <t>SHIP 60</t>
  </si>
  <si>
    <t>NƯỚC CHANH MUỐI 360 355ML</t>
  </si>
  <si>
    <t>BÁNH TRÁNG SAFOCO</t>
  </si>
  <si>
    <t>MUỐI TÔM ỚT TÂY NINH DH FOODS 120G</t>
  </si>
  <si>
    <t>NƯỚC DÙNG HOÀN CHỈNH BARONA-LẨU THÁI</t>
  </si>
  <si>
    <t>CHÁO GÀ GẤU ĐỎ</t>
  </si>
  <si>
    <t>MUỐI ƠT CHANH NT DH FOODS 200G + HT</t>
  </si>
  <si>
    <t>ĐỌT BÍ</t>
  </si>
  <si>
    <t>XỐT GIA VỊ HOÀN CHỈNH BARONA CÁ KHO RIỀNG</t>
  </si>
  <si>
    <t>QUẢ HỒNG</t>
  </si>
  <si>
    <t>SỮA ĐẬU NÀNH SOY</t>
  </si>
  <si>
    <t>ÓC HEO SÉT 9 CÁI</t>
  </si>
  <si>
    <t>ÓC HEO SÉT 6 CÁI</t>
  </si>
  <si>
    <t>BỘT CHIÊN GIÒN VĨNH THUẬN 150G</t>
  </si>
  <si>
    <t>MẮM CÁ LINH 400G</t>
  </si>
  <si>
    <t>TRÁI SẤU ĐÔNG LẠNH 冷凍ドラコントメロン 500HG</t>
  </si>
  <si>
    <t>MẮM TÔM TÂM ĐỨC 200G</t>
  </si>
  <si>
    <t>ĐÀO XANH</t>
  </si>
  <si>
    <t>ĐÀO HỒNG SIZE 2-4</t>
  </si>
  <si>
    <t>TÉP ĐÔNG LẠNH 500G</t>
  </si>
  <si>
    <t>BỘT CỐT DỪA THÁI</t>
  </si>
  <si>
    <t>SHIP 50 YÊN</t>
  </si>
  <si>
    <t>NEM CHUA TO</t>
  </si>
  <si>
    <t>KHẾ NGỌT</t>
  </si>
  <si>
    <t>SET TRÀ SỮA</t>
  </si>
  <si>
    <t>ĐÁ ME TẤN LỘC 500G</t>
  </si>
  <si>
    <t>CHẢ CUA HUẾ</t>
  </si>
  <si>
    <t>BÁNH NƯỚNG THẬP CẨM LẠP XƯỞNG MỘT TRỨNG KINH ĐÔ GÓI 150G</t>
  </si>
  <si>
    <t>TẮC XÍ MUỘI TẤN LỘC</t>
  </si>
  <si>
    <t>SỮA ĐẬU NÀNH ÓC CHÓ 180ML</t>
  </si>
  <si>
    <t>KEM ĐÁ - SỮA CHUA YAOURT</t>
  </si>
  <si>
    <t>LÊ ỔI SIZE</t>
  </si>
  <si>
    <t>BỘT CHIÊN GIÒN VĨNH THUẬN GÓI 150G</t>
  </si>
  <si>
    <t>DỌC MÙNG</t>
  </si>
  <si>
    <t>CHÂN GÀ GUANGZHOU LẺ 32GR</t>
  </si>
  <si>
    <t>TRỨNG VỊT LẠT</t>
  </si>
  <si>
    <t>KẸO OISHI VỊ VẢI 90G</t>
  </si>
  <si>
    <t>RAU NGỔ</t>
  </si>
  <si>
    <t>CHUỐI SỨ</t>
  </si>
  <si>
    <t>CHÈ TÚI</t>
  </si>
  <si>
    <t>VỊT LỘN NHỎ</t>
  </si>
  <si>
    <t>BÁNH TRUNG THU HẠT SEN TRÀ XANH 1 TRỨNG</t>
  </si>
  <si>
    <t>ĐỖ XANH NGUYÊN HẠT 500G</t>
  </si>
  <si>
    <t>DẦU CHUỐI</t>
  </si>
  <si>
    <t>BÁNH TRUNG THU DẺO HẠT SEN 1 TRỨNG</t>
  </si>
  <si>
    <t>BÁNH TRUNG THU DẺO ĐẬU XANH 1 TRỨNG</t>
  </si>
  <si>
    <t>BÁNH TRUNG THU SỮA DỪA 1 TRỨNG</t>
  </si>
  <si>
    <t>BÁNH TRUNG THU THẬP CẨM LẠP XƯỞNG 0 TRỨNG</t>
  </si>
  <si>
    <t>BÁNH TRUNG THU THẬP CẨM JAMBON 1 TRỨNG</t>
  </si>
  <si>
    <t>BÁNH TRUNG THU KHOAI MÔN 1 TRỨNG</t>
  </si>
  <si>
    <t>BÁNH TRUNG THU ĐẬU XANH 0 TRỨNG</t>
  </si>
  <si>
    <t>BÁNH TRUNG THU HẠT SEN 1 TRỨNG</t>
  </si>
  <si>
    <t>BÁNH TRUNG THU ĐẬU XANH LÁ DỨA 1 TRỨNG</t>
  </si>
  <si>
    <t>BÁNH TRUNG THU ĐẬU XANH 1 TRỨNG</t>
  </si>
  <si>
    <t>BÚN TƯƠI DUY ANH / DUY ANH ビーフン 300G</t>
  </si>
  <si>
    <t>SỮA TH TRUE MILK NGUYÊN CHẤT 110ML</t>
  </si>
  <si>
    <t>ỚT TƯƠI TÚI 200G</t>
  </si>
  <si>
    <t>KHÔ GÀ GÓI TO</t>
  </si>
  <si>
    <t>BỘT RAU CÂU GIÒN AGAR GÓI 25G</t>
  </si>
  <si>
    <t>KHÔ HEO CHÁY TỎI</t>
  </si>
  <si>
    <t>LÒNG GIÀ</t>
  </si>
  <si>
    <t>BÁNH BÔNG LAN HURA DELI HƯƠNG DỪA DÂU 168G</t>
  </si>
  <si>
    <t>MÌ SIUKAY VỊ BÒ</t>
  </si>
  <si>
    <t>MÌ HẢI SẢN SIUKAY GÓI 128G</t>
  </si>
  <si>
    <t>QUẢ CHANH LEO</t>
  </si>
  <si>
    <t>MUỐI ỚT TÂY NINH HSC / チリソルト 95G</t>
  </si>
  <si>
    <t>CÀ PHÁO</t>
  </si>
  <si>
    <t>SET LÒNG DỒI ~1KG</t>
  </si>
  <si>
    <t>MỰC CÁN NHA TRANG</t>
  </si>
  <si>
    <t>TRỨNG GÀ</t>
  </si>
  <si>
    <t>TẮC TƯƠI</t>
  </si>
  <si>
    <t>DỪA VỎ XANH</t>
  </si>
  <si>
    <t>NƯỚC DỪA FOCO NHỎ 350ML</t>
  </si>
  <si>
    <t>MẬN CHÍN TO</t>
  </si>
  <si>
    <t>VỊT VỮA</t>
  </si>
  <si>
    <t>NHẬT MINH FOODS MĂNG VẦU ĂN LIỀN 550G</t>
  </si>
  <si>
    <t>TIẾT ĐÔNG LẠNH 500ML</t>
  </si>
  <si>
    <t>GÀ CHẶT SẴN KHAY</t>
  </si>
  <si>
    <t>SU SU</t>
  </si>
  <si>
    <t>LÁ CHUỐI</t>
  </si>
  <si>
    <t>CÁ KÌNH</t>
  </si>
  <si>
    <t>KỈ TỬ 300G</t>
  </si>
  <si>
    <t>TÁO ĐỎ 500G</t>
  </si>
  <si>
    <t>ROI ĐỎ OKINAWA</t>
  </si>
  <si>
    <t>XOÀI BAO TỬ SIZE VỪA</t>
  </si>
  <si>
    <t>BÁNH HURA CỐM DỪA 6X28</t>
  </si>
  <si>
    <t>VẢI THIỀU ĐÔNG LẠNH HỘP 冷凍ライチ ( 箱形)</t>
  </si>
  <si>
    <t>HẠT NÊM AJI-NGON 400G</t>
  </si>
  <si>
    <t>DỪA QUẢ</t>
  </si>
  <si>
    <t>VỊT QUAY NGUYÊN CON</t>
  </si>
  <si>
    <t>CHÈ CỐC</t>
  </si>
  <si>
    <t>BÁNH HURA DELI HƯƠNG SỮA DÂU BIBICA</t>
  </si>
  <si>
    <t>BÁNH GẤU CHÀ BÔNG</t>
  </si>
  <si>
    <t>XOÀI BAO TỬ</t>
  </si>
  <si>
    <t>BÁNH ĐA ĐÔ LƯƠNG CHƯA NƯỚNG</t>
  </si>
  <si>
    <t>NƯỚC TĂNG LỰC NHÂN SÂM STING VÀNG CHAI 330ML</t>
  </si>
  <si>
    <t>SHIP 50</t>
  </si>
  <si>
    <t>SHIP 100</t>
  </si>
  <si>
    <t>MÌ LẨU THÁI ACECOOK 80G</t>
  </si>
  <si>
    <t>CHÈ CỐM</t>
  </si>
  <si>
    <t>TRÀ THÁI ĐỎ</t>
  </si>
  <si>
    <t>TRÀ THÁI XANH</t>
  </si>
  <si>
    <t>HÚNG CÂY( RAU THƠM)</t>
  </si>
  <si>
    <t>RIỀNG CỦ</t>
  </si>
  <si>
    <t>BÁNH BÔNG LAN 1 LỚP</t>
  </si>
  <si>
    <t>CHÈ THÁI</t>
  </si>
  <si>
    <t>BÔNG LAN TRỨNG MUỐI 1 LỚP</t>
  </si>
  <si>
    <t>SHIP 165</t>
  </si>
  <si>
    <t>CẢI CÚC</t>
  </si>
  <si>
    <t>LẠP XƯỞNG 300GR</t>
  </si>
  <si>
    <t>BÁNH XU XUÊ</t>
  </si>
  <si>
    <t>TÍA TÔ</t>
  </si>
  <si>
    <t>CỦ DỀN</t>
  </si>
  <si>
    <t>HỒI+QUẾ+THẢO QUẢ</t>
  </si>
  <si>
    <t>ỚT BỘT TÚI 100GR</t>
  </si>
  <si>
    <t>CƠM CHÁY ỚT RIM MẬT ONG</t>
  </si>
  <si>
    <t>DA HEO TỎI ỚT</t>
  </si>
  <si>
    <t>XOÀI CÁT CHU LOẠI 2</t>
  </si>
  <si>
    <t>XOÀI LOẠI 2</t>
  </si>
  <si>
    <t>NHÃN ĐÔNG LẠNH - HỘP</t>
  </si>
  <si>
    <t>NẾP THÁI</t>
  </si>
  <si>
    <t>BÁNH CHƯNG TO</t>
  </si>
  <si>
    <t>BÁNH TÉT</t>
  </si>
  <si>
    <t>NƯỚC ỔI</t>
  </si>
  <si>
    <t>NƯỚC MÃN CẦU</t>
  </si>
  <si>
    <t>MIẾN DONG 200G</t>
  </si>
  <si>
    <t>MỘC NHĨ 50G</t>
  </si>
  <si>
    <t>CHÁO GẤU ĐỎ</t>
  </si>
  <si>
    <t>NƯỚC ME</t>
  </si>
  <si>
    <t>QUẢ NA</t>
  </si>
  <si>
    <t>CÓC TƯƠI</t>
  </si>
  <si>
    <t>QUẨY HÀNH</t>
  </si>
  <si>
    <t>BÁNH DỪA NƯỚNG TOPCOCO</t>
  </si>
  <si>
    <t>BÚN TƯƠI HOA HỒNG</t>
  </si>
  <si>
    <t>MỨT GỪNG</t>
  </si>
  <si>
    <t>KẸO DỪA</t>
  </si>
  <si>
    <t>ĐÀO BỔ</t>
  </si>
  <si>
    <t>OMAI</t>
  </si>
  <si>
    <t>ĐẬU PHỘNG DA CÁ</t>
  </si>
  <si>
    <t>MỰC SỢI</t>
  </si>
  <si>
    <t>RAU MUỐNG</t>
  </si>
  <si>
    <t>MĂNG CHUA MIRAI</t>
  </si>
  <si>
    <t>MẮM CÁ LINH</t>
  </si>
  <si>
    <t>VANI HỘP</t>
  </si>
  <si>
    <t>ĐỖ XANH 1KG</t>
  </si>
  <si>
    <t>MỨT HỘP TẾT</t>
  </si>
  <si>
    <t>SET VỊT GIẢ CẦY</t>
  </si>
  <si>
    <t>PHÍ SHIP BƯU ĐIỆN KHU VỰC 1 (KIÊN HÀNG DƯỚI 30KG)</t>
  </si>
  <si>
    <t>CÁ NỤC 1 NẮNG</t>
  </si>
  <si>
    <t>GÀ Ủ MUỐI</t>
  </si>
  <si>
    <t>RED BULL BÒ HÚC MẪU MỚI</t>
  </si>
  <si>
    <t>BỘT CANH VIFON</t>
  </si>
  <si>
    <t>BÁNH SẦU PHÚ SĨ</t>
  </si>
  <si>
    <t>CÁ TRẮM CẮT KHÚC</t>
  </si>
  <si>
    <t>NƯỚC BÍ ĐAO</t>
  </si>
  <si>
    <t>BÁNH TRỨNG SOLITE</t>
  </si>
  <si>
    <t>MỨT DỪA</t>
  </si>
  <si>
    <t>HẠT DƯA</t>
  </si>
  <si>
    <t>HẠT BÍ</t>
  </si>
  <si>
    <t>MÌ 3 MIỀN GOLD VỊ BÒ HẦM RAU THƠM</t>
  </si>
  <si>
    <t>SHIP 350</t>
  </si>
  <si>
    <t>KHẤU ĐUÔI</t>
  </si>
  <si>
    <t>SHIP</t>
  </si>
  <si>
    <t>ZUM ZUM VỊ BÒ XỐT TIÊU</t>
  </si>
  <si>
    <t>CÁ MÒI XỐT CÀ CHUA NẮP GIẬT 3 CÔ GÁI HỘP 155G</t>
  </si>
  <si>
    <t>CƠM CHÁY CHÀ BÔNG CAO CẤP KIMKIM TIẾN VUA 200G</t>
  </si>
  <si>
    <t>MÌ 3 MIỀN GOLD VỊ CHUA CAY</t>
  </si>
  <si>
    <t>XỐT GIA VỊ HOÀN CHỈNH BARONA THỊT RAM 80G</t>
  </si>
  <si>
    <t>NƯỚC DÙNG HOÀN CHỈNH BARONA PHỞ BÒ 150G</t>
  </si>
  <si>
    <t>BÁNH TRÁNG TÂN NIÊN 120G</t>
  </si>
  <si>
    <t>CHIM CÚT 5 CON</t>
  </si>
  <si>
    <t>SET GIẢ CẦY</t>
  </si>
  <si>
    <t>NƯỚC CỐT DỪA WONDERFARM NHỎ 160ML</t>
  </si>
  <si>
    <t>VỊT QUAY 1/2 CON</t>
  </si>
  <si>
    <t>BÁNH PÍA ĐẬU SẦU RIÊNG 2 SAO</t>
  </si>
  <si>
    <t>PÍA SẦU RIÊNG 280G</t>
  </si>
  <si>
    <t>MUỐI ỚT CHUA CAY ĐỨC HẢI 500G</t>
  </si>
  <si>
    <t>MÌ 3 MIỀN TÔM HÙM GÓI 65G</t>
  </si>
  <si>
    <t>ME NON</t>
  </si>
  <si>
    <t>BÁNH TIPO SẦU RIÊNG</t>
  </si>
  <si>
    <t>RAMI BÁNH QUẾ VỊ VANI 55G GÓI HC</t>
  </si>
  <si>
    <t>BÁNH RITO QUẾ VỊ KEMVANI ỐNG 128G</t>
  </si>
  <si>
    <t>SỐT RANG ME CHOLIMEX</t>
  </si>
  <si>
    <t>TƯƠNG ỚT CHOLIMEX CHAI 270G</t>
  </si>
  <si>
    <t>BÁNH TRÁNG ỚT TINH NGUYÊN TÂY NINH 200G</t>
  </si>
  <si>
    <t>BÁNH TRÁNG TRẮNG 200G</t>
  </si>
  <si>
    <t>SA TẾ TÔM XO 170G</t>
  </si>
  <si>
    <t>PHỞ KHÔ XUÂN SHOP</t>
  </si>
  <si>
    <t>BÚN BÒ HUẾ XUÂN SHOP</t>
  </si>
  <si>
    <t>BÁNH TRÁNG CAO CẤP TINH NGUYÊN</t>
  </si>
  <si>
    <t>BÁNH TRÁNG ỚT TINH NGUYÊN</t>
  </si>
  <si>
    <t>HẾN ĐÔNG LẠNH</t>
  </si>
  <si>
    <t>BÁNH QUẾ RITO VỊ SOCOLA 128G X 32</t>
  </si>
  <si>
    <t>BÁNH CHƯNG NHỎ</t>
  </si>
  <si>
    <t>LẠC NHÂN</t>
  </si>
  <si>
    <t>BÁNH TRÁNG NƯỚNG PHÔ MAI</t>
  </si>
  <si>
    <t>SNACK BÁNH TRÁNG NƯỚNG CHÀ BÔNG</t>
  </si>
  <si>
    <t>GIA VỊ BÚN BÒ HUẾ BARONA</t>
  </si>
  <si>
    <t>NƯỚC MẮM ĂN LIỀN CHOLIMEX CHAI THỦY TINH 290G</t>
  </si>
  <si>
    <t>MỲ BA MIỀN TÔM CHUA CAY</t>
  </si>
  <si>
    <t>MĂNG CHUA KIM BỒI</t>
  </si>
  <si>
    <t>ĐẶC SẢN MĂNG CHUA NGƯỜI THÁI</t>
  </si>
  <si>
    <t>DƯA CẢI MUỐI SẴN</t>
  </si>
  <si>
    <t>KẸO GOLIA</t>
  </si>
  <si>
    <t>DẦU PHẬT LINH TRƯỜNG SƠN 5ML</t>
  </si>
  <si>
    <t>BÚN TƯƠI XUÂN SHOP</t>
  </si>
  <si>
    <t>LẠC TƯƠI</t>
  </si>
  <si>
    <t>SNACK PILLOWS OISHI NHÂN SÔ CÔ LA 100G</t>
  </si>
  <si>
    <t>BÁNH TRUNG THU THẬP CẨM GÀ QUAY</t>
  </si>
  <si>
    <t>CHÈ NẾP CẨM MINH TRUNG 240G</t>
  </si>
  <si>
    <t>CHÈ ĐỖ ĐỎ</t>
  </si>
  <si>
    <t>KHÔ BÒ MIẾNG</t>
  </si>
  <si>
    <t>BỘT CÀ RY HIỆU ÔNG ĐẦU BẾP</t>
  </si>
  <si>
    <t>PHỤ PHÍ SHIP 125</t>
  </si>
  <si>
    <t>SẢ ĐÔNG LẠNH</t>
  </si>
  <si>
    <t>MUỐI TÔM SẤY DH FOOD NATURAL HŨ 110G</t>
  </si>
  <si>
    <t>HƯỚNG DƯƠNG CHACHA NGUYÊN VỊ 260GR | ひまわりの種オリジナル味</t>
  </si>
  <si>
    <t>PHỤ PHÍ SHIP 150</t>
  </si>
  <si>
    <t>PHỤ PHÍ SHIP</t>
  </si>
  <si>
    <t>MÌ A-ONE VỊ LẨU TÔM CHUA THÁI 85G</t>
  </si>
  <si>
    <t>KUN BỊCH VỊ ỔI CẢ THÙNG 102 CẢ CHỤC 47 MUA NHIỀU HƠN 12 GÓI X4.7</t>
  </si>
  <si>
    <t>THỨC UỐNG DINH DƯỠNG SỮA TRÁI CÂY KUN HƯƠNG TRÁI CÂY NHIỆT ĐỚI</t>
  </si>
  <si>
    <t>BÁNH LỌC ĐÔNG LẠNH</t>
  </si>
  <si>
    <t>BÚN BÒ HUẾ GIA BẢO</t>
  </si>
  <si>
    <t>TIPO 220G</t>
  </si>
  <si>
    <t>Ô MAI TÚI</t>
  </si>
  <si>
    <t>NGÔ BÒ LÁ CHANH</t>
  </si>
  <si>
    <t>BƠ MARGARINE TƯỜNG AN 80G</t>
  </si>
  <si>
    <t>THỊT HỘP HẠ LONG CANFOCO PATE CỘT ĐÈN HẢI PHÒNG 150G</t>
  </si>
  <si>
    <t>MĂNG NỨA TƯƠI MIRAI</t>
  </si>
  <si>
    <t>NƯỚC TƯƠNG CHINSU TAM THÁI TỬ NHẤT CA CHAI 500ML</t>
  </si>
  <si>
    <t>GÀ Ủ XÌ DẦU</t>
  </si>
  <si>
    <t>CHÁO THỊT BẰM GẤU ĐỎ 50G</t>
  </si>
  <si>
    <t>HÀNH KHÔ PHI SẴN | 利用可能な乾燥玉ねぎ | FRIED ONION</t>
  </si>
  <si>
    <t>NẤM HƯƠNG KHÔ</t>
  </si>
  <si>
    <t>SỮA NESTLE MILO LÚA MẠCH HỘP 180ML</t>
  </si>
  <si>
    <t>BÁNH DẺO CỐM</t>
  </si>
  <si>
    <t>SƯỜN GIÀ TẢNG</t>
  </si>
  <si>
    <t>VIÊN NHÚNG LẨU</t>
  </si>
  <si>
    <t>TRÀ XANH WONDERFARM 345ML</t>
  </si>
  <si>
    <t>NƯỚC SÂM CAO LY WONDERFARM (240ML)</t>
  </si>
  <si>
    <t>TRÀ COZY VẢI 350ML /24</t>
  </si>
  <si>
    <t>NƯỚC YẾN NGÂN NHĨ - LON 240ML</t>
  </si>
  <si>
    <t>MÌ GẤU ĐỎ</t>
  </si>
  <si>
    <t>SỮA ĐẶC ÔNG THỌ TUÝP 180GR</t>
  </si>
  <si>
    <t>CAFE ĐEN HOÀ TAN G7</t>
  </si>
  <si>
    <t>TRÀ Ô LONG COZY TẮC MẬT ONG 350ML</t>
  </si>
  <si>
    <t>TRÀ COZY ĐÀO SẢ</t>
  </si>
  <si>
    <t>CHÈ SEN BÁT BẢO - MINH TRUNG 365G</t>
  </si>
  <si>
    <t>CHÈ ĐỖ ĐEN MINH TRUNG 365G</t>
  </si>
  <si>
    <t>SA TẾ TÔM XO 100G</t>
  </si>
  <si>
    <t>ỚT KHÔ SATE THỦY TINH CHOLIMEX 100GR</t>
  </si>
  <si>
    <t>TƯƠNG ĐEN PHỞ CHOLIMEX CHAI 230G</t>
  </si>
  <si>
    <t>NƯỚC DỪA FOCO 335ML</t>
  </si>
  <si>
    <t>NEM CHUA RÁN</t>
  </si>
  <si>
    <t>BÁNH TRÁNG TRỘN</t>
  </si>
  <si>
    <t>TRÀ BÍ ĐAO WONDERFARM 310ML</t>
  </si>
  <si>
    <t>PHỤ PHÍ SHIP 700 YÊN</t>
  </si>
  <si>
    <t>PHỤ PHÍ SHIP 600 YÊN</t>
  </si>
  <si>
    <t>PHỤ PHÍ SHIP 500YÊN</t>
  </si>
  <si>
    <t>PHỤ PHÍ SHIP 300 YÊN</t>
  </si>
  <si>
    <t>PHỤ PHÍ SHIP 250 YÊN</t>
  </si>
  <si>
    <t>GIÒ TAI XS 400G</t>
  </si>
  <si>
    <t>GIÒ BÌ XS 400G</t>
  </si>
  <si>
    <t>XOÀI CÁT CHU</t>
  </si>
  <si>
    <t>SỮA ĐẬU NÀNH NUTI 200ML</t>
  </si>
  <si>
    <t>NEM CHUA NHỎ 10 CÁI</t>
  </si>
  <si>
    <t>BÁNH QUY MARIE COSY KINH ĐÔ</t>
  </si>
  <si>
    <t>CHẢ GIÒ RẾ HẢI SẢN CẦU TRE 500G</t>
  </si>
  <si>
    <t>BỘT NEM CHUA 70G</t>
  </si>
  <si>
    <t>BỘT SẮN DÂY</t>
  </si>
  <si>
    <t>CỐM XANH</t>
  </si>
  <si>
    <t>CHẢ QUẾ XS</t>
  </si>
  <si>
    <t>GIÒ BÒ XS 400G</t>
  </si>
  <si>
    <t>GIÒ LỤA XS</t>
  </si>
  <si>
    <t>MIẾN DONG ベトナム葛ウコン春雨 | 200G</t>
  </si>
  <si>
    <t>HÀNH TÍM</t>
  </si>
  <si>
    <t>KẸO HƯƠNG ME OISHI</t>
  </si>
  <si>
    <t>CHÁO HẢI SẢN</t>
  </si>
  <si>
    <t>BÁNH TRÁNG RẾ 100GRAM</t>
  </si>
  <si>
    <t>MÌ CHUA CAY KOKOMI</t>
  </si>
  <si>
    <t>HẰNG ĐẠI GÂN</t>
  </si>
  <si>
    <t>CÁ DIÊU HỒNG NGUYÊN CON</t>
  </si>
  <si>
    <t>GIẤM GẠO</t>
  </si>
  <si>
    <t>MẮM NÊM CORI</t>
  </si>
  <si>
    <t>CHAO NGON</t>
  </si>
  <si>
    <t>SỮA BẮP NON</t>
  </si>
  <si>
    <t>HẰNG ĐẠI MINI</t>
  </si>
  <si>
    <t>PHỞ TƯƠI HÀ NỘI</t>
  </si>
  <si>
    <t>CÙI BƯƠI KHÔ（ザボン果肉）</t>
  </si>
  <si>
    <t>BÁNH ĂN SÁNG CEST BON ORION SỢI THỊT GÀ</t>
  </si>
  <si>
    <t>BÁNH CỐM SẦU RIÊNG BẢO MINH</t>
  </si>
  <si>
    <t>CHẢ RAM TÔM ĐẤT BÌNH ĐỊNH</t>
  </si>
  <si>
    <t>XÚC XÍCH HOTDOG ĐỨC VIỆT GÓI 500G</t>
  </si>
  <si>
    <t>CHÈ THỐT NỐT</t>
  </si>
  <si>
    <t>HƯƠNG LÁ DỨA</t>
  </si>
  <si>
    <t>DA HEO LOẠI A</t>
  </si>
  <si>
    <t>BÁNH MÌ DỪA</t>
  </si>
  <si>
    <t>CHÈ DỪA DẦM</t>
  </si>
  <si>
    <t>QUẨY PÒ</t>
  </si>
  <si>
    <t>CÀ PHÊ PHỐ</t>
  </si>
  <si>
    <t>TIÊU XAY VIỆT NAM / ベトナム胡椒</t>
  </si>
  <si>
    <t>MẮM RUỐC HUẾ</t>
  </si>
  <si>
    <t>LÁ CHANH ĐÔNG LẠNH 200GRAM</t>
  </si>
  <si>
    <t>LÁ MẮC MẬT 100G</t>
  </si>
  <si>
    <t>CÀ PHÊ G7 (MIX)</t>
  </si>
  <si>
    <t>ĐÙI ẾCH ĐÔNG LẠNH</t>
  </si>
  <si>
    <t>CÁ BASA CẮT KHÚC</t>
  </si>
  <si>
    <t>CÁ LÓC CẮT KHÚC</t>
  </si>
  <si>
    <t>KẸO DỪA BẾN TRE</t>
  </si>
  <si>
    <t>CƠM MẺ NGỌC LONG CHAI 140G</t>
  </si>
  <si>
    <t>MẮM TÔM BẮC</t>
  </si>
  <si>
    <t>BỘT NGŨ VỊ HƯƠNG 3G</t>
  </si>
  <si>
    <t>NƯỚC DỪA MÀU</t>
  </si>
  <si>
    <t>MUỐI HẢO HẢO 80G</t>
  </si>
  <si>
    <t>NƯỚC MẮM CÁ CƠM 750ML</t>
  </si>
  <si>
    <t>THÍNH GẠO</t>
  </si>
  <si>
    <t>GIA VỊ THỊT KHO TÀU BARONA</t>
  </si>
  <si>
    <t>GIA VỊ XÀO SẢ ỚT BARONA</t>
  </si>
  <si>
    <t>GIA VỊ BÒ KHO BARONA</t>
  </si>
  <si>
    <t>GIA VỊ THỊT NƯỚNG XÁ XÍU BARONA</t>
  </si>
  <si>
    <t>GIA VỊ THỊT NƯỚNG SẢ BARONA</t>
  </si>
  <si>
    <t>GIA VỊ SƯỜN XÀO CHUA NGỌT BARONA</t>
  </si>
  <si>
    <t>GIA VỊ CANH CHUA BARONA</t>
  </si>
  <si>
    <t>BỘT CANH HẢI CHÂU</t>
  </si>
  <si>
    <t>HẠT ĐIỀU MÀU NGUYÊN CHẤT VIPEP 70G</t>
  </si>
  <si>
    <t>NƯỚC TƯƠNG CHINSU TỎI ỚT</t>
  </si>
  <si>
    <t>GIA VỊ TẦN GÀ</t>
  </si>
  <si>
    <t>MUỐI SẤY NGỌC YẾN 100G</t>
  </si>
  <si>
    <t>NƯỚC TƯƠNG MAGGI</t>
  </si>
  <si>
    <t>GIA VỊ NÊM SẴN BÚN BÒ HUẾ (AJI QUICK) 57G</t>
  </si>
  <si>
    <t>AJI GV GIA VỊ NÊM SẴN AJI-QUICK PHỞ BÒ 12 X 57GR</t>
  </si>
  <si>
    <t>GIA VỊ LẨU THÁI AJI QUICK 50G</t>
  </si>
  <si>
    <t>MÌ CHÍNH - BỘT NGỌT ( 味の素)</t>
  </si>
  <si>
    <t>BỘT CỐT DỪA</t>
  </si>
  <si>
    <t>MỒNG TƠI</t>
  </si>
  <si>
    <t>RAU NGÓT</t>
  </si>
  <si>
    <t>RAU RĂM</t>
  </si>
  <si>
    <t>HÚNG QUẾ</t>
  </si>
  <si>
    <t>LÁ LỐT</t>
  </si>
  <si>
    <t>ĐU ĐỦ XANH</t>
  </si>
  <si>
    <t>SẢ TƯƠI</t>
  </si>
  <si>
    <t>KEM ĐÁNH RĂNG</t>
  </si>
  <si>
    <t>NƯỚC XẢ VẢI COMFORT</t>
  </si>
  <si>
    <t>DẠ HƯƠNG</t>
  </si>
  <si>
    <t>VIÊN C SỦI</t>
  </si>
  <si>
    <t>NƯỚC TĂNG LỰC NUMBERONE</t>
  </si>
  <si>
    <t>TRÀ XANH O ĐỘ</t>
  </si>
  <si>
    <t>GÀ DAI</t>
  </si>
  <si>
    <t>TRÀ SỮA THÁI 300G</t>
  </si>
  <si>
    <t>STING DÂU</t>
  </si>
  <si>
    <t>BÒ HÚC</t>
  </si>
  <si>
    <t>SỮA ĐẶC BÀ THỌ 450G</t>
  </si>
  <si>
    <t>MÌ XÀO HẢO HẢO 75G</t>
  </si>
  <si>
    <t>SỨA ĂN LIỀN 300G</t>
  </si>
  <si>
    <t>NGŨ CỐC DINH DƯỠNG VINACAFE 500G</t>
  </si>
  <si>
    <t>OMACHI SƯỜN HẦM</t>
  </si>
  <si>
    <t>PHỞ BÒ VIFON</t>
  </si>
  <si>
    <t>MĂNG DẦM ỚT TRUNG THÀNH</t>
  </si>
  <si>
    <t>CÀ MUỐI TRUNG THÀNH</t>
  </si>
  <si>
    <t>PHỞ GÀ VIFON</t>
  </si>
  <si>
    <t>MÌ OMACHI - VỊ TÔM CHUA CAY</t>
  </si>
  <si>
    <t>MÌ OMACHI - VỊ BÒ HẦM</t>
  </si>
  <si>
    <t>HỦ TIẾU GÓI NAM VANG VIFON</t>
  </si>
  <si>
    <t>BÁNH ĐA CUA GÓI 60G</t>
  </si>
  <si>
    <t>BÚN BÒ HUẾ VIFON</t>
  </si>
  <si>
    <t>SƯỜN GIÀ スペアリブ 1KG</t>
  </si>
  <si>
    <t>TRÀNG HEO</t>
  </si>
  <si>
    <t>MÓNG HEO CẮT</t>
  </si>
  <si>
    <t>TIM HEO</t>
  </si>
  <si>
    <t>THỊT DIỀM GAN</t>
  </si>
  <si>
    <t>BẮP HEO CẮT LÁT</t>
  </si>
  <si>
    <t>BẮP BÒ 牛スネシャンク</t>
  </si>
  <si>
    <t>BÁNH BÔNG LAN TRỨNG MUỐI 2 LỚP</t>
  </si>
  <si>
    <t>CHÈ SẦU 500G</t>
  </si>
  <si>
    <t>CHOCOPIE (HỘP 12 GÓI)</t>
  </si>
  <si>
    <t>CHÈ SÂM BỔ LƯỢNG 200G</t>
  </si>
  <si>
    <t>BÁNH XỐP NABATI (SET 10 GÓI)</t>
  </si>
  <si>
    <t>MÍT SẤY 100G</t>
  </si>
  <si>
    <t>BÁNH TIPO TRỨNG SỮA</t>
  </si>
  <si>
    <t>KẸO DẺO BẮP</t>
  </si>
  <si>
    <t>KẸO OISHI VỊ ỔI</t>
  </si>
  <si>
    <t>ME THÁI</t>
  </si>
  <si>
    <t>BÁNH GẤU 180G</t>
  </si>
  <si>
    <t>DỪA SỢI COCOMUNDIAN</t>
  </si>
  <si>
    <t>HẠT SEN GÓI</t>
  </si>
  <si>
    <t>HỦ TIẾU KHÔ 500G</t>
  </si>
  <si>
    <t>BÁNH DỪA NƯỚNG TOP COCO</t>
  </si>
  <si>
    <t>BÚN TƯƠI SAFOCO</t>
  </si>
  <si>
    <t>BÁNH ĐA NEM LÀNG CHIỀU</t>
  </si>
  <si>
    <t>BỘT SƯƠNG SÁO 50G</t>
  </si>
  <si>
    <t>BỘT KHOAI RĂNG CƯA</t>
  </si>
  <si>
    <t>BỘT BÁNG</t>
  </si>
  <si>
    <t>BỘT CHIÊN GIÒN KHÔ AJIQUICK 42G</t>
  </si>
  <si>
    <t>BÁNH TRÁNG SIÊU MỎNG TINH NGUYÊN</t>
  </si>
  <si>
    <t>CHẢ CỐM 500GR</t>
  </si>
  <si>
    <t>MẮM NÊM NGON</t>
  </si>
  <si>
    <t>TƯƠNG ỚT VIFON TO</t>
  </si>
  <si>
    <t>MUỐI ỚT ĐỨC HẢI SIZE NHỎ 100G</t>
  </si>
  <si>
    <t>BẦU QUẢ</t>
  </si>
  <si>
    <t>ỔI XANH</t>
  </si>
  <si>
    <t>HOA CHUỐI</t>
  </si>
  <si>
    <t>TRÀ C2</t>
  </si>
  <si>
    <t>CHÈ DỪA NON</t>
  </si>
  <si>
    <t>CÁ TRÊ CẮT KHÚC</t>
  </si>
  <si>
    <t>NHỘNG TẰM</t>
  </si>
  <si>
    <t>CHẢ GIÒ CUA BIỂN</t>
  </si>
  <si>
    <t>HẠT NÊM KNORR 400G</t>
  </si>
  <si>
    <t>BENTO</t>
  </si>
  <si>
    <t>BÁNH QUẾ COSY</t>
  </si>
  <si>
    <t>BÀN CHẢI ĐÁNH RĂNG</t>
  </si>
  <si>
    <t>BỘT NGHỆ</t>
  </si>
  <si>
    <t>SATE TÔM</t>
  </si>
  <si>
    <t>KẸO DYNAMITE 3 VIÊN</t>
  </si>
  <si>
    <t>CHUỐI XANH</t>
  </si>
  <si>
    <t>NGÒ GAI TÚI</t>
  </si>
  <si>
    <t>BÍ ĐAO</t>
  </si>
  <si>
    <t>CẢI CANH</t>
  </si>
  <si>
    <t>MƯỚP TƯƠI</t>
  </si>
  <si>
    <t>TÚI NILON 5円</t>
  </si>
  <si>
    <t>TÚI NILON 2円</t>
  </si>
  <si>
    <t>TÚI NILLON 3円</t>
  </si>
  <si>
    <t>SƯỜN NON</t>
  </si>
  <si>
    <t>RIỀNG XAY ĐÔNG LẠNH</t>
  </si>
  <si>
    <t>CUA ĐỒNG XAY ĐÔNG LẠNH 250G/カニのすり身</t>
  </si>
  <si>
    <t>BA CHỈ CÓ DA 皮付豚バラ</t>
  </si>
  <si>
    <t>CÁ RÔ PHI</t>
  </si>
  <si>
    <t>CÁ RÔ ĐỒNG</t>
  </si>
  <si>
    <t>CÒI ỐC</t>
  </si>
  <si>
    <t>CHẢ CÁ THÁC LÁC TƯƠI 250 GRAM</t>
  </si>
  <si>
    <t>GÀ SIZE NHỎ</t>
  </si>
  <si>
    <t>LƯỠI HEO</t>
  </si>
  <si>
    <t>TAI HEO (豚耳)</t>
  </si>
  <si>
    <t>CUỐNG HỌNG HEO</t>
  </si>
  <si>
    <t>THỊT HEO MÔNG</t>
  </si>
  <si>
    <t>CHÂN GÀ ĐÔNG LẠNH (モミジ)</t>
  </si>
  <si>
    <t>LÒNG NON</t>
  </si>
  <si>
    <t>BÒ KHÔ SỢI</t>
  </si>
  <si>
    <t>GIA VỊ THỊT NƯỚNG NGŨ VỊ BARONA</t>
  </si>
  <si>
    <t>GIA VỊ NƯỚNG MUỐI ỚT BARONA</t>
  </si>
  <si>
    <t>HẰNG ĐAI TO</t>
  </si>
  <si>
    <t>CHÈ DƯỠNG NHAN</t>
  </si>
  <si>
    <t>ĐỖ ĐEN</t>
  </si>
  <si>
    <t>GIA VỊ THỊT KHO TÀU AJI-QUICK</t>
  </si>
  <si>
    <t>MUỐI TÔM TÂY NINH 110G</t>
  </si>
  <si>
    <t>RAU MÙI</t>
  </si>
  <si>
    <t>SU HÀO</t>
  </si>
  <si>
    <t>LÁ DONG</t>
  </si>
  <si>
    <t>HÚNG LỦI</t>
  </si>
  <si>
    <t>THÌ LÀ</t>
  </si>
  <si>
    <t>CỦ ĐẬU</t>
  </si>
  <si>
    <t>SNACK ĐẬU PHÔNG OISHI</t>
  </si>
  <si>
    <t>SỮA ĐẬU NÀNH FAMI</t>
  </si>
  <si>
    <t>SỮA TH TRUE MILK DÂU</t>
  </si>
  <si>
    <t>SỮA TH TRUE MILK SOCOLA</t>
  </si>
  <si>
    <t>MÌ OMACHI TRỘN</t>
  </si>
  <si>
    <t>MÌ TÔM CHUA CAY ZUM ZUM</t>
  </si>
  <si>
    <t>BẮP HEO RÚT XƯƠNG</t>
  </si>
  <si>
    <t>ĐUÔI HEO</t>
  </si>
  <si>
    <t>DẠ DÀY HEO</t>
  </si>
  <si>
    <t>VỊT ĐÔNG LẠNH 1,6KG-1,9KG</t>
  </si>
  <si>
    <t>SẦU RIÊNG HỘP ĐEN</t>
  </si>
  <si>
    <t>CÁ CHIM</t>
  </si>
  <si>
    <t>MÍT HỘP ĐÔNG LẠNH</t>
  </si>
  <si>
    <t>BA CHỈ KHÔNG DA (皮無し豚バラ)</t>
  </si>
  <si>
    <t>GÀ Ủ MUỐI LOẠI NGON</t>
  </si>
  <si>
    <t>VỊT QUAY NỬA CON</t>
  </si>
  <si>
    <t>CÁ RÔ PHI PHILE</t>
  </si>
  <si>
    <t>HUYẾT VỊT</t>
  </si>
  <si>
    <t>MÍT SẤY 150GRAM</t>
  </si>
  <si>
    <t>BÚN GẠO LỨT</t>
  </si>
  <si>
    <t>BỘT NẾP</t>
  </si>
  <si>
    <t>BỘT BÁNH CUỐN</t>
  </si>
  <si>
    <t>BỘT BÁNH XÈO</t>
  </si>
  <si>
    <t>BỘT GẠO TÀI KÝ 400G</t>
  </si>
  <si>
    <t>MÌ HẢO HẢO</t>
  </si>
  <si>
    <t>NƯỚC MÍA TẮC</t>
  </si>
  <si>
    <t>MĂNG CHUA PHÚ VINH</t>
  </si>
  <si>
    <t>CHAO BÔNG MAI</t>
  </si>
  <si>
    <t>GẠO NẾP</t>
  </si>
  <si>
    <t>NAM NGƯ CHAI TO</t>
  </si>
  <si>
    <t>TƯƠNG ỚT CHINSU TO</t>
  </si>
  <si>
    <t>KẸO ALPENLIEBE THỎI</t>
  </si>
  <si>
    <t>MĂNG KHÔ</t>
  </si>
  <si>
    <t>PHỒNG TÔM SA GIANG</t>
  </si>
  <si>
    <t>ME ROT THAI LAN</t>
  </si>
  <si>
    <t>BÁNH PÍA KIM SA DỨA</t>
  </si>
  <si>
    <t>SỮA KUN HƯƠNG DÂU</t>
  </si>
  <si>
    <t>SỮA KUN HƯƠNG CAM</t>
  </si>
  <si>
    <t>SỮA KUN HƯƠNG TRÁI CÂY NHIỆT ĐỚI</t>
  </si>
  <si>
    <t>BỘT NĂNG TÀI KÝ 400G</t>
  </si>
  <si>
    <t>TRỨNG GÀ VỮA</t>
  </si>
  <si>
    <t>HẠT HƯỚNG DƯƠNG</t>
  </si>
  <si>
    <t>MẮM CÁ SẶC</t>
  </si>
  <si>
    <t>SP201346</t>
  </si>
  <si>
    <t>SP201347</t>
  </si>
  <si>
    <t>SP201348</t>
  </si>
  <si>
    <t>SP201350</t>
  </si>
  <si>
    <t>SP201351</t>
  </si>
  <si>
    <t>SP201352</t>
  </si>
  <si>
    <t>SP201353</t>
  </si>
  <si>
    <t>SP201354</t>
  </si>
  <si>
    <t>SP201355</t>
  </si>
  <si>
    <t>SP201356</t>
  </si>
  <si>
    <t>SP201357</t>
  </si>
  <si>
    <t>SP201358</t>
  </si>
  <si>
    <t>SP201359</t>
  </si>
  <si>
    <t>SP201360</t>
  </si>
  <si>
    <t>SP201361</t>
  </si>
  <si>
    <t>SP201362</t>
  </si>
  <si>
    <t>SP201363</t>
  </si>
  <si>
    <t>SP201364</t>
  </si>
  <si>
    <t>SP201365</t>
  </si>
  <si>
    <t>SP201366</t>
  </si>
  <si>
    <t>SP201367</t>
  </si>
  <si>
    <t>SP201368</t>
  </si>
  <si>
    <t>SP201369</t>
  </si>
  <si>
    <t>SP201370</t>
  </si>
  <si>
    <t>SP201371</t>
  </si>
  <si>
    <t>SP201372</t>
  </si>
  <si>
    <t>SP201373</t>
  </si>
  <si>
    <t>SP201374</t>
  </si>
  <si>
    <t>SP201375</t>
  </si>
  <si>
    <t>SP201376</t>
  </si>
  <si>
    <t>SP201377</t>
  </si>
  <si>
    <t>SP201378</t>
  </si>
  <si>
    <t>SP201379</t>
  </si>
  <si>
    <t>SP201380</t>
  </si>
  <si>
    <t>SP201381</t>
  </si>
  <si>
    <t>SP201382</t>
  </si>
  <si>
    <t>SP201383</t>
  </si>
  <si>
    <t>SP201384</t>
  </si>
  <si>
    <t>SP201385</t>
  </si>
  <si>
    <t>SP201386</t>
  </si>
  <si>
    <t>SP201387</t>
  </si>
  <si>
    <t>SP201388</t>
  </si>
  <si>
    <t>SP201389</t>
  </si>
  <si>
    <t>SP201390</t>
  </si>
  <si>
    <t>SP201391</t>
  </si>
  <si>
    <t>SP201392</t>
  </si>
  <si>
    <t>SP201393</t>
  </si>
  <si>
    <t>SP201394</t>
  </si>
  <si>
    <t>SP201395</t>
  </si>
  <si>
    <t>SP201396</t>
  </si>
  <si>
    <t>SP201397</t>
  </si>
  <si>
    <t>SP201398</t>
  </si>
  <si>
    <t>SP201399</t>
  </si>
  <si>
    <t>SP201400</t>
  </si>
  <si>
    <t>SP201401</t>
  </si>
  <si>
    <t>SP201402</t>
  </si>
  <si>
    <t>SP201403</t>
  </si>
  <si>
    <t>SP201404</t>
  </si>
  <si>
    <t>SP201405</t>
  </si>
  <si>
    <t>SP201406</t>
  </si>
  <si>
    <t>SP201407</t>
  </si>
  <si>
    <t>SP201408</t>
  </si>
  <si>
    <t>SP201409</t>
  </si>
  <si>
    <t>SP201410</t>
  </si>
  <si>
    <t>SP201411</t>
  </si>
  <si>
    <t>SP201412</t>
  </si>
  <si>
    <t>SP201413</t>
  </si>
  <si>
    <t>SP201414</t>
  </si>
  <si>
    <t>SP201415</t>
  </si>
  <si>
    <t>SP201416</t>
  </si>
  <si>
    <t>SP201417</t>
  </si>
  <si>
    <t>SP201418</t>
  </si>
  <si>
    <t>SP201419</t>
  </si>
  <si>
    <t>SP201420</t>
  </si>
  <si>
    <t>SP201421</t>
  </si>
  <si>
    <t>SP201422</t>
  </si>
  <si>
    <t>SP201423</t>
  </si>
  <si>
    <t>SP201424</t>
  </si>
  <si>
    <t>SP201425</t>
  </si>
  <si>
    <t>SP201426</t>
  </si>
  <si>
    <t>SP201427</t>
  </si>
  <si>
    <t>SP201428</t>
  </si>
  <si>
    <t>SP201429</t>
  </si>
  <si>
    <t>SP201430</t>
  </si>
  <si>
    <t>SP201431</t>
  </si>
  <si>
    <t>SP201432</t>
  </si>
  <si>
    <t>SP201433</t>
  </si>
  <si>
    <t>SP201434</t>
  </si>
  <si>
    <t>SP201435</t>
  </si>
  <si>
    <t>SP201436</t>
  </si>
  <si>
    <t>SP201437</t>
  </si>
  <si>
    <t>SP201438</t>
  </si>
  <si>
    <t>SP201439</t>
  </si>
  <si>
    <t>SP201440</t>
  </si>
  <si>
    <t>SP201441</t>
  </si>
  <si>
    <t>SP201442</t>
  </si>
  <si>
    <t>SP201443</t>
  </si>
  <si>
    <t>SP201444</t>
  </si>
  <si>
    <t>SP201445</t>
  </si>
  <si>
    <t>SP201446</t>
  </si>
  <si>
    <t>SP201447</t>
  </si>
  <si>
    <t>SP201448</t>
  </si>
  <si>
    <t>SP201449</t>
  </si>
  <si>
    <t>SP201450</t>
  </si>
  <si>
    <t>SP201451</t>
  </si>
  <si>
    <t>SP201452</t>
  </si>
  <si>
    <t>SP201453</t>
  </si>
  <si>
    <t>SP201454</t>
  </si>
  <si>
    <t>SP201455</t>
  </si>
  <si>
    <t>SP201456</t>
  </si>
  <si>
    <t>SP201457</t>
  </si>
  <si>
    <t>SP201458</t>
  </si>
  <si>
    <t>SP201459</t>
  </si>
  <si>
    <t>SP201460</t>
  </si>
  <si>
    <t>SP201461</t>
  </si>
  <si>
    <t>SP201462</t>
  </si>
  <si>
    <t>SP201463</t>
  </si>
  <si>
    <t>SP201464</t>
  </si>
  <si>
    <t>SP201465</t>
  </si>
  <si>
    <t>SP201466</t>
  </si>
  <si>
    <t>SP201467</t>
  </si>
  <si>
    <t>SP201468</t>
  </si>
  <si>
    <t>SP201469</t>
  </si>
  <si>
    <t>SP201470</t>
  </si>
  <si>
    <t>SP201471</t>
  </si>
  <si>
    <t>SP201472</t>
  </si>
  <si>
    <t>SP201473</t>
  </si>
  <si>
    <t>SP201474</t>
  </si>
  <si>
    <t>SP201475</t>
  </si>
  <si>
    <t>SP201476</t>
  </si>
  <si>
    <t>SP201477</t>
  </si>
  <si>
    <t>SP201478</t>
  </si>
  <si>
    <t>SP201479</t>
  </si>
  <si>
    <t>SP201480</t>
  </si>
  <si>
    <t>SP201481</t>
  </si>
  <si>
    <t>SP201483</t>
  </si>
  <si>
    <t>SP201484</t>
  </si>
  <si>
    <t>SP201485</t>
  </si>
  <si>
    <t>SP201486</t>
  </si>
  <si>
    <t>SP201487</t>
  </si>
  <si>
    <t>SP201488</t>
  </si>
  <si>
    <t>SP201489</t>
  </si>
  <si>
    <t>SP201490</t>
  </si>
  <si>
    <t>SP201491</t>
  </si>
  <si>
    <t>SP201492</t>
  </si>
  <si>
    <t>SP201493</t>
  </si>
  <si>
    <t>SP201494</t>
  </si>
  <si>
    <t>SP201495</t>
  </si>
  <si>
    <t>SP201496</t>
  </si>
  <si>
    <t>SP201497</t>
  </si>
  <si>
    <t>SP201498</t>
  </si>
  <si>
    <t>SP201499</t>
  </si>
  <si>
    <t>SP201500</t>
  </si>
  <si>
    <t>SP201501</t>
  </si>
  <si>
    <t>SP201502</t>
  </si>
  <si>
    <t>SP201503</t>
  </si>
  <si>
    <t>SP201504</t>
  </si>
  <si>
    <t>SP201505</t>
  </si>
  <si>
    <t>SP201506</t>
  </si>
  <si>
    <t>SP201507</t>
  </si>
  <si>
    <t>SP201508</t>
  </si>
  <si>
    <t>SP201509</t>
  </si>
  <si>
    <t>SP201510</t>
  </si>
  <si>
    <t>SP201511</t>
  </si>
  <si>
    <t>SP201512</t>
  </si>
  <si>
    <t>SP201513</t>
  </si>
  <si>
    <t>SP201514</t>
  </si>
  <si>
    <t>SP201515</t>
  </si>
  <si>
    <t>SP201516</t>
  </si>
  <si>
    <t>SP201517</t>
  </si>
  <si>
    <t>SP201518</t>
  </si>
  <si>
    <t>SP201519</t>
  </si>
  <si>
    <t>SP201520</t>
  </si>
  <si>
    <t>SP201521</t>
  </si>
  <si>
    <t>SP201522</t>
  </si>
  <si>
    <t>SP201523</t>
  </si>
  <si>
    <t>SP201524</t>
  </si>
  <si>
    <t>SP201525</t>
  </si>
  <si>
    <t>SP201526</t>
  </si>
  <si>
    <t>SP201527</t>
  </si>
  <si>
    <t>SP201528</t>
  </si>
  <si>
    <t>SP201529</t>
  </si>
  <si>
    <t>SP201530</t>
  </si>
  <si>
    <t>SP201531</t>
  </si>
  <si>
    <t>SP201532</t>
  </si>
  <si>
    <t>SP201533</t>
  </si>
  <si>
    <t>SP201534</t>
  </si>
  <si>
    <t>SP201535</t>
  </si>
  <si>
    <t>SP201536</t>
  </si>
  <si>
    <t>SP201537</t>
  </si>
  <si>
    <t>SP201538</t>
  </si>
  <si>
    <t>SP201539</t>
  </si>
  <si>
    <t>SP201540</t>
  </si>
  <si>
    <t>SP201541</t>
  </si>
  <si>
    <t>SP201542</t>
  </si>
  <si>
    <t>SP201543</t>
  </si>
  <si>
    <t>SP201544</t>
  </si>
  <si>
    <t>SP201545</t>
  </si>
  <si>
    <t>SP201546</t>
  </si>
  <si>
    <t>SP201547</t>
  </si>
  <si>
    <t>SP201550</t>
  </si>
  <si>
    <t>SP201551</t>
  </si>
  <si>
    <t>SP201552</t>
  </si>
  <si>
    <t>SP201553</t>
  </si>
  <si>
    <t>SP201554</t>
  </si>
  <si>
    <t>SP201555</t>
  </si>
  <si>
    <t>SP201556</t>
  </si>
  <si>
    <t>SP201557</t>
  </si>
  <si>
    <t>SP201558</t>
  </si>
  <si>
    <t>SP201559</t>
  </si>
  <si>
    <t>SP201560</t>
  </si>
  <si>
    <t>SP201561</t>
  </si>
  <si>
    <t>SP201562</t>
  </si>
  <si>
    <t>SP201563</t>
  </si>
  <si>
    <t>SP201564</t>
  </si>
  <si>
    <t>SP201565</t>
  </si>
  <si>
    <t>SP201566</t>
  </si>
  <si>
    <t>SP201567</t>
  </si>
  <si>
    <t>SP201568</t>
  </si>
  <si>
    <t>SP201569</t>
  </si>
  <si>
    <t>SP201570</t>
  </si>
  <si>
    <t>SP201571</t>
  </si>
  <si>
    <t>SP201572</t>
  </si>
  <si>
    <t>SP201573</t>
  </si>
  <si>
    <t>SP201574</t>
  </si>
  <si>
    <t>SP201575</t>
  </si>
  <si>
    <t>SP201576</t>
  </si>
  <si>
    <t>SP201577</t>
  </si>
  <si>
    <t>SP201578</t>
  </si>
  <si>
    <t>SP201579</t>
  </si>
  <si>
    <t>SP201580</t>
  </si>
  <si>
    <t>SP201581</t>
  </si>
  <si>
    <t>SP201582</t>
  </si>
  <si>
    <t>SP201583</t>
  </si>
  <si>
    <t>SP201584</t>
  </si>
  <si>
    <t>SP201585</t>
  </si>
  <si>
    <t>SP201586</t>
  </si>
  <si>
    <t>SP201587</t>
  </si>
  <si>
    <t>SP201588</t>
  </si>
  <si>
    <t>SP201589</t>
  </si>
  <si>
    <t>SP201590</t>
  </si>
  <si>
    <t>SP201591</t>
  </si>
  <si>
    <t>SP201592</t>
  </si>
  <si>
    <t>SP201593</t>
  </si>
  <si>
    <t>SP201594</t>
  </si>
  <si>
    <t>SP201595</t>
  </si>
  <si>
    <t>SP201596</t>
  </si>
  <si>
    <t>SP201597</t>
  </si>
  <si>
    <t>SP201598</t>
  </si>
  <si>
    <t>SP201599</t>
  </si>
  <si>
    <t>SP201600</t>
  </si>
  <si>
    <t>SP201601</t>
  </si>
  <si>
    <t>SP201602</t>
  </si>
  <si>
    <t>SP201603</t>
  </si>
  <si>
    <t>SP201604</t>
  </si>
  <si>
    <t>SP201605</t>
  </si>
  <si>
    <t>SP201606</t>
  </si>
  <si>
    <t>SP201607</t>
  </si>
  <si>
    <t>SP201608</t>
  </si>
  <si>
    <t>SP201609</t>
  </si>
  <si>
    <t>SP201610</t>
  </si>
  <si>
    <t>SP201611</t>
  </si>
  <si>
    <t>SP201612</t>
  </si>
  <si>
    <t>SP201613</t>
  </si>
  <si>
    <t>SP201614</t>
  </si>
  <si>
    <t>SP201615</t>
  </si>
  <si>
    <t>SP201616</t>
  </si>
  <si>
    <t>SP201617</t>
  </si>
  <si>
    <t>SP201618</t>
  </si>
  <si>
    <t>SP201619</t>
  </si>
  <si>
    <t>SP201620</t>
  </si>
  <si>
    <t>SP201621</t>
  </si>
  <si>
    <t>SP201622</t>
  </si>
  <si>
    <t>SP201623</t>
  </si>
  <si>
    <t>SP201624</t>
  </si>
  <si>
    <t>SP201625</t>
  </si>
  <si>
    <t>SP201626</t>
  </si>
  <si>
    <t>SP201627</t>
  </si>
  <si>
    <t>SP201628</t>
  </si>
  <si>
    <t>SP201629</t>
  </si>
  <si>
    <t>SP201630</t>
  </si>
  <si>
    <t>SP201631</t>
  </si>
  <si>
    <t>SP201632</t>
  </si>
  <si>
    <t>SP201633</t>
  </si>
  <si>
    <t>SP201634</t>
  </si>
  <si>
    <t>SP201635</t>
  </si>
  <si>
    <t>SP201636</t>
  </si>
  <si>
    <t>SP201637</t>
  </si>
  <si>
    <t>SP201638</t>
  </si>
  <si>
    <t>SP201639</t>
  </si>
  <si>
    <t>SP201640</t>
  </si>
  <si>
    <t>SP201641</t>
  </si>
  <si>
    <t>SP201642</t>
  </si>
  <si>
    <t>SP201643</t>
  </si>
  <si>
    <t>SP201644</t>
  </si>
  <si>
    <t>SP201645</t>
  </si>
  <si>
    <t>SP201646</t>
  </si>
  <si>
    <t>SP201647</t>
  </si>
  <si>
    <t>SP201648</t>
  </si>
  <si>
    <t>SP201649</t>
  </si>
  <si>
    <t>SP201650</t>
  </si>
  <si>
    <t>SP201651</t>
  </si>
  <si>
    <t>SP201652</t>
  </si>
  <si>
    <t>SP201653</t>
  </si>
  <si>
    <t>SP201654</t>
  </si>
  <si>
    <t>SP201655</t>
  </si>
  <si>
    <t>SP201656</t>
  </si>
  <si>
    <t>SP201657</t>
  </si>
  <si>
    <t>SP201658</t>
  </si>
  <si>
    <t>SP201659</t>
  </si>
  <si>
    <t>SP201660</t>
  </si>
  <si>
    <t>SP201661</t>
  </si>
  <si>
    <t>SP201662</t>
  </si>
  <si>
    <t>SP201663</t>
  </si>
  <si>
    <t>SP201664</t>
  </si>
  <si>
    <t>SP201665</t>
  </si>
  <si>
    <t>SP201666</t>
  </si>
  <si>
    <t>SP201667</t>
  </si>
  <si>
    <t>SP201668</t>
  </si>
  <si>
    <t>SP201669</t>
  </si>
  <si>
    <t>SP201670</t>
  </si>
  <si>
    <t>SP201671</t>
  </si>
  <si>
    <t>SP201672</t>
  </si>
  <si>
    <t>SP201673</t>
  </si>
  <si>
    <t>SP201674</t>
  </si>
  <si>
    <t>SP201676</t>
  </si>
  <si>
    <t>SP201677</t>
  </si>
  <si>
    <t>SP201678</t>
  </si>
  <si>
    <t>SP201679</t>
  </si>
  <si>
    <t>SP201680</t>
  </si>
  <si>
    <t>SP201681</t>
  </si>
  <si>
    <t>SP201682</t>
  </si>
  <si>
    <t>SP201683</t>
  </si>
  <si>
    <t>SP201684</t>
  </si>
  <si>
    <t>SP201685</t>
  </si>
  <si>
    <t>SP201686</t>
  </si>
  <si>
    <t>SP201687</t>
  </si>
  <si>
    <t>SP201688</t>
  </si>
  <si>
    <t>SP201689</t>
  </si>
  <si>
    <t>SP201690</t>
  </si>
  <si>
    <t>SP201691</t>
  </si>
  <si>
    <t>SP201692</t>
  </si>
  <si>
    <t>SP201693</t>
  </si>
  <si>
    <t>SP201694</t>
  </si>
  <si>
    <t>SP201695</t>
  </si>
  <si>
    <t>SP201696</t>
  </si>
  <si>
    <t>SP201697</t>
  </si>
  <si>
    <t>SP201698</t>
  </si>
  <si>
    <t>SP201699</t>
  </si>
  <si>
    <t>SP201700</t>
  </si>
  <si>
    <t>SP201701</t>
  </si>
  <si>
    <t>SP201702</t>
  </si>
  <si>
    <t>SP201703</t>
  </si>
  <si>
    <t>SP201704</t>
  </si>
  <si>
    <t>SP201705</t>
  </si>
  <si>
    <t>SP201706</t>
  </si>
  <si>
    <t>SP201707</t>
  </si>
  <si>
    <t>SP201708</t>
  </si>
  <si>
    <t>SP201709</t>
  </si>
  <si>
    <t>SP201710</t>
  </si>
  <si>
    <t>SP201711</t>
  </si>
  <si>
    <t>SP201712</t>
  </si>
  <si>
    <t>SP201713</t>
  </si>
  <si>
    <t>SP201714</t>
  </si>
  <si>
    <t>SP201715</t>
  </si>
  <si>
    <t>SP201716</t>
  </si>
  <si>
    <t>SP201717</t>
  </si>
  <si>
    <t>SP201718</t>
  </si>
  <si>
    <t>SP201719</t>
  </si>
  <si>
    <t>SP201720</t>
  </si>
  <si>
    <t>SP201721</t>
  </si>
  <si>
    <t>SP201722</t>
  </si>
  <si>
    <t>SP201723</t>
  </si>
  <si>
    <t>SP201724</t>
  </si>
  <si>
    <t>SP201725</t>
  </si>
  <si>
    <t>SP201726</t>
  </si>
  <si>
    <t>SP201727</t>
  </si>
  <si>
    <t>SP201728</t>
  </si>
  <si>
    <t>SP201729</t>
  </si>
  <si>
    <t>SP201730</t>
  </si>
  <si>
    <t>SP201731</t>
  </si>
  <si>
    <t>SP201732</t>
  </si>
  <si>
    <t>SP201733</t>
  </si>
  <si>
    <t>SP201734</t>
  </si>
  <si>
    <t>SP201735</t>
  </si>
  <si>
    <t>SP201736</t>
  </si>
  <si>
    <t>SP201737</t>
  </si>
  <si>
    <t>SP201738</t>
  </si>
  <si>
    <t>SP201739</t>
  </si>
  <si>
    <t>SP201740</t>
  </si>
  <si>
    <t>SP201741</t>
  </si>
  <si>
    <t>SP201742</t>
  </si>
  <si>
    <t>SP201743</t>
  </si>
  <si>
    <t>SP201744</t>
  </si>
  <si>
    <t>SP201745</t>
  </si>
  <si>
    <t>SP201746</t>
  </si>
  <si>
    <t>SP201747</t>
  </si>
  <si>
    <t>SP201748</t>
  </si>
  <si>
    <t>SP201749</t>
  </si>
  <si>
    <t>SP201750</t>
  </si>
  <si>
    <t>SP201751</t>
  </si>
  <si>
    <t>SP201752</t>
  </si>
  <si>
    <t>SP201753</t>
  </si>
  <si>
    <t>SP201754</t>
  </si>
  <si>
    <t>SP201755</t>
  </si>
  <si>
    <t>SP201756</t>
  </si>
  <si>
    <t>SP201757</t>
  </si>
  <si>
    <t>SP201758</t>
  </si>
  <si>
    <t>SP201759</t>
  </si>
  <si>
    <t>SP201760</t>
  </si>
  <si>
    <t>SP201761</t>
  </si>
  <si>
    <t>SP201762</t>
  </si>
  <si>
    <t>SP201763</t>
  </si>
  <si>
    <t>SP201764</t>
  </si>
  <si>
    <t>SP201765</t>
  </si>
  <si>
    <t>SP201766</t>
  </si>
  <si>
    <t>SP201767</t>
  </si>
  <si>
    <t>SP201768</t>
  </si>
  <si>
    <t>SP201769</t>
  </si>
  <si>
    <t>SP201770</t>
  </si>
  <si>
    <t>SP201771</t>
  </si>
  <si>
    <t>SP201772</t>
  </si>
  <si>
    <t>SP201773</t>
  </si>
  <si>
    <t>SP201774</t>
  </si>
  <si>
    <t>SP201775</t>
  </si>
  <si>
    <t>SP201776</t>
  </si>
  <si>
    <t>SP201777</t>
  </si>
  <si>
    <t>SP201778</t>
  </si>
  <si>
    <t>SP201779</t>
  </si>
  <si>
    <t>SP201780</t>
  </si>
  <si>
    <t>SP201781</t>
  </si>
  <si>
    <t>SP201782</t>
  </si>
  <si>
    <t>SP201783</t>
  </si>
  <si>
    <t>SP201784</t>
  </si>
  <si>
    <t>SP201785</t>
  </si>
  <si>
    <t>SP201786</t>
  </si>
  <si>
    <t>SP201787</t>
  </si>
  <si>
    <t>SP201788</t>
  </si>
  <si>
    <t>SP201789</t>
  </si>
  <si>
    <t>SP201790</t>
  </si>
  <si>
    <t>SP201791</t>
  </si>
  <si>
    <t>SP201792</t>
  </si>
  <si>
    <t>SP201793</t>
  </si>
  <si>
    <t>SP201794</t>
  </si>
  <si>
    <t>SP201795</t>
  </si>
  <si>
    <t>SP201796</t>
  </si>
  <si>
    <t>SP201797</t>
  </si>
  <si>
    <t>SP201798</t>
  </si>
  <si>
    <t>SP201799</t>
  </si>
  <si>
    <t>SP201800</t>
  </si>
  <si>
    <t>SP201801</t>
  </si>
  <si>
    <t>SP201802</t>
  </si>
  <si>
    <t>SP201803</t>
  </si>
  <si>
    <t>SP201804</t>
  </si>
  <si>
    <t>SP201805</t>
  </si>
  <si>
    <t>SP201806</t>
  </si>
  <si>
    <t>SP201807</t>
  </si>
  <si>
    <t>SP201808</t>
  </si>
  <si>
    <t>SP201809</t>
  </si>
  <si>
    <t>SP201810</t>
  </si>
  <si>
    <t>SP201811</t>
  </si>
  <si>
    <t>SP201812</t>
  </si>
  <si>
    <t>SP201813</t>
  </si>
  <si>
    <t>SP201814</t>
  </si>
  <si>
    <t>SP201815</t>
  </si>
  <si>
    <t>SP201816</t>
  </si>
  <si>
    <t>SP201817</t>
  </si>
  <si>
    <t>SP201818</t>
  </si>
  <si>
    <t>SP201819</t>
  </si>
  <si>
    <t>SP201820</t>
  </si>
  <si>
    <t>SP201821</t>
  </si>
  <si>
    <t>SP201822</t>
  </si>
  <si>
    <t>SP201823</t>
  </si>
  <si>
    <t>SP201824</t>
  </si>
  <si>
    <t>SP201825</t>
  </si>
  <si>
    <t>SP201826</t>
  </si>
  <si>
    <t>SP201827</t>
  </si>
  <si>
    <t>SP201828</t>
  </si>
  <si>
    <t>SP201829</t>
  </si>
  <si>
    <t>SP201830</t>
  </si>
  <si>
    <t>SP201831</t>
  </si>
  <si>
    <t>SP201832</t>
  </si>
  <si>
    <t>SP201833</t>
  </si>
  <si>
    <t>SP201834</t>
  </si>
  <si>
    <t>SP201835</t>
  </si>
  <si>
    <t>SP201836</t>
  </si>
  <si>
    <t>SP201837</t>
  </si>
  <si>
    <t>SP201838</t>
  </si>
  <si>
    <t>SP201839</t>
  </si>
  <si>
    <t>SP201840</t>
  </si>
  <si>
    <t>SP201841</t>
  </si>
  <si>
    <t>SP201842</t>
  </si>
  <si>
    <t>SP201843</t>
  </si>
  <si>
    <t>SP201844</t>
  </si>
  <si>
    <t>SP201845</t>
  </si>
  <si>
    <t>SP201846</t>
  </si>
  <si>
    <t>SP201847</t>
  </si>
  <si>
    <t>SP201848</t>
  </si>
  <si>
    <t>SP201849</t>
  </si>
  <si>
    <t>SP201850</t>
  </si>
  <si>
    <t>SP201851</t>
  </si>
  <si>
    <t>SP201852</t>
  </si>
  <si>
    <t>SP201853</t>
  </si>
  <si>
    <t>SP201854</t>
  </si>
  <si>
    <t>SP201855</t>
  </si>
  <si>
    <t>SP201856</t>
  </si>
  <si>
    <t>SP201857</t>
  </si>
  <si>
    <t>SP201858</t>
  </si>
  <si>
    <t>SP201859</t>
  </si>
  <si>
    <t>SP201860</t>
  </si>
  <si>
    <t>SP201861</t>
  </si>
  <si>
    <t>SP201862</t>
  </si>
  <si>
    <t>SP201863</t>
  </si>
  <si>
    <t>SP201864</t>
  </si>
  <si>
    <t>SP201865</t>
  </si>
  <si>
    <t>SP201866</t>
  </si>
  <si>
    <t>SP201867</t>
  </si>
  <si>
    <t>SP201868</t>
  </si>
  <si>
    <t>SP201869</t>
  </si>
  <si>
    <t>SP201870</t>
  </si>
  <si>
    <t>SP201871</t>
  </si>
  <si>
    <t>SP201872</t>
  </si>
  <si>
    <t>SP201873</t>
  </si>
  <si>
    <t>SP201874</t>
  </si>
  <si>
    <t>SP201875</t>
  </si>
  <si>
    <t>SP201876</t>
  </si>
  <si>
    <t>SP201877</t>
  </si>
  <si>
    <t>SP201878</t>
  </si>
  <si>
    <t>SP201879</t>
  </si>
  <si>
    <t>SP201880</t>
  </si>
  <si>
    <t>SP201881</t>
  </si>
  <si>
    <t>SP201882</t>
  </si>
  <si>
    <t>SP201883</t>
  </si>
  <si>
    <t>SP201884</t>
  </si>
  <si>
    <t>SP201885</t>
  </si>
  <si>
    <t>SP201886</t>
  </si>
  <si>
    <t>SP201887</t>
  </si>
  <si>
    <t>SP201888</t>
  </si>
  <si>
    <t>SP201889</t>
  </si>
  <si>
    <t>SP201890</t>
  </si>
  <si>
    <t>SP201891</t>
  </si>
  <si>
    <t>SP201892</t>
  </si>
  <si>
    <t>SP201893</t>
  </si>
  <si>
    <t>SP201894</t>
  </si>
  <si>
    <t>SP201895</t>
  </si>
  <si>
    <t>SP201896</t>
  </si>
  <si>
    <t>SP201897</t>
  </si>
  <si>
    <t>SP201898</t>
  </si>
  <si>
    <t>SP201899</t>
  </si>
  <si>
    <t>SP201900</t>
  </si>
  <si>
    <t>SP201901</t>
  </si>
  <si>
    <t>SP201902</t>
  </si>
  <si>
    <t>SP201903</t>
  </si>
  <si>
    <t>SP201904</t>
  </si>
  <si>
    <t>SP201905</t>
  </si>
  <si>
    <t>SP201906</t>
  </si>
  <si>
    <t>SP201907</t>
  </si>
  <si>
    <t>SP201908</t>
  </si>
  <si>
    <t>SP201909</t>
  </si>
  <si>
    <t>SP201910</t>
  </si>
  <si>
    <t>SP201911</t>
  </si>
  <si>
    <t>SP201912</t>
  </si>
  <si>
    <t>SP201913</t>
  </si>
  <si>
    <t>SP201914</t>
  </si>
  <si>
    <t>SP201915</t>
  </si>
  <si>
    <t>SP201916</t>
  </si>
  <si>
    <t>SP201917</t>
  </si>
  <si>
    <t>SP201918</t>
  </si>
  <si>
    <t>SP201919</t>
  </si>
  <si>
    <t>SP201920</t>
  </si>
  <si>
    <t>SP201921</t>
  </si>
  <si>
    <t>SP201922</t>
  </si>
  <si>
    <t>SP201923</t>
  </si>
  <si>
    <t>SP201924</t>
  </si>
  <si>
    <t>SP201925</t>
  </si>
  <si>
    <t>SP201926</t>
  </si>
  <si>
    <t>SP201927</t>
  </si>
  <si>
    <t>SP201928</t>
  </si>
  <si>
    <t>SP201929</t>
  </si>
  <si>
    <t>SP201930</t>
  </si>
  <si>
    <t>SP201931</t>
  </si>
  <si>
    <t>SP201932</t>
  </si>
  <si>
    <t>SP201933</t>
  </si>
  <si>
    <t>SP201934</t>
  </si>
  <si>
    <t>SP201935</t>
  </si>
  <si>
    <t>SP201936</t>
  </si>
  <si>
    <t>SP201937</t>
  </si>
  <si>
    <t>SP201938</t>
  </si>
  <si>
    <t>SP201939</t>
  </si>
  <si>
    <t>SP201940</t>
  </si>
  <si>
    <t>SP201941</t>
  </si>
  <si>
    <t>SP201942</t>
  </si>
  <si>
    <t>SP201943</t>
  </si>
  <si>
    <t>SP201944</t>
  </si>
  <si>
    <t>SP201945</t>
  </si>
  <si>
    <t>SP201946</t>
  </si>
  <si>
    <t>SP201947</t>
  </si>
  <si>
    <t>SP201948</t>
  </si>
  <si>
    <t>SP201949</t>
  </si>
  <si>
    <t>SP201950</t>
  </si>
  <si>
    <t>SP201951</t>
  </si>
  <si>
    <t>SP201952</t>
  </si>
  <si>
    <t>SP201953</t>
  </si>
  <si>
    <t>SP201954</t>
  </si>
  <si>
    <t>SP201955</t>
  </si>
  <si>
    <t>SP201956</t>
  </si>
  <si>
    <t>SP201957</t>
  </si>
  <si>
    <t>SP201958</t>
  </si>
  <si>
    <t>SP201959</t>
  </si>
  <si>
    <t>SP201960</t>
  </si>
  <si>
    <t>SP201961</t>
  </si>
  <si>
    <t>SP201962</t>
  </si>
  <si>
    <t>SP201963</t>
  </si>
  <si>
    <t>SP201964</t>
  </si>
  <si>
    <t>SP201965</t>
  </si>
  <si>
    <t>SP201966</t>
  </si>
  <si>
    <t>SP201967</t>
  </si>
  <si>
    <t>SP201968</t>
  </si>
  <si>
    <t>SP201969</t>
  </si>
  <si>
    <t>SP201970</t>
  </si>
  <si>
    <t>SP201971</t>
  </si>
  <si>
    <t>SP201972</t>
  </si>
  <si>
    <t>SP201973</t>
  </si>
  <si>
    <t>SP201974</t>
  </si>
  <si>
    <t>SP201975</t>
  </si>
  <si>
    <t>SP201976</t>
  </si>
  <si>
    <t>SP201977</t>
  </si>
  <si>
    <t>SP201978</t>
  </si>
  <si>
    <t>SP201979</t>
  </si>
  <si>
    <t>SP201980</t>
  </si>
  <si>
    <t>SP201981</t>
  </si>
  <si>
    <t>SP201982</t>
  </si>
  <si>
    <t>SP201983</t>
  </si>
  <si>
    <t>SP201984</t>
  </si>
  <si>
    <t>SP201985</t>
  </si>
  <si>
    <t>SP201986</t>
  </si>
  <si>
    <t>SP201987</t>
  </si>
  <si>
    <t>SP201988</t>
  </si>
  <si>
    <t>SP201989</t>
  </si>
  <si>
    <t>SP201990</t>
  </si>
  <si>
    <t>SP201991</t>
  </si>
  <si>
    <t>SP201992</t>
  </si>
  <si>
    <t>SP201993</t>
  </si>
  <si>
    <t>SP201994</t>
  </si>
  <si>
    <t>SP201995</t>
  </si>
  <si>
    <t>SP201996</t>
  </si>
  <si>
    <t>SP201997</t>
  </si>
  <si>
    <t>SP201998</t>
  </si>
  <si>
    <t>SP201999</t>
  </si>
  <si>
    <t>SP202000</t>
  </si>
  <si>
    <t>SP202001</t>
  </si>
  <si>
    <t>SP202002</t>
  </si>
  <si>
    <t>SP202003</t>
  </si>
  <si>
    <t>SP202004</t>
  </si>
  <si>
    <t>SP202005</t>
  </si>
  <si>
    <t>SP202006</t>
  </si>
  <si>
    <t>SP202007</t>
  </si>
  <si>
    <t>SP202008</t>
  </si>
  <si>
    <t>SP202009</t>
  </si>
  <si>
    <t>SP202010</t>
  </si>
  <si>
    <t>SP202011</t>
  </si>
  <si>
    <t>SP202012</t>
  </si>
  <si>
    <t>SP202013</t>
  </si>
  <si>
    <t>SP202014</t>
  </si>
  <si>
    <t>SP202015</t>
  </si>
  <si>
    <t>SP202016</t>
  </si>
  <si>
    <t>SP202017</t>
  </si>
  <si>
    <t>SP202018</t>
  </si>
  <si>
    <t>SP202019</t>
  </si>
  <si>
    <t>SP202020</t>
  </si>
  <si>
    <t>SP202021</t>
  </si>
  <si>
    <t>SP202022</t>
  </si>
  <si>
    <t>SP202023</t>
  </si>
  <si>
    <t>SP202024</t>
  </si>
  <si>
    <t>SP202025</t>
  </si>
  <si>
    <t>SP202026</t>
  </si>
  <si>
    <t>SP202027</t>
  </si>
  <si>
    <t>SP202028</t>
  </si>
  <si>
    <t>SP202029</t>
  </si>
  <si>
    <t>SP202030</t>
  </si>
  <si>
    <t>SP202031</t>
  </si>
  <si>
    <t>SP202032</t>
  </si>
  <si>
    <t>SP202033</t>
  </si>
  <si>
    <t>SP202034</t>
  </si>
  <si>
    <t>SP202035</t>
  </si>
  <si>
    <t>SP202036</t>
  </si>
  <si>
    <t>SP202037</t>
  </si>
  <si>
    <t>SP202038</t>
  </si>
  <si>
    <t>SP202039</t>
  </si>
  <si>
    <t>SP202040</t>
  </si>
  <si>
    <t>SP202041</t>
  </si>
  <si>
    <t>SP202042</t>
  </si>
  <si>
    <t>SP202043</t>
  </si>
  <si>
    <t>SP202044</t>
  </si>
  <si>
    <t>SP202045</t>
  </si>
  <si>
    <t>SP202046</t>
  </si>
  <si>
    <t>SP202047</t>
  </si>
  <si>
    <t>SP202048</t>
  </si>
  <si>
    <t>SP202049</t>
  </si>
  <si>
    <t>SP202050</t>
  </si>
  <si>
    <t>SP202051</t>
  </si>
  <si>
    <t>SP202052</t>
  </si>
  <si>
    <t>SP202053</t>
  </si>
  <si>
    <t>SP202054</t>
  </si>
  <si>
    <t>SP202055</t>
  </si>
  <si>
    <t>SP202056</t>
  </si>
  <si>
    <t>SP202057</t>
  </si>
  <si>
    <t>SP202058</t>
  </si>
  <si>
    <t>SP202059</t>
  </si>
  <si>
    <t>SP202060</t>
  </si>
  <si>
    <t>SP202061</t>
  </si>
  <si>
    <t>SP202062</t>
  </si>
  <si>
    <t>SP202063</t>
  </si>
  <si>
    <t>SP202064</t>
  </si>
  <si>
    <t>SP202065</t>
  </si>
  <si>
    <t>SP202066</t>
  </si>
  <si>
    <t>SP202067</t>
  </si>
  <si>
    <t>SP202068</t>
  </si>
  <si>
    <t>SP202069</t>
  </si>
  <si>
    <t>SP202070</t>
  </si>
  <si>
    <t>SP202071</t>
  </si>
  <si>
    <t>SP202072</t>
  </si>
  <si>
    <t>SP202073</t>
  </si>
  <si>
    <t>SP202074</t>
  </si>
  <si>
    <t>SP202075</t>
  </si>
  <si>
    <t>SP202076</t>
  </si>
  <si>
    <t>SP202077</t>
  </si>
  <si>
    <t>SP202078</t>
  </si>
  <si>
    <t>SP202079</t>
  </si>
  <si>
    <t>SP202080</t>
  </si>
  <si>
    <t>SP202081</t>
  </si>
  <si>
    <t>SP202085</t>
  </si>
  <si>
    <t>SP202086</t>
  </si>
  <si>
    <t>SP202087</t>
  </si>
  <si>
    <t>SP202088</t>
  </si>
  <si>
    <t>SP202089</t>
  </si>
  <si>
    <t>SP202090</t>
  </si>
  <si>
    <t>SP202091</t>
  </si>
  <si>
    <t>SP202092</t>
  </si>
  <si>
    <t>SP202093</t>
  </si>
  <si>
    <t>作成日：2026年03月31日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</si>
</sst>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0"/>
    <numFmt numFmtId="165" formatCode="#,##0.##0"/>
    <numFmt numFmtId="166" formatCode="[$¥-411]#,##0.0_);\([$¥-411]#,##0.0\)"/>
    <numFmt numFmtId="167" formatCode="[$¥-411]#,##0_);\([$¥-411]#,##0\)"/>
  </numFmts>
  <fonts count="19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24"/>
      <color theme="1"/>
      <name val="Arial"/>
      <family val="3"/>
      <charset val="128"/>
      <scheme val="minor"/>
    </font>
    <font>
      <sz val="18"/>
      <color theme="1"/>
      <name val="游ゴシック"/>
      <family val="2"/>
      <charset val="128"/>
    </font>
    <font>
      <sz val="18"/>
      <color theme="1"/>
      <name val="Times New Roman"/>
      <family val="2"/>
      <charset val="128"/>
    </font>
    <font>
      <sz val="18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  <font>
      <b/>
      <sz val="30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游ゴシック"/>
      <family val="2"/>
      <charset val="163"/>
    </font>
    <font>
      <b/>
      <sz val="18"/>
      <color theme="1"/>
      <name val="Cambria"/>
      <family val="1"/>
    </font>
    <font>
      <b/>
      <sz val="18"/>
      <color theme="1"/>
      <name val="Yu Gothic"/>
      <family val="3"/>
      <charset val="1"/>
    </font>
    <font>
      <b/>
      <sz val="18"/>
      <color theme="1"/>
      <name val="Times New Roman"/>
      <family val="2"/>
      <charset val="163"/>
    </font>
    <font>
      <b/>
      <sz val="18"/>
      <color theme="1"/>
      <name val="游ゴシック"/>
      <family val="2"/>
      <charset val="128"/>
    </font>
    <font>
      <b/>
      <sz val="18"/>
      <color theme="1"/>
      <name val="Times New Roman"/>
      <family val="1"/>
    </font>
    <font>
      <b/>
      <sz val="22"/>
      <color theme="1"/>
      <name val="游ゴシック"/>
      <family val="3"/>
      <charset val="128"/>
    </font>
    <font>
      <b/>
      <sz val="14"/>
      <color theme="1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8" fillId="0" borderId="4" xfId="0" applyFont="1" applyBorder="1" applyAlignment="1">
      <alignment horizontal="center" vertical="center" shrinkToFit="1"/>
    </xf>
    <xf numFmtId="0" fontId="8" fillId="0" borderId="5" xfId="0" applyFont="1" applyBorder="1" applyAlignment="1">
      <alignment horizontal="center" vertical="center" shrinkToFit="1"/>
    </xf>
    <xf numFmtId="166" fontId="8" fillId="0" borderId="5" xfId="0" applyNumberFormat="1" applyFont="1" applyBorder="1" applyAlignment="1">
      <alignment horizontal="center" vertical="center" shrinkToFit="1"/>
    </xf>
    <xf numFmtId="166" fontId="8" fillId="0" borderId="6" xfId="0" applyNumberFormat="1" applyFont="1" applyBorder="1" applyAlignment="1">
      <alignment horizontal="center" vertical="center" shrinkToFit="1"/>
    </xf>
    <xf numFmtId="0" fontId="6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6" fontId="7" fillId="0" borderId="5" xfId="0" applyNumberFormat="1" applyFont="1" applyBorder="1" applyAlignment="1">
      <alignment horizontal="center" vertical="center" shrinkToFit="1"/>
    </xf>
    <xf numFmtId="166" fontId="6" fillId="0" borderId="6" xfId="0" applyNumberFormat="1" applyFont="1" applyBorder="1" applyAlignment="1">
      <alignment horizontal="center" vertical="center" shrinkToFit="1"/>
    </xf>
    <xf numFmtId="0" fontId="0" fillId="0" borderId="4" xfId="0" applyBorder="1"/>
    <xf numFmtId="0" fontId="0" fillId="0" borderId="5" xfId="0" applyBorder="1"/>
    <xf numFmtId="164" fontId="0" fillId="0" borderId="5" xfId="0" applyNumberFormat="1" applyBorder="1"/>
    <xf numFmtId="165" fontId="0" fillId="0" borderId="5" xfId="0" applyNumberFormat="1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64" fontId="0" fillId="0" borderId="9" xfId="0" applyNumberFormat="1" applyBorder="1"/>
    <xf numFmtId="165" fontId="0" fillId="0" borderId="9" xfId="0" applyNumberFormat="1" applyBorder="1"/>
    <xf numFmtId="0" fontId="0" fillId="0" borderId="10" xfId="0" applyBorder="1"/>
    <xf numFmtId="0" fontId="9" fillId="0" borderId="7" xfId="0" applyFont="1" applyBorder="1" applyAlignment="1">
      <alignment horizontal="center" shrinkToFit="1"/>
    </xf>
    <xf numFmtId="167" fontId="10" fillId="0" borderId="7" xfId="0" applyNumberFormat="1" applyFont="1" applyBorder="1" applyAlignment="1">
      <alignment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5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9" fillId="0" borderId="7" xfId="0" applyFont="1" applyBorder="1" applyAlignment="1">
      <alignment horizontal="center" shrinkToFit="1"/>
    </xf>
    <xf numFmtId="0" fontId="2" fillId="0" borderId="1" xfId="0" applyFont="1" applyBorder="1" applyAlignment="1">
      <alignment horizontal="center" vertical="center" shrinkToFit="1"/>
    </xf>
    <xf numFmtId="0" fontId="2" fillId="0" borderId="2" xfId="0" applyFont="1" applyBorder="1" applyAlignment="1">
      <alignment horizontal="center" vertical="center" shrinkToFit="1"/>
    </xf>
    <xf numFmtId="0" fontId="2" fillId="0" borderId="3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left" vertical="center" shrinkToFit="1"/>
    </xf>
    <xf numFmtId="0" fontId="11" fillId="0" borderId="5" xfId="0" applyFont="1" applyBorder="1" applyAlignment="1">
      <alignment horizontal="left" vertical="center" shrinkToFit="1"/>
    </xf>
    <xf numFmtId="0" fontId="11" fillId="0" borderId="6" xfId="0" applyFont="1" applyBorder="1" applyAlignment="1">
      <alignment horizontal="left" vertical="center" shrinkToFit="1"/>
    </xf>
    <xf numFmtId="0" fontId="14" fillId="0" borderId="4" xfId="0" applyFont="1" applyBorder="1" applyAlignment="1">
      <alignment horizontal="left" vertical="center" shrinkToFit="1"/>
    </xf>
    <xf numFmtId="0" fontId="14" fillId="0" borderId="5" xfId="0" applyFont="1" applyBorder="1" applyAlignment="1">
      <alignment horizontal="left" vertical="center" shrinkToFit="1"/>
    </xf>
    <xf numFmtId="0" fontId="14" fillId="0" borderId="6" xfId="0" applyFont="1" applyBorder="1" applyAlignment="1">
      <alignment horizontal="left" vertical="center" shrinkToFit="1"/>
    </xf>
    <xf numFmtId="0" fontId="17" fillId="2" borderId="4" xfId="0" applyFont="1" applyFill="1" applyBorder="1" applyAlignment="1">
      <alignment horizontal="center" vertical="center" shrinkToFit="1"/>
    </xf>
    <xf numFmtId="0" fontId="17" fillId="2" borderId="5" xfId="0" applyFont="1" applyFill="1" applyBorder="1" applyAlignment="1">
      <alignment horizontal="center" vertical="center" shrinkToFit="1"/>
    </xf>
    <xf numFmtId="0" fontId="17" fillId="2" borderId="6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left" vertical="center" shrinkToFit="1"/>
    </xf>
    <xf numFmtId="0" fontId="3" fillId="0" borderId="5" xfId="0" applyFont="1" applyBorder="1" applyAlignment="1">
      <alignment horizontal="left" vertical="center" shrinkToFit="1"/>
    </xf>
    <xf numFmtId="0" fontId="3" fillId="0" borderId="6" xfId="0" applyFont="1" applyBorder="1" applyAlignment="1">
      <alignment horizontal="left" vertical="center" shrinkToFit="1"/>
    </xf>
    <xf numFmtId="1" fontId="18" fillId="0" borderId="7" xfId="0" applyNumberFormat="1" applyFont="1" applyBorder="1" applyAlignment="1">
      <alignment vertical="center" shrinkToFit="1"/>
    </xf>
  </cellXfs>
  <cellStyles count="1">
    <cellStyle name="Normal" xfId="0" builtinId="0"/>
  </cellStyles>
  <dxfs count="5">
    <dxf>
      <numFmt numFmtId="165" formatCode="#,##0.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Table" displayName="productTable" ref="A10:D751" totalsRowShown="0" headerRowDxfId="4">
  <autoFilter ref="A10:D751" xr:uid="{00000000-0009-0000-0100-000001000000}"/>
  <tableColumns count="4">
    <tableColumn id="3" xr3:uid="{00000000-0010-0000-0000-000003000000}" name="コード" dataDxfId="3"/>
    <tableColumn id="5" xr3:uid="{00000000-0010-0000-0000-000005000000}" name="商品名" dataDxfId="2"/>
    <tableColumn id="8" xr3:uid="{00000000-0010-0000-0000-000008000000}" name="原価" dataDxfId="1"/>
    <tableColumn id="9" xr3:uid="{00000000-0010-0000-0000-000009000000}" name="個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3"/>
  <sheetViews>
    <sheetView tabSelected="1" topLeftCell="A714" workbookViewId="0">
      <selection activeCell="M733" sqref="M733"/>
    </sheetView>
  </sheetViews>
  <sheetFormatPr defaultRowHeight="13.8"/>
  <cols>
    <col min="1" max="1" width="10.19921875" customWidth="1"/>
    <col min="2" max="2" width="41.3984375" customWidth="1"/>
    <col min="3" max="3" width="8.5" customWidth="1"/>
    <col min="4" max="4" width="8.3984375" customWidth="1"/>
    <col min="5" max="5" width="13.19921875" customWidth="1"/>
  </cols>
  <sheetData>
    <row r="1" spans="1:5" ht="30.6" thickTop="1">
      <c r="A1" s="28" t="s">
        <v>138</v>
      </c>
      <c r="B1" s="29"/>
      <c r="C1" s="29"/>
      <c r="D1" s="29"/>
      <c r="E1" s="30"/>
    </row>
    <row r="2" spans="1:5" ht="28.8">
      <c r="A2" s="31" t="s">
        <v>153</v>
      </c>
      <c r="B2" s="32"/>
      <c r="C2" s="32"/>
      <c r="D2" s="32"/>
      <c r="E2" s="33"/>
    </row>
    <row r="3" spans="1:5" ht="28.8">
      <c r="A3" s="34" t="s">
        <v>154</v>
      </c>
      <c r="B3" s="35"/>
      <c r="C3" s="35"/>
      <c r="D3" s="35"/>
      <c r="E3" s="36"/>
    </row>
    <row r="4" spans="1:5" ht="22.8">
      <c r="A4" s="31" t="s">
        <v>139</v>
      </c>
      <c r="B4" s="32"/>
      <c r="C4" s="32"/>
      <c r="D4" s="32"/>
      <c r="E4" s="33"/>
    </row>
    <row r="5" spans="1:5" ht="36.6">
      <c r="A5" s="37" t="s">
        <v>140</v>
      </c>
      <c r="B5" s="38"/>
      <c r="C5" s="38"/>
      <c r="D5" s="38"/>
      <c r="E5" s="39"/>
    </row>
    <row r="6" spans="1:5" ht="28.8">
      <c r="A6" s="40" t="s">
        <v>1499</v>
      </c>
      <c r="B6" s="41"/>
      <c r="C6" s="41"/>
      <c r="D6" s="41"/>
      <c r="E6" s="42"/>
    </row>
    <row r="7" spans="1:5" ht="28.8">
      <c r="A7" s="21" t="s">
        <v>141</v>
      </c>
      <c r="B7" s="22"/>
      <c r="C7" s="22"/>
      <c r="D7" s="22"/>
      <c r="E7" s="23"/>
    </row>
    <row r="8" spans="1:5" ht="40.5" customHeight="1">
      <c r="A8" s="24"/>
      <c r="B8" s="25"/>
      <c r="C8" s="25"/>
      <c r="D8" s="25"/>
      <c r="E8" s="26"/>
    </row>
    <row r="9" spans="1:5" ht="16.8">
      <c r="A9" s="1" t="s">
        <v>142</v>
      </c>
      <c r="B9" s="2" t="s">
        <v>143</v>
      </c>
      <c r="C9" s="3" t="s">
        <v>151</v>
      </c>
      <c r="D9" s="2" t="s">
        <v>144</v>
      </c>
      <c r="E9" s="4" t="s">
        <v>150</v>
      </c>
    </row>
    <row r="10" spans="1:5" ht="16.8">
      <c r="A10" s="5" t="s">
        <v>145</v>
      </c>
      <c r="B10" s="6" t="s">
        <v>146</v>
      </c>
      <c r="C10" s="7" t="s">
        <v>147</v>
      </c>
      <c r="D10" s="6" t="s">
        <v>148</v>
      </c>
      <c r="E10" s="8" t="s">
        <v>149</v>
      </c>
    </row>
    <row r="11" spans="1:5">
      <c r="A11" s="9" t="s">
        <v>0</v>
      </c>
      <c r="B11" s="10" t="s">
        <v>155</v>
      </c>
      <c r="C11" s="11">
        <v>560</v>
      </c>
      <c r="D11" s="12">
        <v>9</v>
      </c>
      <c r="E11" s="13">
        <f>productTable[[#This Row],[個数]]*productTable[[#This Row],[原価]]</f>
        <v>5040</v>
      </c>
    </row>
    <row r="12" spans="1:5">
      <c r="A12" s="9" t="s">
        <v>759</v>
      </c>
      <c r="B12" s="10" t="s">
        <v>156</v>
      </c>
      <c r="C12" s="11">
        <v>227</v>
      </c>
      <c r="D12" s="12">
        <v>35</v>
      </c>
      <c r="E12" s="13">
        <f>productTable[[#This Row],[個数]]*productTable[[#This Row],[原価]]</f>
        <v>7945</v>
      </c>
    </row>
    <row r="13" spans="1:5">
      <c r="A13" s="9" t="s">
        <v>760</v>
      </c>
      <c r="B13" s="10" t="s">
        <v>157</v>
      </c>
      <c r="C13" s="11">
        <v>200</v>
      </c>
      <c r="D13" s="12">
        <v>208</v>
      </c>
      <c r="E13" s="13">
        <f>productTable[[#This Row],[個数]]*productTable[[#This Row],[原価]]</f>
        <v>41600</v>
      </c>
    </row>
    <row r="14" spans="1:5">
      <c r="A14" s="9" t="s">
        <v>761</v>
      </c>
      <c r="B14" s="10" t="s">
        <v>158</v>
      </c>
      <c r="C14" s="11">
        <v>0</v>
      </c>
      <c r="D14" s="12">
        <v>0</v>
      </c>
      <c r="E14" s="13">
        <f>productTable[[#This Row],[個数]]*productTable[[#This Row],[原価]]</f>
        <v>0</v>
      </c>
    </row>
    <row r="15" spans="1:5">
      <c r="A15" s="9" t="s">
        <v>762</v>
      </c>
      <c r="B15" s="10" t="s">
        <v>159</v>
      </c>
      <c r="C15" s="11">
        <v>215</v>
      </c>
      <c r="D15" s="12">
        <v>32</v>
      </c>
      <c r="E15" s="13">
        <f>productTable[[#This Row],[個数]]*productTable[[#This Row],[原価]]</f>
        <v>6880</v>
      </c>
    </row>
    <row r="16" spans="1:5">
      <c r="A16" s="9" t="s">
        <v>763</v>
      </c>
      <c r="B16" s="10" t="s">
        <v>160</v>
      </c>
      <c r="C16" s="11">
        <v>387</v>
      </c>
      <c r="D16" s="12">
        <v>18</v>
      </c>
      <c r="E16" s="13">
        <f>productTable[[#This Row],[個数]]*productTable[[#This Row],[原価]]</f>
        <v>6966</v>
      </c>
    </row>
    <row r="17" spans="1:5">
      <c r="A17" s="9" t="s">
        <v>764</v>
      </c>
      <c r="B17" s="10" t="s">
        <v>161</v>
      </c>
      <c r="C17" s="11">
        <v>1085</v>
      </c>
      <c r="D17" s="12">
        <v>23</v>
      </c>
      <c r="E17" s="13">
        <f>productTable[[#This Row],[個数]]*productTable[[#This Row],[原価]]</f>
        <v>24955</v>
      </c>
    </row>
    <row r="18" spans="1:5">
      <c r="A18" s="9" t="s">
        <v>765</v>
      </c>
      <c r="B18" s="10" t="s">
        <v>162</v>
      </c>
      <c r="C18" s="11">
        <v>465</v>
      </c>
      <c r="D18" s="12">
        <v>15</v>
      </c>
      <c r="E18" s="13">
        <f>productTable[[#This Row],[個数]]*productTable[[#This Row],[原価]]</f>
        <v>6975</v>
      </c>
    </row>
    <row r="19" spans="1:5">
      <c r="A19" s="9" t="s">
        <v>766</v>
      </c>
      <c r="B19" s="10" t="s">
        <v>163</v>
      </c>
      <c r="C19" s="11">
        <v>150</v>
      </c>
      <c r="D19" s="12">
        <v>41</v>
      </c>
      <c r="E19" s="13">
        <f>productTable[[#This Row],[個数]]*productTable[[#This Row],[原価]]</f>
        <v>6150</v>
      </c>
    </row>
    <row r="20" spans="1:5">
      <c r="A20" s="9" t="s">
        <v>767</v>
      </c>
      <c r="B20" s="10" t="s">
        <v>164</v>
      </c>
      <c r="C20" s="11">
        <v>66.599999999999994</v>
      </c>
      <c r="D20" s="12">
        <v>318</v>
      </c>
      <c r="E20" s="13">
        <f>productTable[[#This Row],[個数]]*productTable[[#This Row],[原価]]</f>
        <v>21178.799999999999</v>
      </c>
    </row>
    <row r="21" spans="1:5">
      <c r="A21" s="9" t="s">
        <v>768</v>
      </c>
      <c r="B21" s="10" t="s">
        <v>165</v>
      </c>
      <c r="C21" s="11">
        <v>120</v>
      </c>
      <c r="D21" s="12">
        <v>117</v>
      </c>
      <c r="E21" s="13">
        <f>productTable[[#This Row],[個数]]*productTable[[#This Row],[原価]]</f>
        <v>14040</v>
      </c>
    </row>
    <row r="22" spans="1:5">
      <c r="A22" s="9" t="s">
        <v>769</v>
      </c>
      <c r="B22" s="10" t="s">
        <v>166</v>
      </c>
      <c r="C22" s="11">
        <v>255</v>
      </c>
      <c r="D22" s="12">
        <v>12</v>
      </c>
      <c r="E22" s="13">
        <f>productTable[[#This Row],[個数]]*productTable[[#This Row],[原価]]</f>
        <v>3060</v>
      </c>
    </row>
    <row r="23" spans="1:5">
      <c r="A23" s="9" t="s">
        <v>770</v>
      </c>
      <c r="B23" s="10" t="s">
        <v>167</v>
      </c>
      <c r="C23" s="11">
        <v>600</v>
      </c>
      <c r="D23" s="12">
        <v>22</v>
      </c>
      <c r="E23" s="13">
        <f>productTable[[#This Row],[個数]]*productTable[[#This Row],[原価]]</f>
        <v>13200</v>
      </c>
    </row>
    <row r="24" spans="1:5">
      <c r="A24" s="9" t="s">
        <v>771</v>
      </c>
      <c r="B24" s="10" t="s">
        <v>168</v>
      </c>
      <c r="C24" s="11">
        <v>1050</v>
      </c>
      <c r="D24" s="12">
        <v>9</v>
      </c>
      <c r="E24" s="13">
        <f>productTable[[#This Row],[個数]]*productTable[[#This Row],[原価]]</f>
        <v>9450</v>
      </c>
    </row>
    <row r="25" spans="1:5">
      <c r="A25" s="9" t="s">
        <v>772</v>
      </c>
      <c r="B25" s="10" t="s">
        <v>169</v>
      </c>
      <c r="C25" s="11">
        <v>1000</v>
      </c>
      <c r="D25" s="12">
        <v>5</v>
      </c>
      <c r="E25" s="13">
        <f>productTable[[#This Row],[個数]]*productTable[[#This Row],[原価]]</f>
        <v>5000</v>
      </c>
    </row>
    <row r="26" spans="1:5">
      <c r="A26" s="9" t="s">
        <v>773</v>
      </c>
      <c r="B26" s="10" t="s">
        <v>170</v>
      </c>
      <c r="C26" s="11">
        <v>180</v>
      </c>
      <c r="D26" s="12">
        <v>13</v>
      </c>
      <c r="E26" s="13">
        <f>productTable[[#This Row],[個数]]*productTable[[#This Row],[原価]]</f>
        <v>2340</v>
      </c>
    </row>
    <row r="27" spans="1:5">
      <c r="A27" s="9" t="s">
        <v>774</v>
      </c>
      <c r="B27" s="10" t="s">
        <v>171</v>
      </c>
      <c r="C27" s="11">
        <v>72.36</v>
      </c>
      <c r="D27" s="12">
        <v>736</v>
      </c>
      <c r="E27" s="13">
        <f>productTable[[#This Row],[個数]]*productTable[[#This Row],[原価]]</f>
        <v>53256.959999999999</v>
      </c>
    </row>
    <row r="28" spans="1:5">
      <c r="A28" s="9" t="s">
        <v>775</v>
      </c>
      <c r="B28" s="10" t="s">
        <v>172</v>
      </c>
      <c r="C28" s="11">
        <v>170</v>
      </c>
      <c r="D28" s="12">
        <v>15</v>
      </c>
      <c r="E28" s="13">
        <f>productTable[[#This Row],[個数]]*productTable[[#This Row],[原価]]</f>
        <v>2550</v>
      </c>
    </row>
    <row r="29" spans="1:5">
      <c r="A29" s="9" t="s">
        <v>776</v>
      </c>
      <c r="B29" s="10" t="s">
        <v>173</v>
      </c>
      <c r="C29" s="11">
        <v>0</v>
      </c>
      <c r="D29" s="12">
        <v>0</v>
      </c>
      <c r="E29" s="13">
        <f>productTable[[#This Row],[個数]]*productTable[[#This Row],[原価]]</f>
        <v>0</v>
      </c>
    </row>
    <row r="30" spans="1:5">
      <c r="A30" s="9" t="s">
        <v>777</v>
      </c>
      <c r="B30" s="10" t="s">
        <v>174</v>
      </c>
      <c r="C30" s="11">
        <v>118</v>
      </c>
      <c r="D30" s="12">
        <v>87</v>
      </c>
      <c r="E30" s="13">
        <f>productTable[[#This Row],[個数]]*productTable[[#This Row],[原価]]</f>
        <v>10266</v>
      </c>
    </row>
    <row r="31" spans="1:5">
      <c r="A31" s="9" t="s">
        <v>778</v>
      </c>
      <c r="B31" s="10" t="s">
        <v>1</v>
      </c>
      <c r="C31" s="11">
        <v>113</v>
      </c>
      <c r="D31" s="12">
        <v>43</v>
      </c>
      <c r="E31" s="13">
        <f>productTable[[#This Row],[個数]]*productTable[[#This Row],[原価]]</f>
        <v>4859</v>
      </c>
    </row>
    <row r="32" spans="1:5">
      <c r="A32" s="9" t="s">
        <v>779</v>
      </c>
      <c r="B32" s="10" t="s">
        <v>175</v>
      </c>
      <c r="C32" s="11">
        <v>100</v>
      </c>
      <c r="D32" s="12">
        <v>0</v>
      </c>
      <c r="E32" s="13">
        <f>productTable[[#This Row],[個数]]*productTable[[#This Row],[原価]]</f>
        <v>0</v>
      </c>
    </row>
    <row r="33" spans="1:5">
      <c r="A33" s="9" t="s">
        <v>780</v>
      </c>
      <c r="B33" s="10" t="s">
        <v>176</v>
      </c>
      <c r="C33" s="11">
        <v>150</v>
      </c>
      <c r="D33" s="12">
        <v>21</v>
      </c>
      <c r="E33" s="13">
        <f>productTable[[#This Row],[個数]]*productTable[[#This Row],[原価]]</f>
        <v>3150</v>
      </c>
    </row>
    <row r="34" spans="1:5">
      <c r="A34" s="9" t="s">
        <v>781</v>
      </c>
      <c r="B34" s="10" t="s">
        <v>177</v>
      </c>
      <c r="C34" s="11">
        <v>700</v>
      </c>
      <c r="D34" s="12">
        <v>0.5</v>
      </c>
      <c r="E34" s="13">
        <f>productTable[[#This Row],[個数]]*productTable[[#This Row],[原価]]</f>
        <v>350</v>
      </c>
    </row>
    <row r="35" spans="1:5">
      <c r="A35" s="9" t="s">
        <v>782</v>
      </c>
      <c r="B35" s="10" t="s">
        <v>178</v>
      </c>
      <c r="C35" s="11">
        <v>75</v>
      </c>
      <c r="D35" s="12">
        <v>13</v>
      </c>
      <c r="E35" s="13">
        <f>productTable[[#This Row],[個数]]*productTable[[#This Row],[原価]]</f>
        <v>975</v>
      </c>
    </row>
    <row r="36" spans="1:5">
      <c r="A36" s="9" t="s">
        <v>783</v>
      </c>
      <c r="B36" s="10" t="s">
        <v>179</v>
      </c>
      <c r="C36" s="11">
        <v>150</v>
      </c>
      <c r="D36" s="12">
        <v>71</v>
      </c>
      <c r="E36" s="13">
        <f>productTable[[#This Row],[個数]]*productTable[[#This Row],[原価]]</f>
        <v>10650</v>
      </c>
    </row>
    <row r="37" spans="1:5">
      <c r="A37" s="9" t="s">
        <v>784</v>
      </c>
      <c r="B37" s="10" t="s">
        <v>180</v>
      </c>
      <c r="C37" s="11">
        <v>100</v>
      </c>
      <c r="D37" s="12">
        <v>116</v>
      </c>
      <c r="E37" s="13">
        <f>productTable[[#This Row],[個数]]*productTable[[#This Row],[原価]]</f>
        <v>11600</v>
      </c>
    </row>
    <row r="38" spans="1:5">
      <c r="A38" s="9" t="s">
        <v>785</v>
      </c>
      <c r="B38" s="10" t="s">
        <v>181</v>
      </c>
      <c r="C38" s="11">
        <v>260</v>
      </c>
      <c r="D38" s="12">
        <v>14</v>
      </c>
      <c r="E38" s="13">
        <f>productTable[[#This Row],[個数]]*productTable[[#This Row],[原価]]</f>
        <v>3640</v>
      </c>
    </row>
    <row r="39" spans="1:5">
      <c r="A39" s="9" t="s">
        <v>786</v>
      </c>
      <c r="B39" s="10" t="s">
        <v>182</v>
      </c>
      <c r="C39" s="11">
        <v>150</v>
      </c>
      <c r="D39" s="12">
        <v>15</v>
      </c>
      <c r="E39" s="13">
        <f>productTable[[#This Row],[個数]]*productTable[[#This Row],[原価]]</f>
        <v>2250</v>
      </c>
    </row>
    <row r="40" spans="1:5">
      <c r="A40" s="9" t="s">
        <v>787</v>
      </c>
      <c r="B40" s="10" t="s">
        <v>2</v>
      </c>
      <c r="C40" s="11">
        <v>110</v>
      </c>
      <c r="D40" s="12">
        <v>15</v>
      </c>
      <c r="E40" s="13">
        <f>productTable[[#This Row],[個数]]*productTable[[#This Row],[原価]]</f>
        <v>1650</v>
      </c>
    </row>
    <row r="41" spans="1:5">
      <c r="A41" s="9" t="s">
        <v>788</v>
      </c>
      <c r="B41" s="10" t="s">
        <v>183</v>
      </c>
      <c r="C41" s="11">
        <v>590</v>
      </c>
      <c r="D41" s="12">
        <v>1</v>
      </c>
      <c r="E41" s="13">
        <f>productTable[[#This Row],[個数]]*productTable[[#This Row],[原価]]</f>
        <v>590</v>
      </c>
    </row>
    <row r="42" spans="1:5">
      <c r="A42" s="9" t="s">
        <v>789</v>
      </c>
      <c r="B42" s="10" t="s">
        <v>184</v>
      </c>
      <c r="C42" s="11">
        <v>0</v>
      </c>
      <c r="D42" s="12">
        <v>63</v>
      </c>
      <c r="E42" s="13">
        <f>productTable[[#This Row],[個数]]*productTable[[#This Row],[原価]]</f>
        <v>0</v>
      </c>
    </row>
    <row r="43" spans="1:5">
      <c r="A43" s="9" t="s">
        <v>790</v>
      </c>
      <c r="B43" s="10" t="s">
        <v>185</v>
      </c>
      <c r="C43" s="11">
        <v>460</v>
      </c>
      <c r="D43" s="12">
        <v>25</v>
      </c>
      <c r="E43" s="13">
        <f>productTable[[#This Row],[個数]]*productTable[[#This Row],[原価]]</f>
        <v>11500</v>
      </c>
    </row>
    <row r="44" spans="1:5">
      <c r="A44" s="9" t="s">
        <v>791</v>
      </c>
      <c r="B44" s="10" t="s">
        <v>186</v>
      </c>
      <c r="C44" s="11">
        <v>240</v>
      </c>
      <c r="D44" s="12">
        <v>42</v>
      </c>
      <c r="E44" s="13">
        <f>productTable[[#This Row],[個数]]*productTable[[#This Row],[原価]]</f>
        <v>10080</v>
      </c>
    </row>
    <row r="45" spans="1:5">
      <c r="A45" s="9" t="s">
        <v>792</v>
      </c>
      <c r="B45" s="10" t="s">
        <v>187</v>
      </c>
      <c r="C45" s="11">
        <v>500</v>
      </c>
      <c r="D45" s="12">
        <v>9</v>
      </c>
      <c r="E45" s="13">
        <f>productTable[[#This Row],[個数]]*productTable[[#This Row],[原価]]</f>
        <v>4500</v>
      </c>
    </row>
    <row r="46" spans="1:5">
      <c r="A46" s="9" t="s">
        <v>793</v>
      </c>
      <c r="B46" s="10" t="s">
        <v>188</v>
      </c>
      <c r="C46" s="11">
        <v>65</v>
      </c>
      <c r="D46" s="12">
        <v>441</v>
      </c>
      <c r="E46" s="13">
        <f>productTable[[#This Row],[個数]]*productTable[[#This Row],[原価]]</f>
        <v>28665</v>
      </c>
    </row>
    <row r="47" spans="1:5">
      <c r="A47" s="9" t="s">
        <v>794</v>
      </c>
      <c r="B47" s="10" t="s">
        <v>189</v>
      </c>
      <c r="C47" s="11">
        <v>0</v>
      </c>
      <c r="D47" s="12">
        <v>14</v>
      </c>
      <c r="E47" s="13">
        <f>productTable[[#This Row],[個数]]*productTable[[#This Row],[原価]]</f>
        <v>0</v>
      </c>
    </row>
    <row r="48" spans="1:5">
      <c r="A48" s="9" t="s">
        <v>795</v>
      </c>
      <c r="B48" s="10" t="s">
        <v>190</v>
      </c>
      <c r="C48" s="11">
        <v>155</v>
      </c>
      <c r="D48" s="12">
        <v>25</v>
      </c>
      <c r="E48" s="13">
        <f>productTable[[#This Row],[個数]]*productTable[[#This Row],[原価]]</f>
        <v>3875</v>
      </c>
    </row>
    <row r="49" spans="1:5">
      <c r="A49" s="9" t="s">
        <v>796</v>
      </c>
      <c r="B49" s="10" t="s">
        <v>191</v>
      </c>
      <c r="C49" s="11">
        <v>245</v>
      </c>
      <c r="D49" s="12">
        <v>17</v>
      </c>
      <c r="E49" s="13">
        <f>productTable[[#This Row],[個数]]*productTable[[#This Row],[原価]]</f>
        <v>4165</v>
      </c>
    </row>
    <row r="50" spans="1:5">
      <c r="A50" s="9" t="s">
        <v>797</v>
      </c>
      <c r="B50" s="10" t="s">
        <v>192</v>
      </c>
      <c r="C50" s="11">
        <v>325</v>
      </c>
      <c r="D50" s="12">
        <v>9</v>
      </c>
      <c r="E50" s="13">
        <f>productTable[[#This Row],[個数]]*productTable[[#This Row],[原価]]</f>
        <v>2925</v>
      </c>
    </row>
    <row r="51" spans="1:5">
      <c r="A51" s="9" t="s">
        <v>798</v>
      </c>
      <c r="B51" s="10" t="s">
        <v>193</v>
      </c>
      <c r="C51" s="11">
        <v>355</v>
      </c>
      <c r="D51" s="12">
        <v>0</v>
      </c>
      <c r="E51" s="13">
        <f>productTable[[#This Row],[個数]]*productTable[[#This Row],[原価]]</f>
        <v>0</v>
      </c>
    </row>
    <row r="52" spans="1:5">
      <c r="A52" s="9" t="s">
        <v>799</v>
      </c>
      <c r="B52" s="10" t="s">
        <v>194</v>
      </c>
      <c r="C52" s="11">
        <v>87</v>
      </c>
      <c r="D52" s="12">
        <v>40</v>
      </c>
      <c r="E52" s="13">
        <f>productTable[[#This Row],[個数]]*productTable[[#This Row],[原価]]</f>
        <v>3480</v>
      </c>
    </row>
    <row r="53" spans="1:5">
      <c r="A53" s="9" t="s">
        <v>800</v>
      </c>
      <c r="B53" s="10" t="s">
        <v>195</v>
      </c>
      <c r="C53" s="11">
        <v>980</v>
      </c>
      <c r="D53" s="12">
        <v>0</v>
      </c>
      <c r="E53" s="13">
        <f>productTable[[#This Row],[個数]]*productTable[[#This Row],[原価]]</f>
        <v>0</v>
      </c>
    </row>
    <row r="54" spans="1:5">
      <c r="A54" s="9" t="s">
        <v>801</v>
      </c>
      <c r="B54" s="10" t="s">
        <v>196</v>
      </c>
      <c r="C54" s="11">
        <v>500</v>
      </c>
      <c r="D54" s="12">
        <v>12</v>
      </c>
      <c r="E54" s="13">
        <f>productTable[[#This Row],[個数]]*productTable[[#This Row],[原価]]</f>
        <v>6000</v>
      </c>
    </row>
    <row r="55" spans="1:5">
      <c r="A55" s="9" t="s">
        <v>802</v>
      </c>
      <c r="B55" s="10" t="s">
        <v>197</v>
      </c>
      <c r="C55" s="11">
        <v>113</v>
      </c>
      <c r="D55" s="12">
        <v>46</v>
      </c>
      <c r="E55" s="13">
        <f>productTable[[#This Row],[個数]]*productTable[[#This Row],[原価]]</f>
        <v>5198</v>
      </c>
    </row>
    <row r="56" spans="1:5">
      <c r="A56" s="9" t="s">
        <v>803</v>
      </c>
      <c r="B56" s="10" t="s">
        <v>198</v>
      </c>
      <c r="C56" s="11">
        <v>1300</v>
      </c>
      <c r="D56" s="12">
        <v>0</v>
      </c>
      <c r="E56" s="13">
        <f>productTable[[#This Row],[個数]]*productTable[[#This Row],[原価]]</f>
        <v>0</v>
      </c>
    </row>
    <row r="57" spans="1:5">
      <c r="A57" s="9" t="s">
        <v>804</v>
      </c>
      <c r="B57" s="10" t="s">
        <v>199</v>
      </c>
      <c r="C57" s="11">
        <v>0</v>
      </c>
      <c r="D57" s="12">
        <v>0</v>
      </c>
      <c r="E57" s="13">
        <f>productTable[[#This Row],[個数]]*productTable[[#This Row],[原価]]</f>
        <v>0</v>
      </c>
    </row>
    <row r="58" spans="1:5">
      <c r="A58" s="9" t="s">
        <v>805</v>
      </c>
      <c r="B58" s="10" t="s">
        <v>3</v>
      </c>
      <c r="C58" s="11">
        <v>0</v>
      </c>
      <c r="D58" s="12">
        <v>0</v>
      </c>
      <c r="E58" s="13">
        <f>productTable[[#This Row],[個数]]*productTable[[#This Row],[原価]]</f>
        <v>0</v>
      </c>
    </row>
    <row r="59" spans="1:5">
      <c r="A59" s="9" t="s">
        <v>806</v>
      </c>
      <c r="B59" s="10" t="s">
        <v>200</v>
      </c>
      <c r="C59" s="11">
        <v>280</v>
      </c>
      <c r="D59" s="12">
        <v>10</v>
      </c>
      <c r="E59" s="13">
        <f>productTable[[#This Row],[個数]]*productTable[[#This Row],[原価]]</f>
        <v>2800</v>
      </c>
    </row>
    <row r="60" spans="1:5">
      <c r="A60" s="9" t="s">
        <v>807</v>
      </c>
      <c r="B60" s="10" t="s">
        <v>201</v>
      </c>
      <c r="C60" s="11">
        <v>350</v>
      </c>
      <c r="D60" s="12">
        <v>0</v>
      </c>
      <c r="E60" s="13">
        <f>productTable[[#This Row],[個数]]*productTable[[#This Row],[原価]]</f>
        <v>0</v>
      </c>
    </row>
    <row r="61" spans="1:5">
      <c r="A61" s="9" t="s">
        <v>808</v>
      </c>
      <c r="B61" s="10" t="s">
        <v>202</v>
      </c>
      <c r="C61" s="11">
        <v>1100</v>
      </c>
      <c r="D61" s="12">
        <v>11</v>
      </c>
      <c r="E61" s="13">
        <f>productTable[[#This Row],[個数]]*productTable[[#This Row],[原価]]</f>
        <v>12100</v>
      </c>
    </row>
    <row r="62" spans="1:5">
      <c r="A62" s="9" t="s">
        <v>809</v>
      </c>
      <c r="B62" s="10" t="s">
        <v>203</v>
      </c>
      <c r="C62" s="11">
        <v>400</v>
      </c>
      <c r="D62" s="12">
        <v>0</v>
      </c>
      <c r="E62" s="13">
        <f>productTable[[#This Row],[個数]]*productTable[[#This Row],[原価]]</f>
        <v>0</v>
      </c>
    </row>
    <row r="63" spans="1:5">
      <c r="A63" s="9" t="s">
        <v>810</v>
      </c>
      <c r="B63" s="10" t="s">
        <v>204</v>
      </c>
      <c r="C63" s="11">
        <v>175</v>
      </c>
      <c r="D63" s="12">
        <v>2</v>
      </c>
      <c r="E63" s="13">
        <f>productTable[[#This Row],[個数]]*productTable[[#This Row],[原価]]</f>
        <v>350</v>
      </c>
    </row>
    <row r="64" spans="1:5">
      <c r="A64" s="9" t="s">
        <v>811</v>
      </c>
      <c r="B64" s="10" t="s">
        <v>205</v>
      </c>
      <c r="C64" s="11">
        <v>0</v>
      </c>
      <c r="D64" s="12">
        <v>0</v>
      </c>
      <c r="E64" s="13">
        <f>productTable[[#This Row],[個数]]*productTable[[#This Row],[原価]]</f>
        <v>0</v>
      </c>
    </row>
    <row r="65" spans="1:5">
      <c r="A65" s="9" t="s">
        <v>812</v>
      </c>
      <c r="B65" s="10" t="s">
        <v>206</v>
      </c>
      <c r="C65" s="11">
        <v>620</v>
      </c>
      <c r="D65" s="12">
        <v>0</v>
      </c>
      <c r="E65" s="13">
        <f>productTable[[#This Row],[個数]]*productTable[[#This Row],[原価]]</f>
        <v>0</v>
      </c>
    </row>
    <row r="66" spans="1:5">
      <c r="A66" s="9" t="s">
        <v>813</v>
      </c>
      <c r="B66" s="10" t="s">
        <v>207</v>
      </c>
      <c r="C66" s="11">
        <v>2800</v>
      </c>
      <c r="D66" s="12">
        <v>7</v>
      </c>
      <c r="E66" s="13">
        <f>productTable[[#This Row],[個数]]*productTable[[#This Row],[原価]]</f>
        <v>19600</v>
      </c>
    </row>
    <row r="67" spans="1:5">
      <c r="A67" s="9" t="s">
        <v>814</v>
      </c>
      <c r="B67" s="10" t="s">
        <v>208</v>
      </c>
      <c r="C67" s="11">
        <v>0</v>
      </c>
      <c r="D67" s="12">
        <v>117</v>
      </c>
      <c r="E67" s="13">
        <f>productTable[[#This Row],[個数]]*productTable[[#This Row],[原価]]</f>
        <v>0</v>
      </c>
    </row>
    <row r="68" spans="1:5">
      <c r="A68" s="9" t="s">
        <v>815</v>
      </c>
      <c r="B68" s="10" t="s">
        <v>209</v>
      </c>
      <c r="C68" s="11">
        <v>600</v>
      </c>
      <c r="D68" s="12">
        <v>16</v>
      </c>
      <c r="E68" s="13">
        <f>productTable[[#This Row],[個数]]*productTable[[#This Row],[原価]]</f>
        <v>9600</v>
      </c>
    </row>
    <row r="69" spans="1:5">
      <c r="A69" s="9" t="s">
        <v>816</v>
      </c>
      <c r="B69" s="10" t="s">
        <v>210</v>
      </c>
      <c r="C69" s="11">
        <v>115</v>
      </c>
      <c r="D69" s="12">
        <v>0</v>
      </c>
      <c r="E69" s="13">
        <f>productTable[[#This Row],[個数]]*productTable[[#This Row],[原価]]</f>
        <v>0</v>
      </c>
    </row>
    <row r="70" spans="1:5">
      <c r="A70" s="9" t="s">
        <v>817</v>
      </c>
      <c r="B70" s="10" t="s">
        <v>211</v>
      </c>
      <c r="C70" s="11">
        <v>115</v>
      </c>
      <c r="D70" s="12">
        <v>0</v>
      </c>
      <c r="E70" s="13">
        <f>productTable[[#This Row],[個数]]*productTable[[#This Row],[原価]]</f>
        <v>0</v>
      </c>
    </row>
    <row r="71" spans="1:5">
      <c r="A71" s="9" t="s">
        <v>818</v>
      </c>
      <c r="B71" s="10" t="s">
        <v>212</v>
      </c>
      <c r="C71" s="11">
        <v>650</v>
      </c>
      <c r="D71" s="12">
        <v>11</v>
      </c>
      <c r="E71" s="13">
        <f>productTable[[#This Row],[個数]]*productTable[[#This Row],[原価]]</f>
        <v>7150</v>
      </c>
    </row>
    <row r="72" spans="1:5">
      <c r="A72" s="9" t="s">
        <v>819</v>
      </c>
      <c r="B72" s="10" t="s">
        <v>213</v>
      </c>
      <c r="C72" s="11">
        <v>200</v>
      </c>
      <c r="D72" s="12">
        <v>35</v>
      </c>
      <c r="E72" s="13">
        <f>productTable[[#This Row],[個数]]*productTable[[#This Row],[原価]]</f>
        <v>7000</v>
      </c>
    </row>
    <row r="73" spans="1:5">
      <c r="A73" s="9" t="s">
        <v>820</v>
      </c>
      <c r="B73" s="10" t="s">
        <v>214</v>
      </c>
      <c r="C73" s="11">
        <v>700</v>
      </c>
      <c r="D73" s="12">
        <v>3</v>
      </c>
      <c r="E73" s="13">
        <f>productTable[[#This Row],[個数]]*productTable[[#This Row],[原価]]</f>
        <v>2100</v>
      </c>
    </row>
    <row r="74" spans="1:5">
      <c r="A74" s="9" t="s">
        <v>821</v>
      </c>
      <c r="B74" s="10" t="s">
        <v>215</v>
      </c>
      <c r="C74" s="11">
        <v>55</v>
      </c>
      <c r="D74" s="12">
        <v>299</v>
      </c>
      <c r="E74" s="13">
        <f>productTable[[#This Row],[個数]]*productTable[[#This Row],[原価]]</f>
        <v>16445</v>
      </c>
    </row>
    <row r="75" spans="1:5">
      <c r="A75" s="9" t="s">
        <v>822</v>
      </c>
      <c r="B75" s="10" t="s">
        <v>216</v>
      </c>
      <c r="C75" s="11">
        <v>600</v>
      </c>
      <c r="D75" s="12">
        <v>4</v>
      </c>
      <c r="E75" s="13">
        <f>productTable[[#This Row],[個数]]*productTable[[#This Row],[原価]]</f>
        <v>2400</v>
      </c>
    </row>
    <row r="76" spans="1:5">
      <c r="A76" s="9" t="s">
        <v>823</v>
      </c>
      <c r="B76" s="10" t="s">
        <v>217</v>
      </c>
      <c r="C76" s="11">
        <v>1500</v>
      </c>
      <c r="D76" s="12">
        <v>0</v>
      </c>
      <c r="E76" s="13">
        <f>productTable[[#This Row],[個数]]*productTable[[#This Row],[原価]]</f>
        <v>0</v>
      </c>
    </row>
    <row r="77" spans="1:5">
      <c r="A77" s="9" t="s">
        <v>824</v>
      </c>
      <c r="B77" s="10" t="s">
        <v>218</v>
      </c>
      <c r="C77" s="11">
        <v>65</v>
      </c>
      <c r="D77" s="12">
        <v>5</v>
      </c>
      <c r="E77" s="13">
        <f>productTable[[#This Row],[個数]]*productTable[[#This Row],[原価]]</f>
        <v>325</v>
      </c>
    </row>
    <row r="78" spans="1:5">
      <c r="A78" s="9" t="s">
        <v>825</v>
      </c>
      <c r="B78" s="10" t="s">
        <v>219</v>
      </c>
      <c r="C78" s="11">
        <v>217</v>
      </c>
      <c r="D78" s="12">
        <v>44</v>
      </c>
      <c r="E78" s="13">
        <f>productTable[[#This Row],[個数]]*productTable[[#This Row],[原価]]</f>
        <v>9548</v>
      </c>
    </row>
    <row r="79" spans="1:5">
      <c r="A79" s="9" t="s">
        <v>826</v>
      </c>
      <c r="B79" s="10" t="s">
        <v>220</v>
      </c>
      <c r="C79" s="11">
        <v>165</v>
      </c>
      <c r="D79" s="12">
        <v>5</v>
      </c>
      <c r="E79" s="13">
        <f>productTable[[#This Row],[個数]]*productTable[[#This Row],[原価]]</f>
        <v>825</v>
      </c>
    </row>
    <row r="80" spans="1:5">
      <c r="A80" s="9" t="s">
        <v>827</v>
      </c>
      <c r="B80" s="10" t="s">
        <v>221</v>
      </c>
      <c r="C80" s="11">
        <v>90</v>
      </c>
      <c r="D80" s="12">
        <v>16</v>
      </c>
      <c r="E80" s="13">
        <f>productTable[[#This Row],[個数]]*productTable[[#This Row],[原価]]</f>
        <v>1440</v>
      </c>
    </row>
    <row r="81" spans="1:5">
      <c r="A81" s="9" t="s">
        <v>828</v>
      </c>
      <c r="B81" s="10" t="s">
        <v>4</v>
      </c>
      <c r="C81" s="11">
        <v>350</v>
      </c>
      <c r="D81" s="12">
        <v>5</v>
      </c>
      <c r="E81" s="13">
        <f>productTable[[#This Row],[個数]]*productTable[[#This Row],[原価]]</f>
        <v>1750</v>
      </c>
    </row>
    <row r="82" spans="1:5">
      <c r="A82" s="9" t="s">
        <v>829</v>
      </c>
      <c r="B82" s="10" t="s">
        <v>222</v>
      </c>
      <c r="C82" s="11">
        <v>235</v>
      </c>
      <c r="D82" s="12">
        <v>22</v>
      </c>
      <c r="E82" s="13">
        <f>productTable[[#This Row],[個数]]*productTable[[#This Row],[原価]]</f>
        <v>5170</v>
      </c>
    </row>
    <row r="83" spans="1:5">
      <c r="A83" s="9" t="s">
        <v>830</v>
      </c>
      <c r="B83" s="10" t="s">
        <v>223</v>
      </c>
      <c r="C83" s="11">
        <v>145</v>
      </c>
      <c r="D83" s="12">
        <v>8</v>
      </c>
      <c r="E83" s="13">
        <f>productTable[[#This Row],[個数]]*productTable[[#This Row],[原価]]</f>
        <v>1160</v>
      </c>
    </row>
    <row r="84" spans="1:5">
      <c r="A84" s="9" t="s">
        <v>831</v>
      </c>
      <c r="B84" s="10" t="s">
        <v>224</v>
      </c>
      <c r="C84" s="11">
        <v>65</v>
      </c>
      <c r="D84" s="12">
        <v>49</v>
      </c>
      <c r="E84" s="13">
        <f>productTable[[#This Row],[個数]]*productTable[[#This Row],[原価]]</f>
        <v>3185</v>
      </c>
    </row>
    <row r="85" spans="1:5">
      <c r="A85" s="9" t="s">
        <v>832</v>
      </c>
      <c r="B85" s="10" t="s">
        <v>225</v>
      </c>
      <c r="C85" s="11">
        <v>685</v>
      </c>
      <c r="D85" s="12">
        <v>38</v>
      </c>
      <c r="E85" s="13">
        <f>productTable[[#This Row],[個数]]*productTable[[#This Row],[原価]]</f>
        <v>26030</v>
      </c>
    </row>
    <row r="86" spans="1:5">
      <c r="A86" s="9" t="s">
        <v>833</v>
      </c>
      <c r="B86" s="10" t="s">
        <v>226</v>
      </c>
      <c r="C86" s="11">
        <v>650</v>
      </c>
      <c r="D86" s="12">
        <v>11</v>
      </c>
      <c r="E86" s="13">
        <f>productTable[[#This Row],[個数]]*productTable[[#This Row],[原価]]</f>
        <v>7150</v>
      </c>
    </row>
    <row r="87" spans="1:5">
      <c r="A87" s="9" t="s">
        <v>834</v>
      </c>
      <c r="B87" s="10" t="s">
        <v>227</v>
      </c>
      <c r="C87" s="11">
        <v>600</v>
      </c>
      <c r="D87" s="12">
        <v>5</v>
      </c>
      <c r="E87" s="13">
        <f>productTable[[#This Row],[個数]]*productTable[[#This Row],[原価]]</f>
        <v>3000</v>
      </c>
    </row>
    <row r="88" spans="1:5">
      <c r="A88" s="9" t="s">
        <v>835</v>
      </c>
      <c r="B88" s="10" t="s">
        <v>228</v>
      </c>
      <c r="C88" s="11">
        <v>600</v>
      </c>
      <c r="D88" s="12">
        <v>57</v>
      </c>
      <c r="E88" s="13">
        <f>productTable[[#This Row],[個数]]*productTable[[#This Row],[原価]]</f>
        <v>34200</v>
      </c>
    </row>
    <row r="89" spans="1:5">
      <c r="A89" s="9" t="s">
        <v>836</v>
      </c>
      <c r="B89" s="10" t="s">
        <v>229</v>
      </c>
      <c r="C89" s="11">
        <v>175</v>
      </c>
      <c r="D89" s="12">
        <v>0</v>
      </c>
      <c r="E89" s="13">
        <f>productTable[[#This Row],[個数]]*productTable[[#This Row],[原価]]</f>
        <v>0</v>
      </c>
    </row>
    <row r="90" spans="1:5">
      <c r="A90" s="9" t="s">
        <v>837</v>
      </c>
      <c r="B90" s="10" t="s">
        <v>230</v>
      </c>
      <c r="C90" s="11">
        <v>299</v>
      </c>
      <c r="D90" s="12">
        <v>37</v>
      </c>
      <c r="E90" s="13">
        <f>productTable[[#This Row],[個数]]*productTable[[#This Row],[原価]]</f>
        <v>11063</v>
      </c>
    </row>
    <row r="91" spans="1:5">
      <c r="A91" s="9" t="s">
        <v>838</v>
      </c>
      <c r="B91" s="10" t="s">
        <v>231</v>
      </c>
      <c r="C91" s="11">
        <v>280</v>
      </c>
      <c r="D91" s="12">
        <v>0</v>
      </c>
      <c r="E91" s="13">
        <f>productTable[[#This Row],[個数]]*productTable[[#This Row],[原価]]</f>
        <v>0</v>
      </c>
    </row>
    <row r="92" spans="1:5">
      <c r="A92" s="9" t="s">
        <v>839</v>
      </c>
      <c r="B92" s="10" t="s">
        <v>232</v>
      </c>
      <c r="C92" s="11">
        <v>240</v>
      </c>
      <c r="D92" s="12">
        <v>10</v>
      </c>
      <c r="E92" s="13">
        <f>productTable[[#This Row],[個数]]*productTable[[#This Row],[原価]]</f>
        <v>2400</v>
      </c>
    </row>
    <row r="93" spans="1:5">
      <c r="A93" s="9" t="s">
        <v>840</v>
      </c>
      <c r="B93" s="10" t="s">
        <v>233</v>
      </c>
      <c r="C93" s="11">
        <v>250</v>
      </c>
      <c r="D93" s="12">
        <v>9</v>
      </c>
      <c r="E93" s="13">
        <f>productTable[[#This Row],[個数]]*productTable[[#This Row],[原価]]</f>
        <v>2250</v>
      </c>
    </row>
    <row r="94" spans="1:5">
      <c r="A94" s="9" t="s">
        <v>841</v>
      </c>
      <c r="B94" s="10" t="s">
        <v>234</v>
      </c>
      <c r="C94" s="11">
        <v>5500</v>
      </c>
      <c r="D94" s="12">
        <v>32</v>
      </c>
      <c r="E94" s="13">
        <f>productTable[[#This Row],[個数]]*productTable[[#This Row],[原価]]</f>
        <v>176000</v>
      </c>
    </row>
    <row r="95" spans="1:5">
      <c r="A95" s="9" t="s">
        <v>842</v>
      </c>
      <c r="B95" s="10" t="s">
        <v>235</v>
      </c>
      <c r="C95" s="11">
        <v>550</v>
      </c>
      <c r="D95" s="12">
        <v>4</v>
      </c>
      <c r="E95" s="13">
        <f>productTable[[#This Row],[個数]]*productTable[[#This Row],[原価]]</f>
        <v>2200</v>
      </c>
    </row>
    <row r="96" spans="1:5">
      <c r="A96" s="9" t="s">
        <v>843</v>
      </c>
      <c r="B96" s="10" t="s">
        <v>236</v>
      </c>
      <c r="C96" s="11">
        <v>320</v>
      </c>
      <c r="D96" s="12">
        <v>12</v>
      </c>
      <c r="E96" s="13">
        <f>productTable[[#This Row],[個数]]*productTable[[#This Row],[原価]]</f>
        <v>3840</v>
      </c>
    </row>
    <row r="97" spans="1:5">
      <c r="A97" s="9" t="s">
        <v>844</v>
      </c>
      <c r="B97" s="10" t="s">
        <v>237</v>
      </c>
      <c r="C97" s="11">
        <v>450</v>
      </c>
      <c r="D97" s="12">
        <v>75</v>
      </c>
      <c r="E97" s="13">
        <f>productTable[[#This Row],[個数]]*productTable[[#This Row],[原価]]</f>
        <v>33750</v>
      </c>
    </row>
    <row r="98" spans="1:5">
      <c r="A98" s="9" t="s">
        <v>845</v>
      </c>
      <c r="B98" s="10" t="s">
        <v>238</v>
      </c>
      <c r="C98" s="11">
        <v>330</v>
      </c>
      <c r="D98" s="12">
        <v>17</v>
      </c>
      <c r="E98" s="13">
        <f>productTable[[#This Row],[個数]]*productTable[[#This Row],[原価]]</f>
        <v>5610</v>
      </c>
    </row>
    <row r="99" spans="1:5">
      <c r="A99" s="9" t="s">
        <v>846</v>
      </c>
      <c r="B99" s="10" t="s">
        <v>239</v>
      </c>
      <c r="C99" s="11">
        <v>180</v>
      </c>
      <c r="D99" s="12">
        <v>25</v>
      </c>
      <c r="E99" s="13">
        <f>productTable[[#This Row],[個数]]*productTable[[#This Row],[原価]]</f>
        <v>4500</v>
      </c>
    </row>
    <row r="100" spans="1:5">
      <c r="A100" s="9" t="s">
        <v>847</v>
      </c>
      <c r="B100" s="10" t="s">
        <v>240</v>
      </c>
      <c r="C100" s="11">
        <v>130</v>
      </c>
      <c r="D100" s="12">
        <v>9</v>
      </c>
      <c r="E100" s="13">
        <f>productTable[[#This Row],[個数]]*productTable[[#This Row],[原価]]</f>
        <v>1170</v>
      </c>
    </row>
    <row r="101" spans="1:5">
      <c r="A101" s="9" t="s">
        <v>848</v>
      </c>
      <c r="B101" s="10" t="s">
        <v>241</v>
      </c>
      <c r="C101" s="11">
        <v>75</v>
      </c>
      <c r="D101" s="12">
        <v>273</v>
      </c>
      <c r="E101" s="13">
        <f>productTable[[#This Row],[個数]]*productTable[[#This Row],[原価]]</f>
        <v>20475</v>
      </c>
    </row>
    <row r="102" spans="1:5">
      <c r="A102" s="9" t="s">
        <v>849</v>
      </c>
      <c r="B102" s="10" t="s">
        <v>242</v>
      </c>
      <c r="C102" s="11">
        <v>750</v>
      </c>
      <c r="D102" s="12">
        <v>22</v>
      </c>
      <c r="E102" s="13">
        <f>productTable[[#This Row],[個数]]*productTable[[#This Row],[原価]]</f>
        <v>16500</v>
      </c>
    </row>
    <row r="103" spans="1:5">
      <c r="A103" s="9" t="s">
        <v>850</v>
      </c>
      <c r="B103" s="10" t="s">
        <v>243</v>
      </c>
      <c r="C103" s="11">
        <v>400</v>
      </c>
      <c r="D103" s="12">
        <v>10</v>
      </c>
      <c r="E103" s="13">
        <f>productTable[[#This Row],[個数]]*productTable[[#This Row],[原価]]</f>
        <v>4000</v>
      </c>
    </row>
    <row r="104" spans="1:5">
      <c r="A104" s="9" t="s">
        <v>851</v>
      </c>
      <c r="B104" s="10" t="s">
        <v>244</v>
      </c>
      <c r="C104" s="11">
        <v>400</v>
      </c>
      <c r="D104" s="12">
        <v>10</v>
      </c>
      <c r="E104" s="13">
        <f>productTable[[#This Row],[個数]]*productTable[[#This Row],[原価]]</f>
        <v>4000</v>
      </c>
    </row>
    <row r="105" spans="1:5">
      <c r="A105" s="9" t="s">
        <v>852</v>
      </c>
      <c r="B105" s="10" t="s">
        <v>245</v>
      </c>
      <c r="C105" s="11">
        <v>550</v>
      </c>
      <c r="D105" s="12">
        <v>5</v>
      </c>
      <c r="E105" s="13">
        <f>productTable[[#This Row],[個数]]*productTable[[#This Row],[原価]]</f>
        <v>2750</v>
      </c>
    </row>
    <row r="106" spans="1:5">
      <c r="A106" s="9" t="s">
        <v>853</v>
      </c>
      <c r="B106" s="10" t="s">
        <v>246</v>
      </c>
      <c r="C106" s="11">
        <v>450</v>
      </c>
      <c r="D106" s="12">
        <v>0</v>
      </c>
      <c r="E106" s="13">
        <f>productTable[[#This Row],[個数]]*productTable[[#This Row],[原価]]</f>
        <v>0</v>
      </c>
    </row>
    <row r="107" spans="1:5">
      <c r="A107" s="9" t="s">
        <v>854</v>
      </c>
      <c r="B107" s="10" t="s">
        <v>247</v>
      </c>
      <c r="C107" s="11">
        <v>363</v>
      </c>
      <c r="D107" s="12">
        <v>62</v>
      </c>
      <c r="E107" s="13">
        <f>productTable[[#This Row],[個数]]*productTable[[#This Row],[原価]]</f>
        <v>22506</v>
      </c>
    </row>
    <row r="108" spans="1:5">
      <c r="A108" s="9" t="s">
        <v>855</v>
      </c>
      <c r="B108" s="10" t="s">
        <v>248</v>
      </c>
      <c r="C108" s="11">
        <v>630</v>
      </c>
      <c r="D108" s="12">
        <v>10</v>
      </c>
      <c r="E108" s="13">
        <f>productTable[[#This Row],[個数]]*productTable[[#This Row],[原価]]</f>
        <v>6300</v>
      </c>
    </row>
    <row r="109" spans="1:5">
      <c r="A109" s="9" t="s">
        <v>856</v>
      </c>
      <c r="B109" s="10" t="s">
        <v>249</v>
      </c>
      <c r="C109" s="11">
        <v>203</v>
      </c>
      <c r="D109" s="12">
        <v>27</v>
      </c>
      <c r="E109" s="13">
        <f>productTable[[#This Row],[個数]]*productTable[[#This Row],[原価]]</f>
        <v>5481</v>
      </c>
    </row>
    <row r="110" spans="1:5">
      <c r="A110" s="9" t="s">
        <v>857</v>
      </c>
      <c r="B110" s="10" t="s">
        <v>250</v>
      </c>
      <c r="C110" s="11">
        <v>278</v>
      </c>
      <c r="D110" s="12">
        <v>33</v>
      </c>
      <c r="E110" s="13">
        <f>productTable[[#This Row],[個数]]*productTable[[#This Row],[原価]]</f>
        <v>9174</v>
      </c>
    </row>
    <row r="111" spans="1:5">
      <c r="A111" s="9" t="s">
        <v>858</v>
      </c>
      <c r="B111" s="10" t="s">
        <v>251</v>
      </c>
      <c r="C111" s="11">
        <v>240</v>
      </c>
      <c r="D111" s="12">
        <v>25</v>
      </c>
      <c r="E111" s="13">
        <f>productTable[[#This Row],[個数]]*productTable[[#This Row],[原価]]</f>
        <v>6000</v>
      </c>
    </row>
    <row r="112" spans="1:5" ht="12.75" customHeight="1">
      <c r="A112" s="9" t="s">
        <v>859</v>
      </c>
      <c r="B112" s="10" t="s">
        <v>252</v>
      </c>
      <c r="C112" s="11">
        <v>750</v>
      </c>
      <c r="D112" s="12">
        <v>0</v>
      </c>
      <c r="E112" s="13">
        <f>productTable[[#This Row],[個数]]*productTable[[#This Row],[原価]]</f>
        <v>0</v>
      </c>
    </row>
    <row r="113" spans="1:5">
      <c r="A113" s="9" t="s">
        <v>860</v>
      </c>
      <c r="B113" s="10" t="s">
        <v>253</v>
      </c>
      <c r="C113" s="11">
        <v>110</v>
      </c>
      <c r="D113" s="12">
        <v>7</v>
      </c>
      <c r="E113" s="13">
        <f>productTable[[#This Row],[個数]]*productTable[[#This Row],[原価]]</f>
        <v>770</v>
      </c>
    </row>
    <row r="114" spans="1:5">
      <c r="A114" s="9" t="s">
        <v>861</v>
      </c>
      <c r="B114" s="10" t="s">
        <v>254</v>
      </c>
      <c r="C114" s="11">
        <v>620</v>
      </c>
      <c r="D114" s="12">
        <v>35</v>
      </c>
      <c r="E114" s="13">
        <f>productTable[[#This Row],[個数]]*productTable[[#This Row],[原価]]</f>
        <v>21700</v>
      </c>
    </row>
    <row r="115" spans="1:5">
      <c r="A115" s="9" t="s">
        <v>862</v>
      </c>
      <c r="B115" s="10" t="s">
        <v>255</v>
      </c>
      <c r="C115" s="11">
        <v>362</v>
      </c>
      <c r="D115" s="12">
        <v>5</v>
      </c>
      <c r="E115" s="13">
        <f>productTable[[#This Row],[個数]]*productTable[[#This Row],[原価]]</f>
        <v>1810</v>
      </c>
    </row>
    <row r="116" spans="1:5">
      <c r="A116" s="9" t="s">
        <v>863</v>
      </c>
      <c r="B116" s="10" t="s">
        <v>256</v>
      </c>
      <c r="C116" s="11">
        <v>265</v>
      </c>
      <c r="D116" s="12">
        <v>24</v>
      </c>
      <c r="E116" s="13">
        <f>productTable[[#This Row],[個数]]*productTable[[#This Row],[原価]]</f>
        <v>6360</v>
      </c>
    </row>
    <row r="117" spans="1:5">
      <c r="A117" s="9" t="s">
        <v>864</v>
      </c>
      <c r="B117" s="10" t="s">
        <v>257</v>
      </c>
      <c r="C117" s="11">
        <v>450</v>
      </c>
      <c r="D117" s="12">
        <v>8</v>
      </c>
      <c r="E117" s="13">
        <f>productTable[[#This Row],[個数]]*productTable[[#This Row],[原価]]</f>
        <v>3600</v>
      </c>
    </row>
    <row r="118" spans="1:5">
      <c r="A118" s="9" t="s">
        <v>865</v>
      </c>
      <c r="B118" s="10" t="s">
        <v>258</v>
      </c>
      <c r="C118" s="11">
        <v>370</v>
      </c>
      <c r="D118" s="12">
        <v>5</v>
      </c>
      <c r="E118" s="13">
        <f>productTable[[#This Row],[個数]]*productTable[[#This Row],[原価]]</f>
        <v>1850</v>
      </c>
    </row>
    <row r="119" spans="1:5">
      <c r="A119" s="9" t="s">
        <v>866</v>
      </c>
      <c r="B119" s="10" t="s">
        <v>259</v>
      </c>
      <c r="C119" s="11">
        <v>450</v>
      </c>
      <c r="D119" s="12">
        <v>16</v>
      </c>
      <c r="E119" s="13">
        <f>productTable[[#This Row],[個数]]*productTable[[#This Row],[原価]]</f>
        <v>7200</v>
      </c>
    </row>
    <row r="120" spans="1:5">
      <c r="A120" s="9" t="s">
        <v>867</v>
      </c>
      <c r="B120" s="10" t="s">
        <v>260</v>
      </c>
      <c r="C120" s="11">
        <v>330</v>
      </c>
      <c r="D120" s="12">
        <v>15</v>
      </c>
      <c r="E120" s="13">
        <f>productTable[[#This Row],[個数]]*productTable[[#This Row],[原価]]</f>
        <v>4950</v>
      </c>
    </row>
    <row r="121" spans="1:5">
      <c r="A121" s="9" t="s">
        <v>868</v>
      </c>
      <c r="B121" s="10" t="s">
        <v>261</v>
      </c>
      <c r="C121" s="11">
        <v>80</v>
      </c>
      <c r="D121" s="12">
        <v>0</v>
      </c>
      <c r="E121" s="13">
        <f>productTable[[#This Row],[個数]]*productTable[[#This Row],[原価]]</f>
        <v>0</v>
      </c>
    </row>
    <row r="122" spans="1:5">
      <c r="A122" s="9" t="s">
        <v>869</v>
      </c>
      <c r="B122" s="10" t="s">
        <v>262</v>
      </c>
      <c r="C122" s="11">
        <v>600</v>
      </c>
      <c r="D122" s="12">
        <v>9</v>
      </c>
      <c r="E122" s="13">
        <f>productTable[[#This Row],[個数]]*productTable[[#This Row],[原価]]</f>
        <v>5400</v>
      </c>
    </row>
    <row r="123" spans="1:5">
      <c r="A123" s="9" t="s">
        <v>870</v>
      </c>
      <c r="B123" s="10" t="s">
        <v>263</v>
      </c>
      <c r="C123" s="11">
        <v>150</v>
      </c>
      <c r="D123" s="12">
        <v>32</v>
      </c>
      <c r="E123" s="13">
        <f>productTable[[#This Row],[個数]]*productTable[[#This Row],[原価]]</f>
        <v>4800</v>
      </c>
    </row>
    <row r="124" spans="1:5">
      <c r="A124" s="9" t="s">
        <v>871</v>
      </c>
      <c r="B124" s="10" t="s">
        <v>5</v>
      </c>
      <c r="C124" s="11">
        <v>0</v>
      </c>
      <c r="D124" s="12">
        <v>6</v>
      </c>
      <c r="E124" s="13">
        <f>productTable[[#This Row],[個数]]*productTable[[#This Row],[原価]]</f>
        <v>0</v>
      </c>
    </row>
    <row r="125" spans="1:5">
      <c r="A125" s="9" t="s">
        <v>872</v>
      </c>
      <c r="B125" s="10" t="s">
        <v>264</v>
      </c>
      <c r="C125" s="11">
        <v>0</v>
      </c>
      <c r="D125" s="12">
        <v>51</v>
      </c>
      <c r="E125" s="13">
        <f>productTable[[#This Row],[個数]]*productTable[[#This Row],[原価]]</f>
        <v>0</v>
      </c>
    </row>
    <row r="126" spans="1:5">
      <c r="A126" s="9" t="s">
        <v>873</v>
      </c>
      <c r="B126" s="10" t="s">
        <v>265</v>
      </c>
      <c r="C126" s="11">
        <v>60</v>
      </c>
      <c r="D126" s="12">
        <v>8</v>
      </c>
      <c r="E126" s="13">
        <f>productTable[[#This Row],[個数]]*productTable[[#This Row],[原価]]</f>
        <v>480</v>
      </c>
    </row>
    <row r="127" spans="1:5">
      <c r="A127" s="9" t="s">
        <v>874</v>
      </c>
      <c r="B127" s="10" t="s">
        <v>266</v>
      </c>
      <c r="C127" s="11">
        <v>100</v>
      </c>
      <c r="D127" s="12">
        <v>76</v>
      </c>
      <c r="E127" s="13">
        <f>productTable[[#This Row],[個数]]*productTable[[#This Row],[原価]]</f>
        <v>7600</v>
      </c>
    </row>
    <row r="128" spans="1:5">
      <c r="A128" s="9" t="s">
        <v>875</v>
      </c>
      <c r="B128" s="10" t="s">
        <v>267</v>
      </c>
      <c r="C128" s="11">
        <v>185</v>
      </c>
      <c r="D128" s="12">
        <v>13</v>
      </c>
      <c r="E128" s="13">
        <f>productTable[[#This Row],[個数]]*productTable[[#This Row],[原価]]</f>
        <v>2405</v>
      </c>
    </row>
    <row r="129" spans="1:5">
      <c r="A129" s="9" t="s">
        <v>876</v>
      </c>
      <c r="B129" s="10" t="s">
        <v>268</v>
      </c>
      <c r="C129" s="11">
        <v>175</v>
      </c>
      <c r="D129" s="12">
        <v>44</v>
      </c>
      <c r="E129" s="13">
        <f>productTable[[#This Row],[個数]]*productTable[[#This Row],[原価]]</f>
        <v>7700</v>
      </c>
    </row>
    <row r="130" spans="1:5">
      <c r="A130" s="9" t="s">
        <v>877</v>
      </c>
      <c r="B130" s="10" t="s">
        <v>269</v>
      </c>
      <c r="C130" s="11">
        <v>292</v>
      </c>
      <c r="D130" s="12">
        <v>43</v>
      </c>
      <c r="E130" s="13">
        <f>productTable[[#This Row],[個数]]*productTable[[#This Row],[原価]]</f>
        <v>12556</v>
      </c>
    </row>
    <row r="131" spans="1:5">
      <c r="A131" s="9" t="s">
        <v>878</v>
      </c>
      <c r="B131" s="10" t="s">
        <v>6</v>
      </c>
      <c r="C131" s="11">
        <v>227</v>
      </c>
      <c r="D131" s="12">
        <v>2</v>
      </c>
      <c r="E131" s="13">
        <f>productTable[[#This Row],[個数]]*productTable[[#This Row],[原価]]</f>
        <v>454</v>
      </c>
    </row>
    <row r="132" spans="1:5">
      <c r="A132" s="9" t="s">
        <v>879</v>
      </c>
      <c r="B132" s="10" t="s">
        <v>270</v>
      </c>
      <c r="C132" s="11">
        <v>64</v>
      </c>
      <c r="D132" s="12">
        <v>86</v>
      </c>
      <c r="E132" s="13">
        <f>productTable[[#This Row],[個数]]*productTable[[#This Row],[原価]]</f>
        <v>5504</v>
      </c>
    </row>
    <row r="133" spans="1:5">
      <c r="A133" s="9" t="s">
        <v>880</v>
      </c>
      <c r="B133" s="10" t="s">
        <v>271</v>
      </c>
      <c r="C133" s="11">
        <v>215</v>
      </c>
      <c r="D133" s="12">
        <v>8</v>
      </c>
      <c r="E133" s="13">
        <f>productTable[[#This Row],[個数]]*productTable[[#This Row],[原価]]</f>
        <v>1720</v>
      </c>
    </row>
    <row r="134" spans="1:5">
      <c r="A134" s="9" t="s">
        <v>881</v>
      </c>
      <c r="B134" s="10" t="s">
        <v>272</v>
      </c>
      <c r="C134" s="11">
        <v>116</v>
      </c>
      <c r="D134" s="12">
        <v>0</v>
      </c>
      <c r="E134" s="13">
        <f>productTable[[#This Row],[個数]]*productTable[[#This Row],[原価]]</f>
        <v>0</v>
      </c>
    </row>
    <row r="135" spans="1:5">
      <c r="A135" s="9" t="s">
        <v>882</v>
      </c>
      <c r="B135" s="10" t="s">
        <v>273</v>
      </c>
      <c r="C135" s="11">
        <v>97</v>
      </c>
      <c r="D135" s="12">
        <v>86</v>
      </c>
      <c r="E135" s="13">
        <f>productTable[[#This Row],[個数]]*productTable[[#This Row],[原価]]</f>
        <v>8342</v>
      </c>
    </row>
    <row r="136" spans="1:5">
      <c r="A136" s="9" t="s">
        <v>883</v>
      </c>
      <c r="B136" s="10" t="s">
        <v>274</v>
      </c>
      <c r="C136" s="11">
        <v>525</v>
      </c>
      <c r="D136" s="12">
        <v>0</v>
      </c>
      <c r="E136" s="13">
        <f>productTable[[#This Row],[個数]]*productTable[[#This Row],[原価]]</f>
        <v>0</v>
      </c>
    </row>
    <row r="137" spans="1:5">
      <c r="A137" s="9" t="s">
        <v>884</v>
      </c>
      <c r="B137" s="10" t="s">
        <v>7</v>
      </c>
      <c r="C137" s="11">
        <v>97</v>
      </c>
      <c r="D137" s="12">
        <v>120</v>
      </c>
      <c r="E137" s="13">
        <f>productTable[[#This Row],[個数]]*productTable[[#This Row],[原価]]</f>
        <v>11640</v>
      </c>
    </row>
    <row r="138" spans="1:5">
      <c r="A138" s="9" t="s">
        <v>885</v>
      </c>
      <c r="B138" s="10" t="s">
        <v>8</v>
      </c>
      <c r="C138" s="11">
        <v>120</v>
      </c>
      <c r="D138" s="12">
        <v>44</v>
      </c>
      <c r="E138" s="13">
        <f>productTable[[#This Row],[個数]]*productTable[[#This Row],[原価]]</f>
        <v>5280</v>
      </c>
    </row>
    <row r="139" spans="1:5">
      <c r="A139" s="9" t="s">
        <v>886</v>
      </c>
      <c r="B139" s="10" t="s">
        <v>275</v>
      </c>
      <c r="C139" s="11">
        <v>200</v>
      </c>
      <c r="D139" s="12">
        <v>93</v>
      </c>
      <c r="E139" s="13">
        <f>productTable[[#This Row],[個数]]*productTable[[#This Row],[原価]]</f>
        <v>18600</v>
      </c>
    </row>
    <row r="140" spans="1:5">
      <c r="A140" s="9" t="s">
        <v>887</v>
      </c>
      <c r="B140" s="10" t="s">
        <v>276</v>
      </c>
      <c r="C140" s="11">
        <v>980</v>
      </c>
      <c r="D140" s="12">
        <v>8</v>
      </c>
      <c r="E140" s="13">
        <f>productTable[[#This Row],[個数]]*productTable[[#This Row],[原価]]</f>
        <v>7840</v>
      </c>
    </row>
    <row r="141" spans="1:5">
      <c r="A141" s="9" t="s">
        <v>888</v>
      </c>
      <c r="B141" s="10" t="s">
        <v>277</v>
      </c>
      <c r="C141" s="11">
        <v>680</v>
      </c>
      <c r="D141" s="12">
        <v>14</v>
      </c>
      <c r="E141" s="13">
        <f>productTable[[#This Row],[個数]]*productTable[[#This Row],[原価]]</f>
        <v>9520</v>
      </c>
    </row>
    <row r="142" spans="1:5">
      <c r="A142" s="9" t="s">
        <v>889</v>
      </c>
      <c r="B142" s="10" t="s">
        <v>278</v>
      </c>
      <c r="C142" s="11">
        <v>90</v>
      </c>
      <c r="D142" s="12">
        <v>86</v>
      </c>
      <c r="E142" s="13">
        <f>productTable[[#This Row],[個数]]*productTable[[#This Row],[原価]]</f>
        <v>7740</v>
      </c>
    </row>
    <row r="143" spans="1:5">
      <c r="A143" s="9" t="s">
        <v>890</v>
      </c>
      <c r="B143" s="10" t="s">
        <v>9</v>
      </c>
      <c r="C143" s="11">
        <v>130</v>
      </c>
      <c r="D143" s="12">
        <v>8</v>
      </c>
      <c r="E143" s="13">
        <f>productTable[[#This Row],[個数]]*productTable[[#This Row],[原価]]</f>
        <v>1040</v>
      </c>
    </row>
    <row r="144" spans="1:5">
      <c r="A144" s="9" t="s">
        <v>891</v>
      </c>
      <c r="B144" s="10" t="s">
        <v>279</v>
      </c>
      <c r="C144" s="11">
        <v>550</v>
      </c>
      <c r="D144" s="12">
        <v>6</v>
      </c>
      <c r="E144" s="13">
        <f>productTable[[#This Row],[個数]]*productTable[[#This Row],[原価]]</f>
        <v>3300</v>
      </c>
    </row>
    <row r="145" spans="1:5">
      <c r="A145" s="9" t="s">
        <v>892</v>
      </c>
      <c r="B145" s="10" t="s">
        <v>280</v>
      </c>
      <c r="C145" s="11">
        <v>439</v>
      </c>
      <c r="D145" s="12">
        <v>24</v>
      </c>
      <c r="E145" s="13">
        <f>productTable[[#This Row],[個数]]*productTable[[#This Row],[原価]]</f>
        <v>10536</v>
      </c>
    </row>
    <row r="146" spans="1:5">
      <c r="A146" s="9" t="s">
        <v>893</v>
      </c>
      <c r="B146" s="10" t="s">
        <v>281</v>
      </c>
      <c r="C146" s="11">
        <v>250</v>
      </c>
      <c r="D146" s="12">
        <v>4</v>
      </c>
      <c r="E146" s="13">
        <f>productTable[[#This Row],[個数]]*productTable[[#This Row],[原価]]</f>
        <v>1000</v>
      </c>
    </row>
    <row r="147" spans="1:5">
      <c r="A147" s="9" t="s">
        <v>894</v>
      </c>
      <c r="B147" s="10" t="s">
        <v>282</v>
      </c>
      <c r="C147" s="11">
        <v>650</v>
      </c>
      <c r="D147" s="12">
        <v>0</v>
      </c>
      <c r="E147" s="13">
        <f>productTable[[#This Row],[個数]]*productTable[[#This Row],[原価]]</f>
        <v>0</v>
      </c>
    </row>
    <row r="148" spans="1:5">
      <c r="A148" s="9" t="s">
        <v>895</v>
      </c>
      <c r="B148" s="10" t="s">
        <v>283</v>
      </c>
      <c r="C148" s="11">
        <v>650</v>
      </c>
      <c r="D148" s="12">
        <v>0</v>
      </c>
      <c r="E148" s="13">
        <f>productTable[[#This Row],[個数]]*productTable[[#This Row],[原価]]</f>
        <v>0</v>
      </c>
    </row>
    <row r="149" spans="1:5">
      <c r="A149" s="9" t="s">
        <v>896</v>
      </c>
      <c r="B149" s="10" t="s">
        <v>284</v>
      </c>
      <c r="C149" s="11">
        <v>500</v>
      </c>
      <c r="D149" s="12">
        <v>11</v>
      </c>
      <c r="E149" s="13">
        <f>productTable[[#This Row],[個数]]*productTable[[#This Row],[原価]]</f>
        <v>5500</v>
      </c>
    </row>
    <row r="150" spans="1:5">
      <c r="A150" s="9" t="s">
        <v>897</v>
      </c>
      <c r="B150" s="10" t="s">
        <v>285</v>
      </c>
      <c r="C150" s="11">
        <v>95</v>
      </c>
      <c r="D150" s="12">
        <v>7</v>
      </c>
      <c r="E150" s="13">
        <f>productTable[[#This Row],[個数]]*productTable[[#This Row],[原価]]</f>
        <v>665</v>
      </c>
    </row>
    <row r="151" spans="1:5">
      <c r="A151" s="9" t="s">
        <v>898</v>
      </c>
      <c r="B151" s="10" t="s">
        <v>286</v>
      </c>
      <c r="C151" s="11">
        <v>50</v>
      </c>
      <c r="D151" s="12">
        <v>0</v>
      </c>
      <c r="E151" s="13">
        <f>productTable[[#This Row],[個数]]*productTable[[#This Row],[原価]]</f>
        <v>0</v>
      </c>
    </row>
    <row r="152" spans="1:5">
      <c r="A152" s="9" t="s">
        <v>899</v>
      </c>
      <c r="B152" s="10" t="s">
        <v>10</v>
      </c>
      <c r="C152" s="11">
        <v>230</v>
      </c>
      <c r="D152" s="12">
        <v>36</v>
      </c>
      <c r="E152" s="13">
        <f>productTable[[#This Row],[個数]]*productTable[[#This Row],[原価]]</f>
        <v>8280</v>
      </c>
    </row>
    <row r="153" spans="1:5">
      <c r="A153" s="9" t="s">
        <v>900</v>
      </c>
      <c r="B153" s="10" t="s">
        <v>287</v>
      </c>
      <c r="C153" s="11">
        <v>850</v>
      </c>
      <c r="D153" s="12">
        <v>22</v>
      </c>
      <c r="E153" s="13">
        <f>productTable[[#This Row],[個数]]*productTable[[#This Row],[原価]]</f>
        <v>18700</v>
      </c>
    </row>
    <row r="154" spans="1:5">
      <c r="A154" s="9" t="s">
        <v>901</v>
      </c>
      <c r="B154" s="10" t="s">
        <v>288</v>
      </c>
      <c r="C154" s="11">
        <v>700</v>
      </c>
      <c r="D154" s="12">
        <v>0</v>
      </c>
      <c r="E154" s="13">
        <f>productTable[[#This Row],[個数]]*productTable[[#This Row],[原価]]</f>
        <v>0</v>
      </c>
    </row>
    <row r="155" spans="1:5">
      <c r="A155" s="9" t="s">
        <v>902</v>
      </c>
      <c r="B155" s="10" t="s">
        <v>289</v>
      </c>
      <c r="C155" s="11">
        <v>390</v>
      </c>
      <c r="D155" s="12">
        <v>6</v>
      </c>
      <c r="E155" s="13">
        <f>productTable[[#This Row],[個数]]*productTable[[#This Row],[原価]]</f>
        <v>2340</v>
      </c>
    </row>
    <row r="156" spans="1:5">
      <c r="A156" s="9" t="s">
        <v>903</v>
      </c>
      <c r="B156" s="10" t="s">
        <v>290</v>
      </c>
      <c r="C156" s="11">
        <v>690</v>
      </c>
      <c r="D156" s="12">
        <v>16</v>
      </c>
      <c r="E156" s="13">
        <f>productTable[[#This Row],[個数]]*productTable[[#This Row],[原価]]</f>
        <v>11040</v>
      </c>
    </row>
    <row r="157" spans="1:5">
      <c r="A157" s="9" t="s">
        <v>904</v>
      </c>
      <c r="B157" s="10" t="s">
        <v>291</v>
      </c>
      <c r="C157" s="11">
        <v>1100</v>
      </c>
      <c r="D157" s="12">
        <v>33</v>
      </c>
      <c r="E157" s="13">
        <f>productTable[[#This Row],[個数]]*productTable[[#This Row],[原価]]</f>
        <v>36300</v>
      </c>
    </row>
    <row r="158" spans="1:5">
      <c r="A158" s="9" t="s">
        <v>905</v>
      </c>
      <c r="B158" s="10" t="s">
        <v>292</v>
      </c>
      <c r="C158" s="11">
        <v>550</v>
      </c>
      <c r="D158" s="12">
        <v>16</v>
      </c>
      <c r="E158" s="13">
        <f>productTable[[#This Row],[個数]]*productTable[[#This Row],[原価]]</f>
        <v>8800</v>
      </c>
    </row>
    <row r="159" spans="1:5">
      <c r="A159" s="9" t="s">
        <v>906</v>
      </c>
      <c r="B159" s="10" t="s">
        <v>293</v>
      </c>
      <c r="C159" s="11">
        <v>690</v>
      </c>
      <c r="D159" s="12">
        <v>9</v>
      </c>
      <c r="E159" s="13">
        <f>productTable[[#This Row],[個数]]*productTable[[#This Row],[原価]]</f>
        <v>6210</v>
      </c>
    </row>
    <row r="160" spans="1:5">
      <c r="A160" s="9" t="s">
        <v>907</v>
      </c>
      <c r="B160" s="10" t="s">
        <v>11</v>
      </c>
      <c r="C160" s="11">
        <v>90</v>
      </c>
      <c r="D160" s="12">
        <v>122</v>
      </c>
      <c r="E160" s="13">
        <f>productTable[[#This Row],[個数]]*productTable[[#This Row],[原価]]</f>
        <v>10980</v>
      </c>
    </row>
    <row r="161" spans="1:5">
      <c r="A161" s="9" t="s">
        <v>908</v>
      </c>
      <c r="B161" s="10" t="s">
        <v>12</v>
      </c>
      <c r="C161" s="11">
        <v>55</v>
      </c>
      <c r="D161" s="12">
        <v>84</v>
      </c>
      <c r="E161" s="13">
        <f>productTable[[#This Row],[個数]]*productTable[[#This Row],[原価]]</f>
        <v>4620</v>
      </c>
    </row>
    <row r="162" spans="1:5">
      <c r="A162" s="9" t="s">
        <v>909</v>
      </c>
      <c r="B162" s="10" t="s">
        <v>294</v>
      </c>
      <c r="C162" s="11">
        <v>55</v>
      </c>
      <c r="D162" s="12">
        <v>67</v>
      </c>
      <c r="E162" s="13">
        <f>productTable[[#This Row],[個数]]*productTable[[#This Row],[原価]]</f>
        <v>3685</v>
      </c>
    </row>
    <row r="163" spans="1:5">
      <c r="A163" s="9" t="s">
        <v>910</v>
      </c>
      <c r="B163" s="10" t="s">
        <v>295</v>
      </c>
      <c r="C163" s="11">
        <v>400</v>
      </c>
      <c r="D163" s="12">
        <v>0</v>
      </c>
      <c r="E163" s="13">
        <f>productTable[[#This Row],[個数]]*productTable[[#This Row],[原価]]</f>
        <v>0</v>
      </c>
    </row>
    <row r="164" spans="1:5">
      <c r="A164" s="9" t="s">
        <v>911</v>
      </c>
      <c r="B164" s="10" t="s">
        <v>296</v>
      </c>
      <c r="C164" s="11">
        <v>540</v>
      </c>
      <c r="D164" s="12">
        <v>0</v>
      </c>
      <c r="E164" s="13">
        <f>productTable[[#This Row],[個数]]*productTable[[#This Row],[原価]]</f>
        <v>0</v>
      </c>
    </row>
    <row r="165" spans="1:5">
      <c r="A165" s="9" t="s">
        <v>912</v>
      </c>
      <c r="B165" s="10" t="s">
        <v>297</v>
      </c>
      <c r="C165" s="11">
        <v>90</v>
      </c>
      <c r="D165" s="12">
        <v>78</v>
      </c>
      <c r="E165" s="13">
        <f>productTable[[#This Row],[個数]]*productTable[[#This Row],[原価]]</f>
        <v>7020</v>
      </c>
    </row>
    <row r="166" spans="1:5">
      <c r="A166" s="9" t="s">
        <v>913</v>
      </c>
      <c r="B166" s="10" t="s">
        <v>13</v>
      </c>
      <c r="C166" s="11">
        <v>300</v>
      </c>
      <c r="D166" s="12">
        <v>10</v>
      </c>
      <c r="E166" s="13">
        <f>productTable[[#This Row],[個数]]*productTable[[#This Row],[原価]]</f>
        <v>3000</v>
      </c>
    </row>
    <row r="167" spans="1:5">
      <c r="A167" s="9" t="s">
        <v>914</v>
      </c>
      <c r="B167" s="10" t="s">
        <v>14</v>
      </c>
      <c r="C167" s="11">
        <v>300</v>
      </c>
      <c r="D167" s="12">
        <v>10</v>
      </c>
      <c r="E167" s="13">
        <f>productTable[[#This Row],[個数]]*productTable[[#This Row],[原価]]</f>
        <v>3000</v>
      </c>
    </row>
    <row r="168" spans="1:5">
      <c r="A168" s="9" t="s">
        <v>915</v>
      </c>
      <c r="B168" s="10" t="s">
        <v>15</v>
      </c>
      <c r="C168" s="11">
        <v>300</v>
      </c>
      <c r="D168" s="12">
        <v>0</v>
      </c>
      <c r="E168" s="13">
        <f>productTable[[#This Row],[個数]]*productTable[[#This Row],[原価]]</f>
        <v>0</v>
      </c>
    </row>
    <row r="169" spans="1:5">
      <c r="A169" s="9" t="s">
        <v>916</v>
      </c>
      <c r="B169" s="10" t="s">
        <v>298</v>
      </c>
      <c r="C169" s="11">
        <v>600</v>
      </c>
      <c r="D169" s="12">
        <v>0</v>
      </c>
      <c r="E169" s="13">
        <f>productTable[[#This Row],[個数]]*productTable[[#This Row],[原価]]</f>
        <v>0</v>
      </c>
    </row>
    <row r="170" spans="1:5">
      <c r="A170" s="9" t="s">
        <v>917</v>
      </c>
      <c r="B170" s="10" t="s">
        <v>299</v>
      </c>
      <c r="C170" s="11">
        <v>120</v>
      </c>
      <c r="D170" s="12">
        <v>21</v>
      </c>
      <c r="E170" s="13">
        <f>productTable[[#This Row],[個数]]*productTable[[#This Row],[原価]]</f>
        <v>2520</v>
      </c>
    </row>
    <row r="171" spans="1:5">
      <c r="A171" s="9" t="s">
        <v>918</v>
      </c>
      <c r="B171" s="10" t="s">
        <v>16</v>
      </c>
      <c r="C171" s="11">
        <v>300</v>
      </c>
      <c r="D171" s="12">
        <v>14</v>
      </c>
      <c r="E171" s="13">
        <f>productTable[[#This Row],[個数]]*productTable[[#This Row],[原価]]</f>
        <v>4200</v>
      </c>
    </row>
    <row r="172" spans="1:5">
      <c r="A172" s="9" t="s">
        <v>919</v>
      </c>
      <c r="B172" s="10" t="s">
        <v>300</v>
      </c>
      <c r="C172" s="11">
        <v>0</v>
      </c>
      <c r="D172" s="12">
        <v>0</v>
      </c>
      <c r="E172" s="13">
        <f>productTable[[#This Row],[個数]]*productTable[[#This Row],[原価]]</f>
        <v>0</v>
      </c>
    </row>
    <row r="173" spans="1:5">
      <c r="A173" s="9" t="s">
        <v>920</v>
      </c>
      <c r="B173" s="10" t="s">
        <v>301</v>
      </c>
      <c r="C173" s="11">
        <v>130</v>
      </c>
      <c r="D173" s="12">
        <v>16</v>
      </c>
      <c r="E173" s="13">
        <f>productTable[[#This Row],[個数]]*productTable[[#This Row],[原価]]</f>
        <v>2080</v>
      </c>
    </row>
    <row r="174" spans="1:5">
      <c r="A174" s="9" t="s">
        <v>921</v>
      </c>
      <c r="B174" s="10" t="s">
        <v>302</v>
      </c>
      <c r="C174" s="11">
        <v>150</v>
      </c>
      <c r="D174" s="12">
        <v>0</v>
      </c>
      <c r="E174" s="13">
        <f>productTable[[#This Row],[個数]]*productTable[[#This Row],[原価]]</f>
        <v>0</v>
      </c>
    </row>
    <row r="175" spans="1:5">
      <c r="A175" s="9" t="s">
        <v>922</v>
      </c>
      <c r="B175" s="10" t="s">
        <v>303</v>
      </c>
      <c r="C175" s="11">
        <v>500</v>
      </c>
      <c r="D175" s="12">
        <v>0</v>
      </c>
      <c r="E175" s="13">
        <f>productTable[[#This Row],[個数]]*productTable[[#This Row],[原価]]</f>
        <v>0</v>
      </c>
    </row>
    <row r="176" spans="1:5">
      <c r="A176" s="9" t="s">
        <v>923</v>
      </c>
      <c r="B176" s="10" t="s">
        <v>304</v>
      </c>
      <c r="C176" s="11">
        <v>290</v>
      </c>
      <c r="D176" s="12">
        <v>52</v>
      </c>
      <c r="E176" s="13">
        <f>productTable[[#This Row],[個数]]*productTable[[#This Row],[原価]]</f>
        <v>15080</v>
      </c>
    </row>
    <row r="177" spans="1:5">
      <c r="A177" s="9" t="s">
        <v>924</v>
      </c>
      <c r="B177" s="10" t="s">
        <v>305</v>
      </c>
      <c r="C177" s="11">
        <v>1500</v>
      </c>
      <c r="D177" s="12">
        <v>0</v>
      </c>
      <c r="E177" s="13">
        <f>productTable[[#This Row],[個数]]*productTable[[#This Row],[原価]]</f>
        <v>0</v>
      </c>
    </row>
    <row r="178" spans="1:5">
      <c r="A178" s="9" t="s">
        <v>925</v>
      </c>
      <c r="B178" s="10" t="s">
        <v>306</v>
      </c>
      <c r="C178" s="11">
        <v>490</v>
      </c>
      <c r="D178" s="12">
        <v>0</v>
      </c>
      <c r="E178" s="13">
        <f>productTable[[#This Row],[個数]]*productTable[[#This Row],[原価]]</f>
        <v>0</v>
      </c>
    </row>
    <row r="179" spans="1:5">
      <c r="A179" s="9" t="s">
        <v>926</v>
      </c>
      <c r="B179" s="10" t="s">
        <v>307</v>
      </c>
      <c r="C179" s="11">
        <v>239</v>
      </c>
      <c r="D179" s="12">
        <v>38</v>
      </c>
      <c r="E179" s="13">
        <f>productTable[[#This Row],[個数]]*productTable[[#This Row],[原価]]</f>
        <v>9082</v>
      </c>
    </row>
    <row r="180" spans="1:5">
      <c r="A180" s="9" t="s">
        <v>927</v>
      </c>
      <c r="B180" s="10" t="s">
        <v>308</v>
      </c>
      <c r="C180" s="11">
        <v>45</v>
      </c>
      <c r="D180" s="12">
        <v>97</v>
      </c>
      <c r="E180" s="13">
        <f>productTable[[#This Row],[個数]]*productTable[[#This Row],[原価]]</f>
        <v>4365</v>
      </c>
    </row>
    <row r="181" spans="1:5">
      <c r="A181" s="9" t="s">
        <v>928</v>
      </c>
      <c r="B181" s="10" t="s">
        <v>309</v>
      </c>
      <c r="C181" s="11">
        <v>490</v>
      </c>
      <c r="D181" s="12">
        <v>2</v>
      </c>
      <c r="E181" s="13">
        <f>productTable[[#This Row],[個数]]*productTable[[#This Row],[原価]]</f>
        <v>980</v>
      </c>
    </row>
    <row r="182" spans="1:5">
      <c r="A182" s="9" t="s">
        <v>929</v>
      </c>
      <c r="B182" s="10" t="s">
        <v>310</v>
      </c>
      <c r="C182" s="11">
        <v>490</v>
      </c>
      <c r="D182" s="12">
        <v>3</v>
      </c>
      <c r="E182" s="13">
        <f>productTable[[#This Row],[個数]]*productTable[[#This Row],[原価]]</f>
        <v>1470</v>
      </c>
    </row>
    <row r="183" spans="1:5">
      <c r="A183" s="9" t="s">
        <v>930</v>
      </c>
      <c r="B183" s="10" t="s">
        <v>311</v>
      </c>
      <c r="C183" s="11">
        <v>490</v>
      </c>
      <c r="D183" s="12">
        <v>4</v>
      </c>
      <c r="E183" s="13">
        <f>productTable[[#This Row],[個数]]*productTable[[#This Row],[原価]]</f>
        <v>1960</v>
      </c>
    </row>
    <row r="184" spans="1:5">
      <c r="A184" s="9" t="s">
        <v>931</v>
      </c>
      <c r="B184" s="10" t="s">
        <v>312</v>
      </c>
      <c r="C184" s="11">
        <v>530</v>
      </c>
      <c r="D184" s="12">
        <v>5</v>
      </c>
      <c r="E184" s="13">
        <f>productTable[[#This Row],[個数]]*productTable[[#This Row],[原価]]</f>
        <v>2650</v>
      </c>
    </row>
    <row r="185" spans="1:5">
      <c r="A185" s="9" t="s">
        <v>932</v>
      </c>
      <c r="B185" s="10" t="s">
        <v>313</v>
      </c>
      <c r="C185" s="11">
        <v>530</v>
      </c>
      <c r="D185" s="12">
        <v>4</v>
      </c>
      <c r="E185" s="13">
        <f>productTable[[#This Row],[個数]]*productTable[[#This Row],[原価]]</f>
        <v>2120</v>
      </c>
    </row>
    <row r="186" spans="1:5">
      <c r="A186" s="9" t="s">
        <v>933</v>
      </c>
      <c r="B186" s="10" t="s">
        <v>314</v>
      </c>
      <c r="C186" s="11">
        <v>490</v>
      </c>
      <c r="D186" s="12">
        <v>2</v>
      </c>
      <c r="E186" s="13">
        <f>productTable[[#This Row],[個数]]*productTable[[#This Row],[原価]]</f>
        <v>980</v>
      </c>
    </row>
    <row r="187" spans="1:5">
      <c r="A187" s="9" t="s">
        <v>934</v>
      </c>
      <c r="B187" s="10" t="s">
        <v>315</v>
      </c>
      <c r="C187" s="11">
        <v>490</v>
      </c>
      <c r="D187" s="12">
        <v>0</v>
      </c>
      <c r="E187" s="13">
        <f>productTable[[#This Row],[個数]]*productTable[[#This Row],[原価]]</f>
        <v>0</v>
      </c>
    </row>
    <row r="188" spans="1:5">
      <c r="A188" s="9" t="s">
        <v>935</v>
      </c>
      <c r="B188" s="10" t="s">
        <v>316</v>
      </c>
      <c r="C188" s="11">
        <v>490</v>
      </c>
      <c r="D188" s="12">
        <v>1</v>
      </c>
      <c r="E188" s="13">
        <f>productTable[[#This Row],[個数]]*productTable[[#This Row],[原価]]</f>
        <v>490</v>
      </c>
    </row>
    <row r="189" spans="1:5">
      <c r="A189" s="9" t="s">
        <v>936</v>
      </c>
      <c r="B189" s="10" t="s">
        <v>317</v>
      </c>
      <c r="C189" s="11">
        <v>490</v>
      </c>
      <c r="D189" s="12">
        <v>1</v>
      </c>
      <c r="E189" s="13">
        <f>productTable[[#This Row],[個数]]*productTable[[#This Row],[原価]]</f>
        <v>490</v>
      </c>
    </row>
    <row r="190" spans="1:5">
      <c r="A190" s="9" t="s">
        <v>937</v>
      </c>
      <c r="B190" s="10" t="s">
        <v>318</v>
      </c>
      <c r="C190" s="11">
        <v>490</v>
      </c>
      <c r="D190" s="12">
        <v>0</v>
      </c>
      <c r="E190" s="13">
        <f>productTable[[#This Row],[個数]]*productTable[[#This Row],[原価]]</f>
        <v>0</v>
      </c>
    </row>
    <row r="191" spans="1:5">
      <c r="A191" s="9" t="s">
        <v>938</v>
      </c>
      <c r="B191" s="10" t="s">
        <v>17</v>
      </c>
      <c r="C191" s="11">
        <v>105</v>
      </c>
      <c r="D191" s="12">
        <v>39</v>
      </c>
      <c r="E191" s="13">
        <f>productTable[[#This Row],[個数]]*productTable[[#This Row],[原価]]</f>
        <v>4095</v>
      </c>
    </row>
    <row r="192" spans="1:5">
      <c r="A192" s="9" t="s">
        <v>939</v>
      </c>
      <c r="B192" s="10" t="s">
        <v>319</v>
      </c>
      <c r="C192" s="11">
        <v>145</v>
      </c>
      <c r="D192" s="12">
        <v>370</v>
      </c>
      <c r="E192" s="13">
        <f>productTable[[#This Row],[個数]]*productTable[[#This Row],[原価]]</f>
        <v>53650</v>
      </c>
    </row>
    <row r="193" spans="1:5">
      <c r="A193" s="9" t="s">
        <v>940</v>
      </c>
      <c r="B193" s="10" t="s">
        <v>320</v>
      </c>
      <c r="C193" s="11">
        <v>110</v>
      </c>
      <c r="D193" s="12">
        <v>478</v>
      </c>
      <c r="E193" s="13">
        <f>productTable[[#This Row],[個数]]*productTable[[#This Row],[原価]]</f>
        <v>52580</v>
      </c>
    </row>
    <row r="194" spans="1:5">
      <c r="A194" s="9" t="s">
        <v>941</v>
      </c>
      <c r="B194" s="10" t="s">
        <v>321</v>
      </c>
      <c r="C194" s="11">
        <v>250</v>
      </c>
      <c r="D194" s="12">
        <v>478</v>
      </c>
      <c r="E194" s="13">
        <f>productTable[[#This Row],[個数]]*productTable[[#This Row],[原価]]</f>
        <v>119500</v>
      </c>
    </row>
    <row r="195" spans="1:5">
      <c r="A195" s="9" t="s">
        <v>942</v>
      </c>
      <c r="B195" s="10" t="s">
        <v>322</v>
      </c>
      <c r="C195" s="11">
        <v>750</v>
      </c>
      <c r="D195" s="12">
        <v>5</v>
      </c>
      <c r="E195" s="13">
        <f>productTable[[#This Row],[個数]]*productTable[[#This Row],[原価]]</f>
        <v>3750</v>
      </c>
    </row>
    <row r="196" spans="1:5">
      <c r="A196" s="9" t="s">
        <v>943</v>
      </c>
      <c r="B196" s="10" t="s">
        <v>323</v>
      </c>
      <c r="C196" s="11">
        <v>100</v>
      </c>
      <c r="D196" s="12">
        <v>9</v>
      </c>
      <c r="E196" s="13">
        <f>productTable[[#This Row],[個数]]*productTable[[#This Row],[原価]]</f>
        <v>900</v>
      </c>
    </row>
    <row r="197" spans="1:5">
      <c r="A197" s="9" t="s">
        <v>944</v>
      </c>
      <c r="B197" s="10" t="s">
        <v>324</v>
      </c>
      <c r="C197" s="11">
        <v>250</v>
      </c>
      <c r="D197" s="12">
        <v>8</v>
      </c>
      <c r="E197" s="13">
        <f>productTable[[#This Row],[個数]]*productTable[[#This Row],[原価]]</f>
        <v>2000</v>
      </c>
    </row>
    <row r="198" spans="1:5">
      <c r="A198" s="9" t="s">
        <v>945</v>
      </c>
      <c r="B198" s="10" t="s">
        <v>325</v>
      </c>
      <c r="C198" s="11">
        <v>700</v>
      </c>
      <c r="D198" s="12">
        <v>6</v>
      </c>
      <c r="E198" s="13">
        <f>productTable[[#This Row],[個数]]*productTable[[#This Row],[原価]]</f>
        <v>4200</v>
      </c>
    </row>
    <row r="199" spans="1:5">
      <c r="A199" s="9" t="s">
        <v>946</v>
      </c>
      <c r="B199" s="10" t="s">
        <v>18</v>
      </c>
      <c r="C199" s="11">
        <v>270</v>
      </c>
      <c r="D199" s="12">
        <v>6</v>
      </c>
      <c r="E199" s="13">
        <f>productTable[[#This Row],[個数]]*productTable[[#This Row],[原価]]</f>
        <v>1620</v>
      </c>
    </row>
    <row r="200" spans="1:5">
      <c r="A200" s="9" t="s">
        <v>947</v>
      </c>
      <c r="B200" s="10" t="s">
        <v>19</v>
      </c>
      <c r="C200" s="11">
        <v>100</v>
      </c>
      <c r="D200" s="12">
        <v>0</v>
      </c>
      <c r="E200" s="13">
        <f>productTable[[#This Row],[個数]]*productTable[[#This Row],[原価]]</f>
        <v>0</v>
      </c>
    </row>
    <row r="201" spans="1:5">
      <c r="A201" s="9" t="s">
        <v>948</v>
      </c>
      <c r="B201" s="10" t="s">
        <v>326</v>
      </c>
      <c r="C201" s="11">
        <v>350</v>
      </c>
      <c r="D201" s="12">
        <v>11</v>
      </c>
      <c r="E201" s="13">
        <f>productTable[[#This Row],[個数]]*productTable[[#This Row],[原価]]</f>
        <v>3850</v>
      </c>
    </row>
    <row r="202" spans="1:5">
      <c r="A202" s="9" t="s">
        <v>949</v>
      </c>
      <c r="B202" s="10" t="s">
        <v>327</v>
      </c>
      <c r="C202" s="11">
        <v>155</v>
      </c>
      <c r="D202" s="12">
        <v>141</v>
      </c>
      <c r="E202" s="13">
        <f>productTable[[#This Row],[個数]]*productTable[[#This Row],[原価]]</f>
        <v>21855</v>
      </c>
    </row>
    <row r="203" spans="1:5">
      <c r="A203" s="9" t="s">
        <v>950</v>
      </c>
      <c r="B203" s="10" t="s">
        <v>328</v>
      </c>
      <c r="C203" s="11">
        <v>155</v>
      </c>
      <c r="D203" s="12">
        <v>156</v>
      </c>
      <c r="E203" s="13">
        <f>productTable[[#This Row],[個数]]*productTable[[#This Row],[原価]]</f>
        <v>24180</v>
      </c>
    </row>
    <row r="204" spans="1:5">
      <c r="A204" s="9" t="s">
        <v>951</v>
      </c>
      <c r="B204" s="10" t="s">
        <v>20</v>
      </c>
      <c r="C204" s="11">
        <v>800</v>
      </c>
      <c r="D204" s="12">
        <v>0</v>
      </c>
      <c r="E204" s="13">
        <f>productTable[[#This Row],[個数]]*productTable[[#This Row],[原価]]</f>
        <v>0</v>
      </c>
    </row>
    <row r="205" spans="1:5">
      <c r="A205" s="9" t="s">
        <v>952</v>
      </c>
      <c r="B205" s="10" t="s">
        <v>329</v>
      </c>
      <c r="C205" s="11">
        <v>1000</v>
      </c>
      <c r="D205" s="12">
        <v>0</v>
      </c>
      <c r="E205" s="13">
        <f>productTable[[#This Row],[個数]]*productTable[[#This Row],[原価]]</f>
        <v>0</v>
      </c>
    </row>
    <row r="206" spans="1:5">
      <c r="A206" s="9" t="s">
        <v>953</v>
      </c>
      <c r="B206" s="10" t="s">
        <v>330</v>
      </c>
      <c r="C206" s="11">
        <v>150</v>
      </c>
      <c r="D206" s="12">
        <v>70</v>
      </c>
      <c r="E206" s="13">
        <f>productTable[[#This Row],[個数]]*productTable[[#This Row],[原価]]</f>
        <v>10500</v>
      </c>
    </row>
    <row r="207" spans="1:5">
      <c r="A207" s="9" t="s">
        <v>954</v>
      </c>
      <c r="B207" s="10" t="s">
        <v>331</v>
      </c>
      <c r="C207" s="11">
        <v>400</v>
      </c>
      <c r="D207" s="12">
        <v>0</v>
      </c>
      <c r="E207" s="13">
        <f>productTable[[#This Row],[個数]]*productTable[[#This Row],[原価]]</f>
        <v>0</v>
      </c>
    </row>
    <row r="208" spans="1:5">
      <c r="A208" s="9" t="s">
        <v>955</v>
      </c>
      <c r="B208" s="10" t="s">
        <v>21</v>
      </c>
      <c r="C208" s="11">
        <v>160</v>
      </c>
      <c r="D208" s="12">
        <v>0</v>
      </c>
      <c r="E208" s="13">
        <f>productTable[[#This Row],[個数]]*productTable[[#This Row],[原価]]</f>
        <v>0</v>
      </c>
    </row>
    <row r="209" spans="1:5">
      <c r="A209" s="9" t="s">
        <v>956</v>
      </c>
      <c r="B209" s="10" t="s">
        <v>22</v>
      </c>
      <c r="C209" s="11">
        <v>165</v>
      </c>
      <c r="D209" s="12">
        <v>60</v>
      </c>
      <c r="E209" s="13">
        <f>productTable[[#This Row],[個数]]*productTable[[#This Row],[原価]]</f>
        <v>9900</v>
      </c>
    </row>
    <row r="210" spans="1:5">
      <c r="A210" s="9" t="s">
        <v>957</v>
      </c>
      <c r="B210" s="10" t="s">
        <v>332</v>
      </c>
      <c r="C210" s="11">
        <v>730</v>
      </c>
      <c r="D210" s="12">
        <v>10</v>
      </c>
      <c r="E210" s="13">
        <f>productTable[[#This Row],[個数]]*productTable[[#This Row],[原価]]</f>
        <v>7300</v>
      </c>
    </row>
    <row r="211" spans="1:5">
      <c r="A211" s="9" t="s">
        <v>958</v>
      </c>
      <c r="B211" s="10" t="s">
        <v>333</v>
      </c>
      <c r="C211" s="11">
        <v>400</v>
      </c>
      <c r="D211" s="12">
        <v>3</v>
      </c>
      <c r="E211" s="13">
        <f>productTable[[#This Row],[個数]]*productTable[[#This Row],[原価]]</f>
        <v>1200</v>
      </c>
    </row>
    <row r="212" spans="1:5">
      <c r="A212" s="9" t="s">
        <v>959</v>
      </c>
      <c r="B212" s="10" t="s">
        <v>334</v>
      </c>
      <c r="C212" s="11">
        <v>190</v>
      </c>
      <c r="D212" s="12">
        <v>28</v>
      </c>
      <c r="E212" s="13">
        <f>productTable[[#This Row],[個数]]*productTable[[#This Row],[原価]]</f>
        <v>5320</v>
      </c>
    </row>
    <row r="213" spans="1:5">
      <c r="A213" s="9" t="s">
        <v>960</v>
      </c>
      <c r="B213" s="10" t="s">
        <v>23</v>
      </c>
      <c r="C213" s="11">
        <v>123</v>
      </c>
      <c r="D213" s="12">
        <v>77</v>
      </c>
      <c r="E213" s="13">
        <f>productTable[[#This Row],[個数]]*productTable[[#This Row],[原価]]</f>
        <v>9471</v>
      </c>
    </row>
    <row r="214" spans="1:5">
      <c r="A214" s="9" t="s">
        <v>961</v>
      </c>
      <c r="B214" s="10" t="s">
        <v>335</v>
      </c>
      <c r="C214" s="11">
        <v>250</v>
      </c>
      <c r="D214" s="12">
        <v>0</v>
      </c>
      <c r="E214" s="13">
        <f>productTable[[#This Row],[個数]]*productTable[[#This Row],[原価]]</f>
        <v>0</v>
      </c>
    </row>
    <row r="215" spans="1:5">
      <c r="A215" s="9" t="s">
        <v>962</v>
      </c>
      <c r="B215" s="10" t="s">
        <v>336</v>
      </c>
      <c r="C215" s="11">
        <v>193</v>
      </c>
      <c r="D215" s="12">
        <v>19</v>
      </c>
      <c r="E215" s="13">
        <f>productTable[[#This Row],[個数]]*productTable[[#This Row],[原価]]</f>
        <v>3667</v>
      </c>
    </row>
    <row r="216" spans="1:5">
      <c r="A216" s="9" t="s">
        <v>963</v>
      </c>
      <c r="B216" s="10" t="s">
        <v>337</v>
      </c>
      <c r="C216" s="11">
        <v>125</v>
      </c>
      <c r="D216" s="12">
        <v>7</v>
      </c>
      <c r="E216" s="13">
        <f>productTable[[#This Row],[個数]]*productTable[[#This Row],[原価]]</f>
        <v>875</v>
      </c>
    </row>
    <row r="217" spans="1:5">
      <c r="A217" s="9" t="s">
        <v>964</v>
      </c>
      <c r="B217" s="10" t="s">
        <v>338</v>
      </c>
      <c r="C217" s="11">
        <v>400</v>
      </c>
      <c r="D217" s="12">
        <v>0</v>
      </c>
      <c r="E217" s="13">
        <f>productTable[[#This Row],[個数]]*productTable[[#This Row],[原価]]</f>
        <v>0</v>
      </c>
    </row>
    <row r="218" spans="1:5">
      <c r="A218" s="9" t="s">
        <v>965</v>
      </c>
      <c r="B218" s="10" t="s">
        <v>339</v>
      </c>
      <c r="C218" s="11">
        <v>0</v>
      </c>
      <c r="D218" s="12">
        <v>0</v>
      </c>
      <c r="E218" s="13">
        <f>productTable[[#This Row],[個数]]*productTable[[#This Row],[原価]]</f>
        <v>0</v>
      </c>
    </row>
    <row r="219" spans="1:5">
      <c r="A219" s="9" t="s">
        <v>966</v>
      </c>
      <c r="B219" s="10" t="s">
        <v>340</v>
      </c>
      <c r="C219" s="11">
        <v>195</v>
      </c>
      <c r="D219" s="12">
        <v>0</v>
      </c>
      <c r="E219" s="13">
        <f>productTable[[#This Row],[個数]]*productTable[[#This Row],[原価]]</f>
        <v>0</v>
      </c>
    </row>
    <row r="220" spans="1:5">
      <c r="A220" s="9" t="s">
        <v>967</v>
      </c>
      <c r="B220" s="10" t="s">
        <v>341</v>
      </c>
      <c r="C220" s="11">
        <v>320</v>
      </c>
      <c r="D220" s="12">
        <v>15</v>
      </c>
      <c r="E220" s="13">
        <f>productTable[[#This Row],[個数]]*productTable[[#This Row],[原価]]</f>
        <v>4800</v>
      </c>
    </row>
    <row r="221" spans="1:5">
      <c r="A221" s="9" t="s">
        <v>968</v>
      </c>
      <c r="B221" s="10" t="s">
        <v>342</v>
      </c>
      <c r="C221" s="11">
        <v>410</v>
      </c>
      <c r="D221" s="12">
        <v>8</v>
      </c>
      <c r="E221" s="13">
        <f>productTable[[#This Row],[個数]]*productTable[[#This Row],[原価]]</f>
        <v>3280</v>
      </c>
    </row>
    <row r="222" spans="1:5">
      <c r="A222" s="9" t="s">
        <v>969</v>
      </c>
      <c r="B222" s="10" t="s">
        <v>343</v>
      </c>
      <c r="C222" s="11">
        <v>0</v>
      </c>
      <c r="D222" s="12">
        <v>0</v>
      </c>
      <c r="E222" s="13">
        <f>productTable[[#This Row],[個数]]*productTable[[#This Row],[原価]]</f>
        <v>0</v>
      </c>
    </row>
    <row r="223" spans="1:5">
      <c r="A223" s="9" t="s">
        <v>970</v>
      </c>
      <c r="B223" s="10" t="s">
        <v>344</v>
      </c>
      <c r="C223" s="11">
        <v>520</v>
      </c>
      <c r="D223" s="12">
        <v>0</v>
      </c>
      <c r="E223" s="13">
        <f>productTable[[#This Row],[個数]]*productTable[[#This Row],[原価]]</f>
        <v>0</v>
      </c>
    </row>
    <row r="224" spans="1:5">
      <c r="A224" s="9" t="s">
        <v>971</v>
      </c>
      <c r="B224" s="10" t="s">
        <v>24</v>
      </c>
      <c r="C224" s="11">
        <v>358</v>
      </c>
      <c r="D224" s="12">
        <v>27</v>
      </c>
      <c r="E224" s="13">
        <f>productTable[[#This Row],[個数]]*productTable[[#This Row],[原価]]</f>
        <v>9666</v>
      </c>
    </row>
    <row r="225" spans="1:5">
      <c r="A225" s="9" t="s">
        <v>972</v>
      </c>
      <c r="B225" s="10" t="s">
        <v>345</v>
      </c>
      <c r="C225" s="11">
        <v>340</v>
      </c>
      <c r="D225" s="12">
        <v>23</v>
      </c>
      <c r="E225" s="13">
        <f>productTable[[#This Row],[個数]]*productTable[[#This Row],[原価]]</f>
        <v>7820</v>
      </c>
    </row>
    <row r="226" spans="1:5">
      <c r="A226" s="9" t="s">
        <v>973</v>
      </c>
      <c r="B226" s="10" t="s">
        <v>25</v>
      </c>
      <c r="C226" s="11">
        <v>1050</v>
      </c>
      <c r="D226" s="12">
        <v>0</v>
      </c>
      <c r="E226" s="13">
        <f>productTable[[#This Row],[個数]]*productTable[[#This Row],[原価]]</f>
        <v>0</v>
      </c>
    </row>
    <row r="227" spans="1:5">
      <c r="A227" s="9" t="s">
        <v>974</v>
      </c>
      <c r="B227" s="10" t="s">
        <v>346</v>
      </c>
      <c r="C227" s="11">
        <v>580</v>
      </c>
      <c r="D227" s="12">
        <v>10</v>
      </c>
      <c r="E227" s="13">
        <f>productTable[[#This Row],[個数]]*productTable[[#This Row],[原価]]</f>
        <v>5800</v>
      </c>
    </row>
    <row r="228" spans="1:5">
      <c r="A228" s="9" t="s">
        <v>975</v>
      </c>
      <c r="B228" s="10" t="s">
        <v>347</v>
      </c>
      <c r="C228" s="11">
        <v>420</v>
      </c>
      <c r="D228" s="12">
        <v>29</v>
      </c>
      <c r="E228" s="13">
        <f>productTable[[#This Row],[個数]]*productTable[[#This Row],[原価]]</f>
        <v>12180</v>
      </c>
    </row>
    <row r="229" spans="1:5">
      <c r="A229" s="9" t="s">
        <v>976</v>
      </c>
      <c r="B229" s="10" t="s">
        <v>348</v>
      </c>
      <c r="C229" s="11">
        <v>1000</v>
      </c>
      <c r="D229" s="12">
        <v>0</v>
      </c>
      <c r="E229" s="13">
        <f>productTable[[#This Row],[個数]]*productTable[[#This Row],[原価]]</f>
        <v>0</v>
      </c>
    </row>
    <row r="230" spans="1:5">
      <c r="A230" s="9" t="s">
        <v>977</v>
      </c>
      <c r="B230" s="10" t="s">
        <v>26</v>
      </c>
      <c r="C230" s="11">
        <v>240</v>
      </c>
      <c r="D230" s="12">
        <v>15</v>
      </c>
      <c r="E230" s="13">
        <f>productTable[[#This Row],[個数]]*productTable[[#This Row],[原価]]</f>
        <v>3600</v>
      </c>
    </row>
    <row r="231" spans="1:5">
      <c r="A231" s="9" t="s">
        <v>978</v>
      </c>
      <c r="B231" s="10" t="s">
        <v>27</v>
      </c>
      <c r="C231" s="11">
        <v>240</v>
      </c>
      <c r="D231" s="12">
        <v>0</v>
      </c>
      <c r="E231" s="13">
        <f>productTable[[#This Row],[個数]]*productTable[[#This Row],[原価]]</f>
        <v>0</v>
      </c>
    </row>
    <row r="232" spans="1:5">
      <c r="A232" s="9" t="s">
        <v>979</v>
      </c>
      <c r="B232" s="10" t="s">
        <v>28</v>
      </c>
      <c r="C232" s="11">
        <v>1100</v>
      </c>
      <c r="D232" s="12">
        <v>18</v>
      </c>
      <c r="E232" s="13">
        <f>productTable[[#This Row],[個数]]*productTable[[#This Row],[原価]]</f>
        <v>19800</v>
      </c>
    </row>
    <row r="233" spans="1:5">
      <c r="A233" s="9" t="s">
        <v>980</v>
      </c>
      <c r="B233" s="10" t="s">
        <v>349</v>
      </c>
      <c r="C233" s="11">
        <v>650</v>
      </c>
      <c r="D233" s="12">
        <v>0</v>
      </c>
      <c r="E233" s="13">
        <f>productTable[[#This Row],[個数]]*productTable[[#This Row],[原価]]</f>
        <v>0</v>
      </c>
    </row>
    <row r="234" spans="1:5">
      <c r="A234" s="9" t="s">
        <v>981</v>
      </c>
      <c r="B234" s="10" t="s">
        <v>29</v>
      </c>
      <c r="C234" s="11">
        <v>850</v>
      </c>
      <c r="D234" s="12">
        <v>37</v>
      </c>
      <c r="E234" s="13">
        <f>productTable[[#This Row],[個数]]*productTable[[#This Row],[原価]]</f>
        <v>31450</v>
      </c>
    </row>
    <row r="235" spans="1:5">
      <c r="A235" s="9" t="s">
        <v>982</v>
      </c>
      <c r="B235" s="10" t="s">
        <v>30</v>
      </c>
      <c r="C235" s="11">
        <v>780</v>
      </c>
      <c r="D235" s="12">
        <v>28</v>
      </c>
      <c r="E235" s="13">
        <f>productTable[[#This Row],[個数]]*productTable[[#This Row],[原価]]</f>
        <v>21840</v>
      </c>
    </row>
    <row r="236" spans="1:5">
      <c r="A236" s="9" t="s">
        <v>983</v>
      </c>
      <c r="B236" s="10" t="s">
        <v>350</v>
      </c>
      <c r="C236" s="11">
        <v>350</v>
      </c>
      <c r="D236" s="12">
        <v>17</v>
      </c>
      <c r="E236" s="13">
        <f>productTable[[#This Row],[個数]]*productTable[[#This Row],[原価]]</f>
        <v>5950</v>
      </c>
    </row>
    <row r="237" spans="1:5">
      <c r="A237" s="9" t="s">
        <v>984</v>
      </c>
      <c r="B237" s="10" t="s">
        <v>351</v>
      </c>
      <c r="C237" s="11">
        <v>445</v>
      </c>
      <c r="D237" s="12">
        <v>0</v>
      </c>
      <c r="E237" s="13">
        <f>productTable[[#This Row],[個数]]*productTable[[#This Row],[原価]]</f>
        <v>0</v>
      </c>
    </row>
    <row r="238" spans="1:5">
      <c r="A238" s="9" t="s">
        <v>985</v>
      </c>
      <c r="B238" s="10" t="s">
        <v>352</v>
      </c>
      <c r="C238" s="11">
        <v>320</v>
      </c>
      <c r="D238" s="12">
        <v>46</v>
      </c>
      <c r="E238" s="13">
        <f>productTable[[#This Row],[個数]]*productTable[[#This Row],[原価]]</f>
        <v>14720</v>
      </c>
    </row>
    <row r="239" spans="1:5">
      <c r="A239" s="9" t="s">
        <v>986</v>
      </c>
      <c r="B239" s="10" t="s">
        <v>31</v>
      </c>
      <c r="C239" s="11">
        <v>90</v>
      </c>
      <c r="D239" s="12">
        <v>91</v>
      </c>
      <c r="E239" s="13">
        <f>productTable[[#This Row],[個数]]*productTable[[#This Row],[原価]]</f>
        <v>8190</v>
      </c>
    </row>
    <row r="240" spans="1:5">
      <c r="A240" s="9" t="s">
        <v>987</v>
      </c>
      <c r="B240" s="10" t="s">
        <v>32</v>
      </c>
      <c r="C240" s="11">
        <v>0</v>
      </c>
      <c r="D240" s="12">
        <v>0</v>
      </c>
      <c r="E240" s="13">
        <f>productTable[[#This Row],[個数]]*productTable[[#This Row],[原価]]</f>
        <v>0</v>
      </c>
    </row>
    <row r="241" spans="1:5">
      <c r="A241" s="9" t="s">
        <v>988</v>
      </c>
      <c r="B241" s="10" t="s">
        <v>353</v>
      </c>
      <c r="C241" s="11">
        <v>250</v>
      </c>
      <c r="D241" s="12">
        <v>17</v>
      </c>
      <c r="E241" s="13">
        <f>productTable[[#This Row],[個数]]*productTable[[#This Row],[原価]]</f>
        <v>4250</v>
      </c>
    </row>
    <row r="242" spans="1:5">
      <c r="A242" s="9" t="s">
        <v>989</v>
      </c>
      <c r="B242" s="10" t="s">
        <v>354</v>
      </c>
      <c r="C242" s="11">
        <v>1600</v>
      </c>
      <c r="D242" s="12">
        <v>10</v>
      </c>
      <c r="E242" s="13">
        <f>productTable[[#This Row],[個数]]*productTable[[#This Row],[原価]]</f>
        <v>16000</v>
      </c>
    </row>
    <row r="243" spans="1:5">
      <c r="A243" s="9" t="s">
        <v>990</v>
      </c>
      <c r="B243" s="10" t="s">
        <v>355</v>
      </c>
      <c r="C243" s="11">
        <v>300</v>
      </c>
      <c r="D243" s="12">
        <v>0</v>
      </c>
      <c r="E243" s="13">
        <f>productTable[[#This Row],[個数]]*productTable[[#This Row],[原価]]</f>
        <v>0</v>
      </c>
    </row>
    <row r="244" spans="1:5">
      <c r="A244" s="9" t="s">
        <v>991</v>
      </c>
      <c r="B244" s="10" t="s">
        <v>33</v>
      </c>
      <c r="C244" s="11">
        <v>874</v>
      </c>
      <c r="D244" s="12">
        <v>12</v>
      </c>
      <c r="E244" s="13">
        <f>productTable[[#This Row],[個数]]*productTable[[#This Row],[原価]]</f>
        <v>10488</v>
      </c>
    </row>
    <row r="245" spans="1:5">
      <c r="A245" s="9" t="s">
        <v>992</v>
      </c>
      <c r="B245" s="10" t="s">
        <v>356</v>
      </c>
      <c r="C245" s="11">
        <v>630</v>
      </c>
      <c r="D245" s="12">
        <v>40</v>
      </c>
      <c r="E245" s="13">
        <f>productTable[[#This Row],[個数]]*productTable[[#This Row],[原価]]</f>
        <v>25200</v>
      </c>
    </row>
    <row r="246" spans="1:5">
      <c r="A246" s="9" t="s">
        <v>993</v>
      </c>
      <c r="B246" s="10" t="s">
        <v>357</v>
      </c>
      <c r="C246" s="11">
        <v>90</v>
      </c>
      <c r="D246" s="12">
        <v>18</v>
      </c>
      <c r="E246" s="13">
        <f>productTable[[#This Row],[個数]]*productTable[[#This Row],[原価]]</f>
        <v>1620</v>
      </c>
    </row>
    <row r="247" spans="1:5">
      <c r="A247" s="9" t="s">
        <v>994</v>
      </c>
      <c r="B247" s="10" t="s">
        <v>358</v>
      </c>
      <c r="C247" s="11">
        <v>675</v>
      </c>
      <c r="D247" s="12">
        <v>0</v>
      </c>
      <c r="E247" s="13">
        <f>productTable[[#This Row],[個数]]*productTable[[#This Row],[原価]]</f>
        <v>0</v>
      </c>
    </row>
    <row r="248" spans="1:5">
      <c r="A248" s="9" t="s">
        <v>995</v>
      </c>
      <c r="B248" s="10" t="s">
        <v>359</v>
      </c>
      <c r="C248" s="11">
        <v>320</v>
      </c>
      <c r="D248" s="12">
        <v>36</v>
      </c>
      <c r="E248" s="13">
        <f>productTable[[#This Row],[個数]]*productTable[[#This Row],[原価]]</f>
        <v>11520</v>
      </c>
    </row>
    <row r="249" spans="1:5">
      <c r="A249" s="9" t="s">
        <v>996</v>
      </c>
      <c r="B249" s="10" t="s">
        <v>360</v>
      </c>
      <c r="C249" s="11">
        <v>280</v>
      </c>
      <c r="D249" s="12">
        <v>0</v>
      </c>
      <c r="E249" s="13">
        <f>productTable[[#This Row],[個数]]*productTable[[#This Row],[原価]]</f>
        <v>0</v>
      </c>
    </row>
    <row r="250" spans="1:5">
      <c r="A250" s="9" t="s">
        <v>997</v>
      </c>
      <c r="B250" s="10" t="s">
        <v>34</v>
      </c>
      <c r="C250" s="11">
        <v>216</v>
      </c>
      <c r="D250" s="12">
        <v>31</v>
      </c>
      <c r="E250" s="13">
        <f>productTable[[#This Row],[個数]]*productTable[[#This Row],[原価]]</f>
        <v>6696</v>
      </c>
    </row>
    <row r="251" spans="1:5">
      <c r="A251" s="9" t="s">
        <v>998</v>
      </c>
      <c r="B251" s="10" t="s">
        <v>35</v>
      </c>
      <c r="C251" s="11">
        <v>216</v>
      </c>
      <c r="D251" s="12">
        <v>9</v>
      </c>
      <c r="E251" s="13">
        <f>productTable[[#This Row],[個数]]*productTable[[#This Row],[原価]]</f>
        <v>1944</v>
      </c>
    </row>
    <row r="252" spans="1:5">
      <c r="A252" s="9" t="s">
        <v>999</v>
      </c>
      <c r="B252" s="10" t="s">
        <v>361</v>
      </c>
      <c r="C252" s="11">
        <v>0</v>
      </c>
      <c r="D252" s="12">
        <v>1</v>
      </c>
      <c r="E252" s="13">
        <f>productTable[[#This Row],[個数]]*productTable[[#This Row],[原価]]</f>
        <v>0</v>
      </c>
    </row>
    <row r="253" spans="1:5">
      <c r="A253" s="9" t="s">
        <v>1000</v>
      </c>
      <c r="B253" s="10" t="s">
        <v>362</v>
      </c>
      <c r="C253" s="11">
        <v>100</v>
      </c>
      <c r="D253" s="12">
        <v>72</v>
      </c>
      <c r="E253" s="13">
        <f>productTable[[#This Row],[個数]]*productTable[[#This Row],[原価]]</f>
        <v>7200</v>
      </c>
    </row>
    <row r="254" spans="1:5">
      <c r="A254" s="9" t="s">
        <v>1001</v>
      </c>
      <c r="B254" s="10" t="s">
        <v>36</v>
      </c>
      <c r="C254" s="11">
        <v>322</v>
      </c>
      <c r="D254" s="12">
        <v>45</v>
      </c>
      <c r="E254" s="13">
        <f>productTable[[#This Row],[個数]]*productTable[[#This Row],[原価]]</f>
        <v>14490</v>
      </c>
    </row>
    <row r="255" spans="1:5">
      <c r="A255" s="9" t="s">
        <v>1002</v>
      </c>
      <c r="B255" s="10" t="s">
        <v>363</v>
      </c>
      <c r="C255" s="11">
        <v>76.5</v>
      </c>
      <c r="D255" s="12">
        <v>290</v>
      </c>
      <c r="E255" s="13">
        <f>productTable[[#This Row],[個数]]*productTable[[#This Row],[原価]]</f>
        <v>22185</v>
      </c>
    </row>
    <row r="256" spans="1:5">
      <c r="A256" s="9" t="s">
        <v>1003</v>
      </c>
      <c r="B256" s="10" t="s">
        <v>364</v>
      </c>
      <c r="C256" s="11">
        <v>250</v>
      </c>
      <c r="D256" s="12">
        <v>0</v>
      </c>
      <c r="E256" s="13">
        <f>productTable[[#This Row],[個数]]*productTable[[#This Row],[原価]]</f>
        <v>0</v>
      </c>
    </row>
    <row r="257" spans="1:5">
      <c r="A257" s="9" t="s">
        <v>1004</v>
      </c>
      <c r="B257" s="10" t="s">
        <v>365</v>
      </c>
      <c r="C257" s="11">
        <v>195</v>
      </c>
      <c r="D257" s="12">
        <v>6</v>
      </c>
      <c r="E257" s="13">
        <f>productTable[[#This Row],[個数]]*productTable[[#This Row],[原価]]</f>
        <v>1170</v>
      </c>
    </row>
    <row r="258" spans="1:5">
      <c r="A258" s="9" t="s">
        <v>1005</v>
      </c>
      <c r="B258" s="10" t="s">
        <v>366</v>
      </c>
      <c r="C258" s="11">
        <v>195</v>
      </c>
      <c r="D258" s="12">
        <v>26</v>
      </c>
      <c r="E258" s="13">
        <f>productTable[[#This Row],[個数]]*productTable[[#This Row],[原価]]</f>
        <v>5070</v>
      </c>
    </row>
    <row r="259" spans="1:5">
      <c r="A259" s="9" t="s">
        <v>1006</v>
      </c>
      <c r="B259" s="10" t="s">
        <v>367</v>
      </c>
      <c r="C259" s="11">
        <v>100</v>
      </c>
      <c r="D259" s="12">
        <v>9</v>
      </c>
      <c r="E259" s="13">
        <f>productTable[[#This Row],[個数]]*productTable[[#This Row],[原価]]</f>
        <v>900</v>
      </c>
    </row>
    <row r="260" spans="1:5">
      <c r="A260" s="9" t="s">
        <v>1007</v>
      </c>
      <c r="B260" s="10" t="s">
        <v>368</v>
      </c>
      <c r="C260" s="11">
        <v>125</v>
      </c>
      <c r="D260" s="12">
        <v>0</v>
      </c>
      <c r="E260" s="13">
        <f>productTable[[#This Row],[個数]]*productTable[[#This Row],[原価]]</f>
        <v>0</v>
      </c>
    </row>
    <row r="261" spans="1:5">
      <c r="A261" s="9" t="s">
        <v>1008</v>
      </c>
      <c r="B261" s="10" t="s">
        <v>369</v>
      </c>
      <c r="C261" s="11">
        <v>0</v>
      </c>
      <c r="D261" s="12">
        <v>33</v>
      </c>
      <c r="E261" s="13">
        <f>productTable[[#This Row],[個数]]*productTable[[#This Row],[原価]]</f>
        <v>0</v>
      </c>
    </row>
    <row r="262" spans="1:5">
      <c r="A262" s="9" t="s">
        <v>1009</v>
      </c>
      <c r="B262" s="10" t="s">
        <v>370</v>
      </c>
      <c r="C262" s="11">
        <v>300</v>
      </c>
      <c r="D262" s="12">
        <v>0</v>
      </c>
      <c r="E262" s="13">
        <f>productTable[[#This Row],[個数]]*productTable[[#This Row],[原価]]</f>
        <v>0</v>
      </c>
    </row>
    <row r="263" spans="1:5">
      <c r="A263" s="9" t="s">
        <v>1010</v>
      </c>
      <c r="B263" s="10" t="s">
        <v>371</v>
      </c>
      <c r="C263" s="11">
        <v>420</v>
      </c>
      <c r="D263" s="12">
        <v>26</v>
      </c>
      <c r="E263" s="13">
        <f>productTable[[#This Row],[個数]]*productTable[[#This Row],[原価]]</f>
        <v>10920</v>
      </c>
    </row>
    <row r="264" spans="1:5">
      <c r="A264" s="9" t="s">
        <v>1011</v>
      </c>
      <c r="B264" s="10" t="s">
        <v>37</v>
      </c>
      <c r="C264" s="11">
        <v>257</v>
      </c>
      <c r="D264" s="12">
        <v>57</v>
      </c>
      <c r="E264" s="13">
        <f>productTable[[#This Row],[個数]]*productTable[[#This Row],[原価]]</f>
        <v>14649</v>
      </c>
    </row>
    <row r="265" spans="1:5">
      <c r="A265" s="9" t="s">
        <v>1012</v>
      </c>
      <c r="B265" s="10" t="s">
        <v>38</v>
      </c>
      <c r="C265" s="11">
        <v>288</v>
      </c>
      <c r="D265" s="12">
        <v>36</v>
      </c>
      <c r="E265" s="13">
        <f>productTable[[#This Row],[個数]]*productTable[[#This Row],[原価]]</f>
        <v>10368</v>
      </c>
    </row>
    <row r="266" spans="1:5">
      <c r="A266" s="9" t="s">
        <v>1013</v>
      </c>
      <c r="B266" s="10" t="s">
        <v>39</v>
      </c>
      <c r="C266" s="11">
        <v>0</v>
      </c>
      <c r="D266" s="12">
        <v>34</v>
      </c>
      <c r="E266" s="13">
        <f>productTable[[#This Row],[個数]]*productTable[[#This Row],[原価]]</f>
        <v>0</v>
      </c>
    </row>
    <row r="267" spans="1:5">
      <c r="A267" s="9" t="s">
        <v>1014</v>
      </c>
      <c r="B267" s="10" t="s">
        <v>372</v>
      </c>
      <c r="C267" s="11">
        <v>165</v>
      </c>
      <c r="D267" s="12">
        <v>9</v>
      </c>
      <c r="E267" s="13">
        <f>productTable[[#This Row],[個数]]*productTable[[#This Row],[原価]]</f>
        <v>1485</v>
      </c>
    </row>
    <row r="268" spans="1:5">
      <c r="A268" s="9" t="s">
        <v>1015</v>
      </c>
      <c r="B268" s="10" t="s">
        <v>40</v>
      </c>
      <c r="C268" s="11">
        <v>800</v>
      </c>
      <c r="D268" s="12">
        <v>0</v>
      </c>
      <c r="E268" s="13">
        <f>productTable[[#This Row],[個数]]*productTable[[#This Row],[原価]]</f>
        <v>0</v>
      </c>
    </row>
    <row r="269" spans="1:5">
      <c r="A269" s="9" t="s">
        <v>1016</v>
      </c>
      <c r="B269" s="10" t="s">
        <v>41</v>
      </c>
      <c r="C269" s="11">
        <v>850</v>
      </c>
      <c r="D269" s="12">
        <v>22</v>
      </c>
      <c r="E269" s="13">
        <f>productTable[[#This Row],[個数]]*productTable[[#This Row],[原価]]</f>
        <v>18700</v>
      </c>
    </row>
    <row r="270" spans="1:5">
      <c r="A270" s="9" t="s">
        <v>1017</v>
      </c>
      <c r="B270" s="10" t="s">
        <v>42</v>
      </c>
      <c r="C270" s="11">
        <v>213</v>
      </c>
      <c r="D270" s="12">
        <v>12</v>
      </c>
      <c r="E270" s="13">
        <f>productTable[[#This Row],[個数]]*productTable[[#This Row],[原価]]</f>
        <v>2556</v>
      </c>
    </row>
    <row r="271" spans="1:5">
      <c r="A271" s="9" t="s">
        <v>1018</v>
      </c>
      <c r="B271" s="10" t="s">
        <v>373</v>
      </c>
      <c r="C271" s="11">
        <v>380</v>
      </c>
      <c r="D271" s="12">
        <v>0</v>
      </c>
      <c r="E271" s="13">
        <f>productTable[[#This Row],[個数]]*productTable[[#This Row],[原価]]</f>
        <v>0</v>
      </c>
    </row>
    <row r="272" spans="1:5">
      <c r="A272" s="9" t="s">
        <v>1019</v>
      </c>
      <c r="B272" s="10" t="s">
        <v>43</v>
      </c>
      <c r="C272" s="11">
        <v>216</v>
      </c>
      <c r="D272" s="12">
        <v>16</v>
      </c>
      <c r="E272" s="13">
        <f>productTable[[#This Row],[個数]]*productTable[[#This Row],[原価]]</f>
        <v>3456</v>
      </c>
    </row>
    <row r="273" spans="1:5">
      <c r="A273" s="9" t="s">
        <v>1020</v>
      </c>
      <c r="B273" s="10" t="s">
        <v>44</v>
      </c>
      <c r="C273" s="11">
        <v>98</v>
      </c>
      <c r="D273" s="12">
        <v>243</v>
      </c>
      <c r="E273" s="13">
        <f>productTable[[#This Row],[個数]]*productTable[[#This Row],[原価]]</f>
        <v>23814</v>
      </c>
    </row>
    <row r="274" spans="1:5">
      <c r="A274" s="9" t="s">
        <v>1021</v>
      </c>
      <c r="B274" s="10" t="s">
        <v>374</v>
      </c>
      <c r="C274" s="11">
        <v>690</v>
      </c>
      <c r="D274" s="12">
        <v>41</v>
      </c>
      <c r="E274" s="13">
        <f>productTable[[#This Row],[個数]]*productTable[[#This Row],[原価]]</f>
        <v>28290</v>
      </c>
    </row>
    <row r="275" spans="1:5">
      <c r="A275" s="9" t="s">
        <v>1022</v>
      </c>
      <c r="B275" s="10" t="s">
        <v>45</v>
      </c>
      <c r="C275" s="11">
        <v>290</v>
      </c>
      <c r="D275" s="12">
        <v>0</v>
      </c>
      <c r="E275" s="13">
        <f>productTable[[#This Row],[個数]]*productTable[[#This Row],[原価]]</f>
        <v>0</v>
      </c>
    </row>
    <row r="276" spans="1:5">
      <c r="A276" s="9" t="s">
        <v>1023</v>
      </c>
      <c r="B276" s="10" t="s">
        <v>375</v>
      </c>
      <c r="C276" s="11">
        <v>100</v>
      </c>
      <c r="D276" s="12">
        <v>91</v>
      </c>
      <c r="E276" s="13">
        <f>productTable[[#This Row],[個数]]*productTable[[#This Row],[原価]]</f>
        <v>9100</v>
      </c>
    </row>
    <row r="277" spans="1:5">
      <c r="A277" s="9" t="s">
        <v>1024</v>
      </c>
      <c r="B277" s="10" t="s">
        <v>46</v>
      </c>
      <c r="C277" s="11">
        <v>110</v>
      </c>
      <c r="D277" s="12">
        <v>49</v>
      </c>
      <c r="E277" s="13">
        <f>productTable[[#This Row],[個数]]*productTable[[#This Row],[原価]]</f>
        <v>5390</v>
      </c>
    </row>
    <row r="278" spans="1:5">
      <c r="A278" s="9" t="s">
        <v>1025</v>
      </c>
      <c r="B278" s="10" t="s">
        <v>376</v>
      </c>
      <c r="C278" s="11">
        <v>120</v>
      </c>
      <c r="D278" s="12">
        <v>59</v>
      </c>
      <c r="E278" s="13">
        <f>productTable[[#This Row],[個数]]*productTable[[#This Row],[原価]]</f>
        <v>7080</v>
      </c>
    </row>
    <row r="279" spans="1:5">
      <c r="A279" s="9" t="s">
        <v>1026</v>
      </c>
      <c r="B279" s="10" t="s">
        <v>47</v>
      </c>
      <c r="C279" s="11">
        <v>880</v>
      </c>
      <c r="D279" s="12">
        <v>29</v>
      </c>
      <c r="E279" s="13">
        <f>productTable[[#This Row],[個数]]*productTable[[#This Row],[原価]]</f>
        <v>25520</v>
      </c>
    </row>
    <row r="280" spans="1:5">
      <c r="A280" s="9" t="s">
        <v>1027</v>
      </c>
      <c r="B280" s="10" t="s">
        <v>48</v>
      </c>
      <c r="C280" s="11">
        <v>850</v>
      </c>
      <c r="D280" s="12">
        <v>21</v>
      </c>
      <c r="E280" s="13">
        <f>productTable[[#This Row],[個数]]*productTable[[#This Row],[原価]]</f>
        <v>17850</v>
      </c>
    </row>
    <row r="281" spans="1:5">
      <c r="A281" s="9" t="s">
        <v>1028</v>
      </c>
      <c r="B281" s="10" t="s">
        <v>49</v>
      </c>
      <c r="C281" s="11">
        <v>730</v>
      </c>
      <c r="D281" s="12">
        <v>16</v>
      </c>
      <c r="E281" s="13">
        <f>productTable[[#This Row],[個数]]*productTable[[#This Row],[原価]]</f>
        <v>11680</v>
      </c>
    </row>
    <row r="282" spans="1:5">
      <c r="A282" s="9" t="s">
        <v>1029</v>
      </c>
      <c r="B282" s="10" t="s">
        <v>50</v>
      </c>
      <c r="C282" s="11">
        <v>730</v>
      </c>
      <c r="D282" s="12">
        <v>35</v>
      </c>
      <c r="E282" s="13">
        <f>productTable[[#This Row],[個数]]*productTable[[#This Row],[原価]]</f>
        <v>25550</v>
      </c>
    </row>
    <row r="283" spans="1:5">
      <c r="A283" s="9" t="s">
        <v>1030</v>
      </c>
      <c r="B283" s="10" t="s">
        <v>51</v>
      </c>
      <c r="C283" s="11">
        <v>750</v>
      </c>
      <c r="D283" s="12">
        <v>32</v>
      </c>
      <c r="E283" s="13">
        <f>productTable[[#This Row],[個数]]*productTable[[#This Row],[原価]]</f>
        <v>24000</v>
      </c>
    </row>
    <row r="284" spans="1:5">
      <c r="A284" s="9" t="s">
        <v>1031</v>
      </c>
      <c r="B284" s="10" t="s">
        <v>52</v>
      </c>
      <c r="C284" s="11">
        <v>87</v>
      </c>
      <c r="D284" s="12">
        <v>34</v>
      </c>
      <c r="E284" s="13">
        <f>productTable[[#This Row],[個数]]*productTable[[#This Row],[原価]]</f>
        <v>2958</v>
      </c>
    </row>
    <row r="285" spans="1:5">
      <c r="A285" s="9" t="s">
        <v>1032</v>
      </c>
      <c r="B285" s="10" t="s">
        <v>53</v>
      </c>
      <c r="C285" s="11">
        <v>80</v>
      </c>
      <c r="D285" s="12">
        <v>0</v>
      </c>
      <c r="E285" s="13">
        <f>productTable[[#This Row],[個数]]*productTable[[#This Row],[原価]]</f>
        <v>0</v>
      </c>
    </row>
    <row r="286" spans="1:5">
      <c r="A286" s="9" t="s">
        <v>1033</v>
      </c>
      <c r="B286" s="10" t="s">
        <v>377</v>
      </c>
      <c r="C286" s="11">
        <v>600</v>
      </c>
      <c r="D286" s="12">
        <v>10</v>
      </c>
      <c r="E286" s="13">
        <f>productTable[[#This Row],[個数]]*productTable[[#This Row],[原価]]</f>
        <v>6000</v>
      </c>
    </row>
    <row r="287" spans="1:5">
      <c r="A287" s="9" t="s">
        <v>1034</v>
      </c>
      <c r="B287" s="10" t="s">
        <v>378</v>
      </c>
      <c r="C287" s="11">
        <v>208</v>
      </c>
      <c r="D287" s="12">
        <v>6</v>
      </c>
      <c r="E287" s="13">
        <f>productTable[[#This Row],[個数]]*productTable[[#This Row],[原価]]</f>
        <v>1248</v>
      </c>
    </row>
    <row r="288" spans="1:5">
      <c r="A288" s="9" t="s">
        <v>1035</v>
      </c>
      <c r="B288" s="10" t="s">
        <v>379</v>
      </c>
      <c r="C288" s="11">
        <v>250</v>
      </c>
      <c r="D288" s="12">
        <v>62</v>
      </c>
      <c r="E288" s="13">
        <f>productTable[[#This Row],[個数]]*productTable[[#This Row],[原価]]</f>
        <v>15500</v>
      </c>
    </row>
    <row r="289" spans="1:5">
      <c r="A289" s="9" t="s">
        <v>1036</v>
      </c>
      <c r="B289" s="10" t="s">
        <v>380</v>
      </c>
      <c r="C289" s="11">
        <v>245</v>
      </c>
      <c r="D289" s="12">
        <v>32</v>
      </c>
      <c r="E289" s="13">
        <f>productTable[[#This Row],[個数]]*productTable[[#This Row],[原価]]</f>
        <v>7840</v>
      </c>
    </row>
    <row r="290" spans="1:5">
      <c r="A290" s="9" t="s">
        <v>1037</v>
      </c>
      <c r="B290" s="10" t="s">
        <v>381</v>
      </c>
      <c r="C290" s="11">
        <v>245</v>
      </c>
      <c r="D290" s="12">
        <v>30</v>
      </c>
      <c r="E290" s="13">
        <f>productTable[[#This Row],[個数]]*productTable[[#This Row],[原価]]</f>
        <v>7350</v>
      </c>
    </row>
    <row r="291" spans="1:5">
      <c r="A291" s="9" t="s">
        <v>1038</v>
      </c>
      <c r="B291" s="10" t="s">
        <v>54</v>
      </c>
      <c r="C291" s="11">
        <v>0</v>
      </c>
      <c r="D291" s="12">
        <v>73</v>
      </c>
      <c r="E291" s="13">
        <f>productTable[[#This Row],[個数]]*productTable[[#This Row],[原価]]</f>
        <v>0</v>
      </c>
    </row>
    <row r="292" spans="1:5">
      <c r="A292" s="9" t="s">
        <v>1039</v>
      </c>
      <c r="B292" s="10" t="s">
        <v>55</v>
      </c>
      <c r="C292" s="11">
        <v>0</v>
      </c>
      <c r="D292" s="12">
        <v>51</v>
      </c>
      <c r="E292" s="13">
        <f>productTable[[#This Row],[個数]]*productTable[[#This Row],[原価]]</f>
        <v>0</v>
      </c>
    </row>
    <row r="293" spans="1:5">
      <c r="A293" s="9" t="s">
        <v>1040</v>
      </c>
      <c r="B293" s="10" t="s">
        <v>56</v>
      </c>
      <c r="C293" s="11">
        <v>80</v>
      </c>
      <c r="D293" s="12">
        <v>70</v>
      </c>
      <c r="E293" s="13">
        <f>productTable[[#This Row],[個数]]*productTable[[#This Row],[原価]]</f>
        <v>5600</v>
      </c>
    </row>
    <row r="294" spans="1:5">
      <c r="A294" s="9" t="s">
        <v>1041</v>
      </c>
      <c r="B294" s="10" t="s">
        <v>382</v>
      </c>
      <c r="C294" s="11">
        <v>700</v>
      </c>
      <c r="D294" s="12">
        <v>9</v>
      </c>
      <c r="E294" s="13">
        <f>productTable[[#This Row],[個数]]*productTable[[#This Row],[原価]]</f>
        <v>6300</v>
      </c>
    </row>
    <row r="295" spans="1:5">
      <c r="A295" s="9" t="s">
        <v>1042</v>
      </c>
      <c r="B295" s="10" t="s">
        <v>57</v>
      </c>
      <c r="C295" s="11">
        <v>700</v>
      </c>
      <c r="D295" s="12">
        <v>0</v>
      </c>
      <c r="E295" s="13">
        <f>productTable[[#This Row],[個数]]*productTable[[#This Row],[原価]]</f>
        <v>0</v>
      </c>
    </row>
    <row r="296" spans="1:5">
      <c r="A296" s="9" t="s">
        <v>1043</v>
      </c>
      <c r="B296" s="10" t="s">
        <v>58</v>
      </c>
      <c r="C296" s="11">
        <v>588</v>
      </c>
      <c r="D296" s="12">
        <v>6</v>
      </c>
      <c r="E296" s="13">
        <f>productTable[[#This Row],[個数]]*productTable[[#This Row],[原価]]</f>
        <v>3528</v>
      </c>
    </row>
    <row r="297" spans="1:5">
      <c r="A297" s="9" t="s">
        <v>1044</v>
      </c>
      <c r="B297" s="10" t="s">
        <v>383</v>
      </c>
      <c r="C297" s="11">
        <v>0</v>
      </c>
      <c r="D297" s="12">
        <v>0</v>
      </c>
      <c r="E297" s="13">
        <f>productTable[[#This Row],[個数]]*productTable[[#This Row],[原価]]</f>
        <v>0</v>
      </c>
    </row>
    <row r="298" spans="1:5">
      <c r="A298" s="9" t="s">
        <v>1045</v>
      </c>
      <c r="B298" s="10" t="s">
        <v>59</v>
      </c>
      <c r="C298" s="11">
        <v>165</v>
      </c>
      <c r="D298" s="12">
        <v>25</v>
      </c>
      <c r="E298" s="13">
        <f>productTable[[#This Row],[個数]]*productTable[[#This Row],[原価]]</f>
        <v>4125</v>
      </c>
    </row>
    <row r="299" spans="1:5">
      <c r="A299" s="9" t="s">
        <v>1046</v>
      </c>
      <c r="B299" s="10" t="s">
        <v>60</v>
      </c>
      <c r="C299" s="11">
        <v>293</v>
      </c>
      <c r="D299" s="12">
        <v>17</v>
      </c>
      <c r="E299" s="13">
        <f>productTable[[#This Row],[個数]]*productTable[[#This Row],[原価]]</f>
        <v>4981</v>
      </c>
    </row>
    <row r="300" spans="1:5">
      <c r="A300" s="9" t="s">
        <v>1047</v>
      </c>
      <c r="B300" s="10" t="s">
        <v>61</v>
      </c>
      <c r="C300" s="11">
        <v>294</v>
      </c>
      <c r="D300" s="12">
        <v>17</v>
      </c>
      <c r="E300" s="13">
        <f>productTable[[#This Row],[個数]]*productTable[[#This Row],[原価]]</f>
        <v>4998</v>
      </c>
    </row>
    <row r="301" spans="1:5">
      <c r="A301" s="9" t="s">
        <v>1048</v>
      </c>
      <c r="B301" s="10" t="s">
        <v>384</v>
      </c>
      <c r="C301" s="11">
        <v>310</v>
      </c>
      <c r="D301" s="12">
        <v>10</v>
      </c>
      <c r="E301" s="13">
        <f>productTable[[#This Row],[個数]]*productTable[[#This Row],[原価]]</f>
        <v>3100</v>
      </c>
    </row>
    <row r="302" spans="1:5">
      <c r="A302" s="9" t="s">
        <v>1049</v>
      </c>
      <c r="B302" s="10" t="s">
        <v>385</v>
      </c>
      <c r="C302" s="11">
        <v>360</v>
      </c>
      <c r="D302" s="12">
        <v>4</v>
      </c>
      <c r="E302" s="13">
        <f>productTable[[#This Row],[個数]]*productTable[[#This Row],[原価]]</f>
        <v>1440</v>
      </c>
    </row>
    <row r="303" spans="1:5">
      <c r="A303" s="9" t="s">
        <v>1050</v>
      </c>
      <c r="B303" s="10" t="s">
        <v>386</v>
      </c>
      <c r="C303" s="11">
        <v>770</v>
      </c>
      <c r="D303" s="12">
        <v>0</v>
      </c>
      <c r="E303" s="13">
        <f>productTable[[#This Row],[個数]]*productTable[[#This Row],[原価]]</f>
        <v>0</v>
      </c>
    </row>
    <row r="304" spans="1:5">
      <c r="A304" s="9" t="s">
        <v>1051</v>
      </c>
      <c r="B304" s="10" t="s">
        <v>387</v>
      </c>
      <c r="C304" s="11">
        <v>820</v>
      </c>
      <c r="D304" s="12">
        <v>0</v>
      </c>
      <c r="E304" s="13">
        <f>productTable[[#This Row],[個数]]*productTable[[#This Row],[原価]]</f>
        <v>0</v>
      </c>
    </row>
    <row r="305" spans="1:5">
      <c r="A305" s="9" t="s">
        <v>1052</v>
      </c>
      <c r="B305" s="10" t="s">
        <v>62</v>
      </c>
      <c r="C305" s="11">
        <v>250</v>
      </c>
      <c r="D305" s="12">
        <v>39</v>
      </c>
      <c r="E305" s="13">
        <f>productTable[[#This Row],[個数]]*productTable[[#This Row],[原価]]</f>
        <v>9750</v>
      </c>
    </row>
    <row r="306" spans="1:5">
      <c r="A306" s="9" t="s">
        <v>1053</v>
      </c>
      <c r="B306" s="10" t="s">
        <v>63</v>
      </c>
      <c r="C306" s="11">
        <v>0</v>
      </c>
      <c r="D306" s="12">
        <v>72</v>
      </c>
      <c r="E306" s="13">
        <f>productTable[[#This Row],[個数]]*productTable[[#This Row],[原価]]</f>
        <v>0</v>
      </c>
    </row>
    <row r="307" spans="1:5">
      <c r="A307" s="9" t="s">
        <v>1054</v>
      </c>
      <c r="B307" s="10" t="s">
        <v>64</v>
      </c>
      <c r="C307" s="11">
        <v>395</v>
      </c>
      <c r="D307" s="12">
        <v>10</v>
      </c>
      <c r="E307" s="13">
        <f>productTable[[#This Row],[個数]]*productTable[[#This Row],[原価]]</f>
        <v>3950</v>
      </c>
    </row>
    <row r="308" spans="1:5">
      <c r="A308" s="9" t="s">
        <v>1055</v>
      </c>
      <c r="B308" s="10" t="s">
        <v>65</v>
      </c>
      <c r="C308" s="11">
        <v>0</v>
      </c>
      <c r="D308" s="12">
        <v>160</v>
      </c>
      <c r="E308" s="13">
        <f>productTable[[#This Row],[個数]]*productTable[[#This Row],[原価]]</f>
        <v>0</v>
      </c>
    </row>
    <row r="309" spans="1:5">
      <c r="A309" s="9" t="s">
        <v>1056</v>
      </c>
      <c r="B309" s="10" t="s">
        <v>66</v>
      </c>
      <c r="C309" s="11">
        <v>0</v>
      </c>
      <c r="D309" s="12">
        <v>222</v>
      </c>
      <c r="E309" s="13">
        <f>productTable[[#This Row],[個数]]*productTable[[#This Row],[原価]]</f>
        <v>0</v>
      </c>
    </row>
    <row r="310" spans="1:5">
      <c r="A310" s="9" t="s">
        <v>1057</v>
      </c>
      <c r="B310" s="10" t="s">
        <v>388</v>
      </c>
      <c r="C310" s="11">
        <v>85</v>
      </c>
      <c r="D310" s="12">
        <v>0</v>
      </c>
      <c r="E310" s="13">
        <f>productTable[[#This Row],[個数]]*productTable[[#This Row],[原価]]</f>
        <v>0</v>
      </c>
    </row>
    <row r="311" spans="1:5">
      <c r="A311" s="9" t="s">
        <v>1058</v>
      </c>
      <c r="B311" s="10" t="s">
        <v>389</v>
      </c>
      <c r="C311" s="11">
        <v>84</v>
      </c>
      <c r="D311" s="12">
        <v>0</v>
      </c>
      <c r="E311" s="13">
        <f>productTable[[#This Row],[個数]]*productTable[[#This Row],[原価]]</f>
        <v>0</v>
      </c>
    </row>
    <row r="312" spans="1:5">
      <c r="A312" s="9" t="s">
        <v>1059</v>
      </c>
      <c r="B312" s="10" t="s">
        <v>67</v>
      </c>
      <c r="C312" s="11">
        <v>330</v>
      </c>
      <c r="D312" s="12">
        <v>5</v>
      </c>
      <c r="E312" s="13">
        <f>productTable[[#This Row],[個数]]*productTable[[#This Row],[原価]]</f>
        <v>1650</v>
      </c>
    </row>
    <row r="313" spans="1:5">
      <c r="A313" s="9" t="s">
        <v>1060</v>
      </c>
      <c r="B313" s="10" t="s">
        <v>390</v>
      </c>
      <c r="C313" s="11">
        <v>165</v>
      </c>
      <c r="D313" s="12">
        <v>49</v>
      </c>
      <c r="E313" s="13">
        <f>productTable[[#This Row],[個数]]*productTable[[#This Row],[原価]]</f>
        <v>8085</v>
      </c>
    </row>
    <row r="314" spans="1:5">
      <c r="A314" s="9" t="s">
        <v>1061</v>
      </c>
      <c r="B314" s="10" t="s">
        <v>391</v>
      </c>
      <c r="C314" s="11">
        <v>100</v>
      </c>
      <c r="D314" s="12">
        <v>88</v>
      </c>
      <c r="E314" s="13">
        <f>productTable[[#This Row],[個数]]*productTable[[#This Row],[原価]]</f>
        <v>8800</v>
      </c>
    </row>
    <row r="315" spans="1:5">
      <c r="A315" s="9" t="s">
        <v>1062</v>
      </c>
      <c r="B315" s="10" t="s">
        <v>68</v>
      </c>
      <c r="C315" s="11">
        <v>375</v>
      </c>
      <c r="D315" s="12">
        <v>10</v>
      </c>
      <c r="E315" s="13">
        <f>productTable[[#This Row],[個数]]*productTable[[#This Row],[原価]]</f>
        <v>3750</v>
      </c>
    </row>
    <row r="316" spans="1:5">
      <c r="A316" s="9" t="s">
        <v>1063</v>
      </c>
      <c r="B316" s="10" t="s">
        <v>392</v>
      </c>
      <c r="C316" s="11">
        <v>0</v>
      </c>
      <c r="D316" s="12">
        <v>76</v>
      </c>
      <c r="E316" s="13">
        <f>productTable[[#This Row],[個数]]*productTable[[#This Row],[原価]]</f>
        <v>0</v>
      </c>
    </row>
    <row r="317" spans="1:5">
      <c r="A317" s="9" t="s">
        <v>1064</v>
      </c>
      <c r="B317" s="10" t="s">
        <v>69</v>
      </c>
      <c r="C317" s="11">
        <v>330</v>
      </c>
      <c r="D317" s="12">
        <v>56</v>
      </c>
      <c r="E317" s="13">
        <f>productTable[[#This Row],[個数]]*productTable[[#This Row],[原価]]</f>
        <v>18480</v>
      </c>
    </row>
    <row r="318" spans="1:5">
      <c r="A318" s="9" t="s">
        <v>1065</v>
      </c>
      <c r="B318" s="10" t="s">
        <v>393</v>
      </c>
      <c r="C318" s="11">
        <v>78</v>
      </c>
      <c r="D318" s="12">
        <v>5</v>
      </c>
      <c r="E318" s="13">
        <f>productTable[[#This Row],[個数]]*productTable[[#This Row],[原価]]</f>
        <v>390</v>
      </c>
    </row>
    <row r="319" spans="1:5">
      <c r="A319" s="9" t="s">
        <v>1066</v>
      </c>
      <c r="B319" s="10" t="s">
        <v>70</v>
      </c>
      <c r="C319" s="11">
        <v>52</v>
      </c>
      <c r="D319" s="12">
        <v>30</v>
      </c>
      <c r="E319" s="13">
        <f>productTable[[#This Row],[個数]]*productTable[[#This Row],[原価]]</f>
        <v>1560</v>
      </c>
    </row>
    <row r="320" spans="1:5">
      <c r="A320" s="9" t="s">
        <v>1067</v>
      </c>
      <c r="B320" s="10" t="s">
        <v>394</v>
      </c>
      <c r="C320" s="11">
        <v>2300</v>
      </c>
      <c r="D320" s="12">
        <v>0</v>
      </c>
      <c r="E320" s="13">
        <f>productTable[[#This Row],[個数]]*productTable[[#This Row],[原価]]</f>
        <v>0</v>
      </c>
    </row>
    <row r="321" spans="1:5">
      <c r="A321" s="9" t="s">
        <v>1068</v>
      </c>
      <c r="B321" s="10" t="s">
        <v>395</v>
      </c>
      <c r="C321" s="11">
        <v>1800</v>
      </c>
      <c r="D321" s="12">
        <v>0</v>
      </c>
      <c r="E321" s="13">
        <f>productTable[[#This Row],[個数]]*productTable[[#This Row],[原価]]</f>
        <v>0</v>
      </c>
    </row>
    <row r="322" spans="1:5">
      <c r="A322" s="9" t="s">
        <v>1069</v>
      </c>
      <c r="B322" s="10" t="s">
        <v>71</v>
      </c>
      <c r="C322" s="11">
        <v>195</v>
      </c>
      <c r="D322" s="12">
        <v>57</v>
      </c>
      <c r="E322" s="13">
        <f>productTable[[#This Row],[個数]]*productTable[[#This Row],[原価]]</f>
        <v>11115</v>
      </c>
    </row>
    <row r="323" spans="1:5">
      <c r="A323" s="9" t="s">
        <v>1070</v>
      </c>
      <c r="B323" s="10" t="s">
        <v>72</v>
      </c>
      <c r="C323" s="11">
        <v>0</v>
      </c>
      <c r="D323" s="12">
        <v>0</v>
      </c>
      <c r="E323" s="13">
        <f>productTable[[#This Row],[個数]]*productTable[[#This Row],[原価]]</f>
        <v>0</v>
      </c>
    </row>
    <row r="324" spans="1:5">
      <c r="A324" s="9" t="s">
        <v>1071</v>
      </c>
      <c r="B324" s="10" t="s">
        <v>73</v>
      </c>
      <c r="C324" s="11">
        <v>140</v>
      </c>
      <c r="D324" s="12">
        <v>31</v>
      </c>
      <c r="E324" s="13">
        <f>productTable[[#This Row],[個数]]*productTable[[#This Row],[原価]]</f>
        <v>4340</v>
      </c>
    </row>
    <row r="325" spans="1:5">
      <c r="A325" s="9" t="s">
        <v>1072</v>
      </c>
      <c r="B325" s="10" t="s">
        <v>396</v>
      </c>
      <c r="C325" s="11">
        <v>180</v>
      </c>
      <c r="D325" s="12">
        <v>6</v>
      </c>
      <c r="E325" s="13">
        <f>productTable[[#This Row],[個数]]*productTable[[#This Row],[原価]]</f>
        <v>1080</v>
      </c>
    </row>
    <row r="326" spans="1:5">
      <c r="A326" s="9" t="s">
        <v>1073</v>
      </c>
      <c r="B326" s="10" t="s">
        <v>397</v>
      </c>
      <c r="C326" s="11">
        <v>0</v>
      </c>
      <c r="D326" s="12">
        <v>0</v>
      </c>
      <c r="E326" s="13">
        <f>productTable[[#This Row],[個数]]*productTable[[#This Row],[原価]]</f>
        <v>0</v>
      </c>
    </row>
    <row r="327" spans="1:5">
      <c r="A327" s="9" t="s">
        <v>1074</v>
      </c>
      <c r="B327" s="10" t="s">
        <v>398</v>
      </c>
      <c r="C327" s="11">
        <v>0</v>
      </c>
      <c r="D327" s="12">
        <v>0</v>
      </c>
      <c r="E327" s="13">
        <f>productTable[[#This Row],[個数]]*productTable[[#This Row],[原価]]</f>
        <v>0</v>
      </c>
    </row>
    <row r="328" spans="1:5">
      <c r="A328" s="9" t="s">
        <v>1075</v>
      </c>
      <c r="B328" s="10" t="s">
        <v>74</v>
      </c>
      <c r="C328" s="11">
        <v>499</v>
      </c>
      <c r="D328" s="12">
        <v>16</v>
      </c>
      <c r="E328" s="13">
        <f>productTable[[#This Row],[個数]]*productTable[[#This Row],[原価]]</f>
        <v>7984</v>
      </c>
    </row>
    <row r="329" spans="1:5">
      <c r="A329" s="9" t="s">
        <v>1076</v>
      </c>
      <c r="B329" s="10" t="s">
        <v>399</v>
      </c>
      <c r="C329" s="11">
        <v>310</v>
      </c>
      <c r="D329" s="12">
        <v>6</v>
      </c>
      <c r="E329" s="13">
        <f>productTable[[#This Row],[個数]]*productTable[[#This Row],[原価]]</f>
        <v>1860</v>
      </c>
    </row>
    <row r="330" spans="1:5">
      <c r="A330" s="9" t="s">
        <v>1077</v>
      </c>
      <c r="B330" s="10" t="s">
        <v>400</v>
      </c>
      <c r="C330" s="11">
        <v>260</v>
      </c>
      <c r="D330" s="12">
        <v>10</v>
      </c>
      <c r="E330" s="13">
        <f>productTable[[#This Row],[個数]]*productTable[[#This Row],[原価]]</f>
        <v>2600</v>
      </c>
    </row>
    <row r="331" spans="1:5">
      <c r="A331" s="9" t="s">
        <v>1078</v>
      </c>
      <c r="B331" s="10" t="s">
        <v>401</v>
      </c>
      <c r="C331" s="11">
        <v>240</v>
      </c>
      <c r="D331" s="12">
        <v>0</v>
      </c>
      <c r="E331" s="13">
        <f>productTable[[#This Row],[個数]]*productTable[[#This Row],[原価]]</f>
        <v>0</v>
      </c>
    </row>
    <row r="332" spans="1:5">
      <c r="A332" s="9" t="s">
        <v>1079</v>
      </c>
      <c r="B332" s="10" t="s">
        <v>402</v>
      </c>
      <c r="C332" s="11">
        <v>295</v>
      </c>
      <c r="D332" s="12">
        <v>32</v>
      </c>
      <c r="E332" s="13">
        <f>productTable[[#This Row],[個数]]*productTable[[#This Row],[原価]]</f>
        <v>9440</v>
      </c>
    </row>
    <row r="333" spans="1:5">
      <c r="A333" s="9" t="s">
        <v>1080</v>
      </c>
      <c r="B333" s="10" t="s">
        <v>403</v>
      </c>
      <c r="C333" s="11">
        <v>270</v>
      </c>
      <c r="D333" s="12">
        <v>3</v>
      </c>
      <c r="E333" s="13">
        <f>productTable[[#This Row],[個数]]*productTable[[#This Row],[原価]]</f>
        <v>810</v>
      </c>
    </row>
    <row r="334" spans="1:5">
      <c r="A334" s="9" t="s">
        <v>1081</v>
      </c>
      <c r="B334" s="10" t="s">
        <v>404</v>
      </c>
      <c r="C334" s="11">
        <v>295</v>
      </c>
      <c r="D334" s="12">
        <v>10</v>
      </c>
      <c r="E334" s="13">
        <f>productTable[[#This Row],[個数]]*productTable[[#This Row],[原価]]</f>
        <v>2950</v>
      </c>
    </row>
    <row r="335" spans="1:5">
      <c r="A335" s="9" t="s">
        <v>1082</v>
      </c>
      <c r="B335" s="10" t="s">
        <v>75</v>
      </c>
      <c r="C335" s="11">
        <v>180</v>
      </c>
      <c r="D335" s="12">
        <v>54</v>
      </c>
      <c r="E335" s="13">
        <f>productTable[[#This Row],[個数]]*productTable[[#This Row],[原価]]</f>
        <v>9720</v>
      </c>
    </row>
    <row r="336" spans="1:5">
      <c r="A336" s="9" t="s">
        <v>1083</v>
      </c>
      <c r="B336" s="10" t="s">
        <v>405</v>
      </c>
      <c r="C336" s="11">
        <v>200</v>
      </c>
      <c r="D336" s="12">
        <v>15</v>
      </c>
      <c r="E336" s="13">
        <f>productTable[[#This Row],[個数]]*productTable[[#This Row],[原価]]</f>
        <v>3000</v>
      </c>
    </row>
    <row r="337" spans="1:5">
      <c r="A337" s="9" t="s">
        <v>1084</v>
      </c>
      <c r="B337" s="10" t="s">
        <v>406</v>
      </c>
      <c r="C337" s="11">
        <v>215</v>
      </c>
      <c r="D337" s="12">
        <v>9</v>
      </c>
      <c r="E337" s="13">
        <f>productTable[[#This Row],[個数]]*productTable[[#This Row],[原価]]</f>
        <v>1935</v>
      </c>
    </row>
    <row r="338" spans="1:5">
      <c r="A338" s="9" t="s">
        <v>1085</v>
      </c>
      <c r="B338" s="10" t="s">
        <v>407</v>
      </c>
      <c r="C338" s="11">
        <v>600</v>
      </c>
      <c r="D338" s="12">
        <v>7</v>
      </c>
      <c r="E338" s="13">
        <f>productTable[[#This Row],[個数]]*productTable[[#This Row],[原価]]</f>
        <v>4200</v>
      </c>
    </row>
    <row r="339" spans="1:5">
      <c r="A339" s="9" t="s">
        <v>1086</v>
      </c>
      <c r="B339" s="10" t="s">
        <v>76</v>
      </c>
      <c r="C339" s="11">
        <v>165</v>
      </c>
      <c r="D339" s="12">
        <v>6</v>
      </c>
      <c r="E339" s="13">
        <f>productTable[[#This Row],[個数]]*productTable[[#This Row],[原価]]</f>
        <v>990</v>
      </c>
    </row>
    <row r="340" spans="1:5">
      <c r="A340" s="9" t="s">
        <v>1087</v>
      </c>
      <c r="B340" s="10" t="s">
        <v>408</v>
      </c>
      <c r="C340" s="11">
        <v>850</v>
      </c>
      <c r="D340" s="12">
        <v>0</v>
      </c>
      <c r="E340" s="13">
        <f>productTable[[#This Row],[個数]]*productTable[[#This Row],[原価]]</f>
        <v>0</v>
      </c>
    </row>
    <row r="341" spans="1:5">
      <c r="A341" s="9" t="s">
        <v>1088</v>
      </c>
      <c r="B341" s="10" t="s">
        <v>77</v>
      </c>
      <c r="C341" s="11">
        <v>690</v>
      </c>
      <c r="D341" s="12">
        <v>2</v>
      </c>
      <c r="E341" s="13">
        <f>productTable[[#This Row],[個数]]*productTable[[#This Row],[原価]]</f>
        <v>1380</v>
      </c>
    </row>
    <row r="342" spans="1:5">
      <c r="A342" s="9" t="s">
        <v>1089</v>
      </c>
      <c r="B342" s="10" t="s">
        <v>409</v>
      </c>
      <c r="C342" s="11">
        <v>350</v>
      </c>
      <c r="D342" s="12">
        <v>1</v>
      </c>
      <c r="E342" s="13">
        <f>productTable[[#This Row],[個数]]*productTable[[#This Row],[原価]]</f>
        <v>350</v>
      </c>
    </row>
    <row r="343" spans="1:5">
      <c r="A343" s="9" t="s">
        <v>1090</v>
      </c>
      <c r="B343" s="10" t="s">
        <v>410</v>
      </c>
      <c r="C343" s="11">
        <v>780</v>
      </c>
      <c r="D343" s="12">
        <v>4</v>
      </c>
      <c r="E343" s="13">
        <f>productTable[[#This Row],[個数]]*productTable[[#This Row],[原価]]</f>
        <v>3120</v>
      </c>
    </row>
    <row r="344" spans="1:5">
      <c r="A344" s="9" t="s">
        <v>1091</v>
      </c>
      <c r="B344" s="10" t="s">
        <v>78</v>
      </c>
      <c r="C344" s="11">
        <v>180</v>
      </c>
      <c r="D344" s="12">
        <v>23</v>
      </c>
      <c r="E344" s="13">
        <f>productTable[[#This Row],[個数]]*productTable[[#This Row],[原価]]</f>
        <v>4140</v>
      </c>
    </row>
    <row r="345" spans="1:5">
      <c r="A345" s="9" t="s">
        <v>1092</v>
      </c>
      <c r="B345" s="10" t="s">
        <v>411</v>
      </c>
      <c r="C345" s="11">
        <v>610</v>
      </c>
      <c r="D345" s="12">
        <v>3</v>
      </c>
      <c r="E345" s="13">
        <f>productTable[[#This Row],[個数]]*productTable[[#This Row],[原価]]</f>
        <v>1830</v>
      </c>
    </row>
    <row r="346" spans="1:5">
      <c r="A346" s="9" t="s">
        <v>1093</v>
      </c>
      <c r="B346" s="10" t="s">
        <v>412</v>
      </c>
      <c r="C346" s="11">
        <v>1500</v>
      </c>
      <c r="D346" s="12">
        <v>0</v>
      </c>
      <c r="E346" s="13">
        <f>productTable[[#This Row],[個数]]*productTable[[#This Row],[原価]]</f>
        <v>0</v>
      </c>
    </row>
    <row r="347" spans="1:5">
      <c r="A347" s="9" t="s">
        <v>1094</v>
      </c>
      <c r="B347" s="10" t="s">
        <v>79</v>
      </c>
      <c r="C347" s="11">
        <v>195</v>
      </c>
      <c r="D347" s="12">
        <v>9</v>
      </c>
      <c r="E347" s="13">
        <f>productTable[[#This Row],[個数]]*productTable[[#This Row],[原価]]</f>
        <v>1755</v>
      </c>
    </row>
    <row r="348" spans="1:5">
      <c r="A348" s="9" t="s">
        <v>1095</v>
      </c>
      <c r="B348" s="10" t="s">
        <v>413</v>
      </c>
      <c r="C348" s="11">
        <v>700</v>
      </c>
      <c r="D348" s="12">
        <v>22</v>
      </c>
      <c r="E348" s="13">
        <f>productTable[[#This Row],[個数]]*productTable[[#This Row],[原価]]</f>
        <v>15400</v>
      </c>
    </row>
    <row r="349" spans="1:5">
      <c r="A349" s="9" t="s">
        <v>1096</v>
      </c>
      <c r="B349" s="10" t="s">
        <v>80</v>
      </c>
      <c r="C349" s="11">
        <v>400</v>
      </c>
      <c r="D349" s="12">
        <v>10</v>
      </c>
      <c r="E349" s="13">
        <f>productTable[[#This Row],[個数]]*productTable[[#This Row],[原価]]</f>
        <v>4000</v>
      </c>
    </row>
    <row r="350" spans="1:5">
      <c r="A350" s="9" t="s">
        <v>1097</v>
      </c>
      <c r="B350" s="10" t="s">
        <v>414</v>
      </c>
      <c r="C350" s="11">
        <v>860</v>
      </c>
      <c r="D350" s="12">
        <v>25</v>
      </c>
      <c r="E350" s="13">
        <f>productTable[[#This Row],[個数]]*productTable[[#This Row],[原価]]</f>
        <v>21500</v>
      </c>
    </row>
    <row r="351" spans="1:5">
      <c r="A351" s="9" t="s">
        <v>1098</v>
      </c>
      <c r="B351" s="10" t="s">
        <v>81</v>
      </c>
      <c r="C351" s="11">
        <v>105</v>
      </c>
      <c r="D351" s="12">
        <v>25</v>
      </c>
      <c r="E351" s="13">
        <f>productTable[[#This Row],[個数]]*productTable[[#This Row],[原価]]</f>
        <v>2625</v>
      </c>
    </row>
    <row r="352" spans="1:5">
      <c r="A352" s="9" t="s">
        <v>1099</v>
      </c>
      <c r="B352" s="10" t="s">
        <v>415</v>
      </c>
      <c r="C352" s="11">
        <v>250</v>
      </c>
      <c r="D352" s="12">
        <v>57</v>
      </c>
      <c r="E352" s="13">
        <f>productTable[[#This Row],[個数]]*productTable[[#This Row],[原価]]</f>
        <v>14250</v>
      </c>
    </row>
    <row r="353" spans="1:5">
      <c r="A353" s="9" t="s">
        <v>1100</v>
      </c>
      <c r="B353" s="10" t="s">
        <v>416</v>
      </c>
      <c r="C353" s="11">
        <v>60</v>
      </c>
      <c r="D353" s="12">
        <v>3</v>
      </c>
      <c r="E353" s="13">
        <f>productTable[[#This Row],[個数]]*productTable[[#This Row],[原価]]</f>
        <v>180</v>
      </c>
    </row>
    <row r="354" spans="1:5">
      <c r="A354" s="9" t="s">
        <v>1101</v>
      </c>
      <c r="B354" s="10" t="s">
        <v>82</v>
      </c>
      <c r="C354" s="11">
        <v>265</v>
      </c>
      <c r="D354" s="12">
        <v>16</v>
      </c>
      <c r="E354" s="13">
        <f>productTable[[#This Row],[個数]]*productTable[[#This Row],[原価]]</f>
        <v>4240</v>
      </c>
    </row>
    <row r="355" spans="1:5">
      <c r="A355" s="9" t="s">
        <v>1102</v>
      </c>
      <c r="B355" s="10" t="s">
        <v>83</v>
      </c>
      <c r="C355" s="11">
        <v>590</v>
      </c>
      <c r="D355" s="12">
        <v>12</v>
      </c>
      <c r="E355" s="13">
        <f>productTable[[#This Row],[個数]]*productTable[[#This Row],[原価]]</f>
        <v>7080</v>
      </c>
    </row>
    <row r="356" spans="1:5">
      <c r="A356" s="9" t="s">
        <v>1103</v>
      </c>
      <c r="B356" s="10" t="s">
        <v>84</v>
      </c>
      <c r="C356" s="11">
        <v>550</v>
      </c>
      <c r="D356" s="12">
        <v>12</v>
      </c>
      <c r="E356" s="13">
        <f>productTable[[#This Row],[個数]]*productTable[[#This Row],[原価]]</f>
        <v>6600</v>
      </c>
    </row>
    <row r="357" spans="1:5">
      <c r="A357" s="9" t="s">
        <v>1104</v>
      </c>
      <c r="B357" s="10" t="s">
        <v>417</v>
      </c>
      <c r="C357" s="11">
        <v>1400</v>
      </c>
      <c r="D357" s="12">
        <v>6</v>
      </c>
      <c r="E357" s="13">
        <f>productTable[[#This Row],[個数]]*productTable[[#This Row],[原価]]</f>
        <v>8400</v>
      </c>
    </row>
    <row r="358" spans="1:5">
      <c r="A358" s="9" t="s">
        <v>1105</v>
      </c>
      <c r="B358" s="10" t="s">
        <v>418</v>
      </c>
      <c r="C358" s="11">
        <v>500</v>
      </c>
      <c r="D358" s="12">
        <v>3</v>
      </c>
      <c r="E358" s="13">
        <f>productTable[[#This Row],[個数]]*productTable[[#This Row],[原価]]</f>
        <v>1500</v>
      </c>
    </row>
    <row r="359" spans="1:5">
      <c r="A359" s="9" t="s">
        <v>1106</v>
      </c>
      <c r="B359" s="10" t="s">
        <v>419</v>
      </c>
      <c r="C359" s="11">
        <v>110</v>
      </c>
      <c r="D359" s="12">
        <v>92</v>
      </c>
      <c r="E359" s="13">
        <f>productTable[[#This Row],[個数]]*productTable[[#This Row],[原価]]</f>
        <v>10120</v>
      </c>
    </row>
    <row r="360" spans="1:5">
      <c r="A360" s="9" t="s">
        <v>1107</v>
      </c>
      <c r="B360" s="10" t="s">
        <v>85</v>
      </c>
      <c r="C360" s="11">
        <v>161</v>
      </c>
      <c r="D360" s="12">
        <v>25</v>
      </c>
      <c r="E360" s="13">
        <f>productTable[[#This Row],[個数]]*productTable[[#This Row],[原価]]</f>
        <v>4025</v>
      </c>
    </row>
    <row r="361" spans="1:5">
      <c r="A361" s="9" t="s">
        <v>1108</v>
      </c>
      <c r="B361" s="10" t="s">
        <v>420</v>
      </c>
      <c r="C361" s="11">
        <v>530</v>
      </c>
      <c r="D361" s="12">
        <v>20</v>
      </c>
      <c r="E361" s="13">
        <f>productTable[[#This Row],[個数]]*productTable[[#This Row],[原価]]</f>
        <v>10600</v>
      </c>
    </row>
    <row r="362" spans="1:5">
      <c r="A362" s="9" t="s">
        <v>1109</v>
      </c>
      <c r="B362" s="10" t="s">
        <v>86</v>
      </c>
      <c r="C362" s="11">
        <v>550</v>
      </c>
      <c r="D362" s="12">
        <v>2</v>
      </c>
      <c r="E362" s="13">
        <f>productTable[[#This Row],[個数]]*productTable[[#This Row],[原価]]</f>
        <v>1100</v>
      </c>
    </row>
    <row r="363" spans="1:5">
      <c r="A363" s="9" t="s">
        <v>1110</v>
      </c>
      <c r="B363" s="10" t="s">
        <v>87</v>
      </c>
      <c r="C363" s="11">
        <v>630</v>
      </c>
      <c r="D363" s="12">
        <v>65</v>
      </c>
      <c r="E363" s="13">
        <f>productTable[[#This Row],[個数]]*productTable[[#This Row],[原価]]</f>
        <v>40950</v>
      </c>
    </row>
    <row r="364" spans="1:5">
      <c r="A364" s="9" t="s">
        <v>1111</v>
      </c>
      <c r="B364" s="10" t="s">
        <v>421</v>
      </c>
      <c r="C364" s="11">
        <v>270</v>
      </c>
      <c r="D364" s="12">
        <v>7</v>
      </c>
      <c r="E364" s="13">
        <f>productTable[[#This Row],[個数]]*productTable[[#This Row],[原価]]</f>
        <v>1890</v>
      </c>
    </row>
    <row r="365" spans="1:5">
      <c r="A365" s="9" t="s">
        <v>1112</v>
      </c>
      <c r="B365" s="10" t="s">
        <v>422</v>
      </c>
      <c r="C365" s="11">
        <v>440</v>
      </c>
      <c r="D365" s="12">
        <v>89</v>
      </c>
      <c r="E365" s="13">
        <f>productTable[[#This Row],[個数]]*productTable[[#This Row],[原価]]</f>
        <v>39160</v>
      </c>
    </row>
    <row r="366" spans="1:5">
      <c r="A366" s="9" t="s">
        <v>1113</v>
      </c>
      <c r="B366" s="10" t="s">
        <v>423</v>
      </c>
      <c r="C366" s="11">
        <v>380</v>
      </c>
      <c r="D366" s="12">
        <v>0</v>
      </c>
      <c r="E366" s="13">
        <f>productTable[[#This Row],[個数]]*productTable[[#This Row],[原価]]</f>
        <v>0</v>
      </c>
    </row>
    <row r="367" spans="1:5">
      <c r="A367" s="9" t="s">
        <v>1114</v>
      </c>
      <c r="B367" s="10" t="s">
        <v>88</v>
      </c>
      <c r="C367" s="11">
        <v>220</v>
      </c>
      <c r="D367" s="12">
        <v>0</v>
      </c>
      <c r="E367" s="13">
        <f>productTable[[#This Row],[個数]]*productTable[[#This Row],[原価]]</f>
        <v>0</v>
      </c>
    </row>
    <row r="368" spans="1:5">
      <c r="A368" s="9" t="s">
        <v>1115</v>
      </c>
      <c r="B368" s="10" t="s">
        <v>424</v>
      </c>
      <c r="C368" s="11">
        <v>65</v>
      </c>
      <c r="D368" s="12">
        <v>87</v>
      </c>
      <c r="E368" s="13">
        <f>productTable[[#This Row],[個数]]*productTable[[#This Row],[原価]]</f>
        <v>5655</v>
      </c>
    </row>
    <row r="369" spans="1:5">
      <c r="A369" s="9" t="s">
        <v>1116</v>
      </c>
      <c r="B369" s="10" t="s">
        <v>89</v>
      </c>
      <c r="C369" s="11">
        <v>270</v>
      </c>
      <c r="D369" s="12">
        <v>21</v>
      </c>
      <c r="E369" s="13">
        <f>productTable[[#This Row],[個数]]*productTable[[#This Row],[原価]]</f>
        <v>5670</v>
      </c>
    </row>
    <row r="370" spans="1:5">
      <c r="A370" s="9" t="s">
        <v>1117</v>
      </c>
      <c r="B370" s="10" t="s">
        <v>425</v>
      </c>
      <c r="C370" s="11">
        <v>350</v>
      </c>
      <c r="D370" s="12">
        <v>0</v>
      </c>
      <c r="E370" s="13">
        <f>productTable[[#This Row],[個数]]*productTable[[#This Row],[原価]]</f>
        <v>0</v>
      </c>
    </row>
    <row r="371" spans="1:5">
      <c r="A371" s="9" t="s">
        <v>1118</v>
      </c>
      <c r="B371" s="10" t="s">
        <v>426</v>
      </c>
      <c r="C371" s="11">
        <v>750</v>
      </c>
      <c r="D371" s="12">
        <v>74</v>
      </c>
      <c r="E371" s="13">
        <f>productTable[[#This Row],[個数]]*productTable[[#This Row],[原価]]</f>
        <v>55500</v>
      </c>
    </row>
    <row r="372" spans="1:5">
      <c r="A372" s="9" t="s">
        <v>1119</v>
      </c>
      <c r="B372" s="10" t="s">
        <v>427</v>
      </c>
      <c r="C372" s="11">
        <v>1</v>
      </c>
      <c r="D372" s="12">
        <v>25</v>
      </c>
      <c r="E372" s="13">
        <f>productTable[[#This Row],[個数]]*productTable[[#This Row],[原価]]</f>
        <v>25</v>
      </c>
    </row>
    <row r="373" spans="1:5">
      <c r="A373" s="9" t="s">
        <v>1120</v>
      </c>
      <c r="B373" s="10" t="s">
        <v>90</v>
      </c>
      <c r="C373" s="11">
        <v>550</v>
      </c>
      <c r="D373" s="12">
        <v>17</v>
      </c>
      <c r="E373" s="13">
        <f>productTable[[#This Row],[個数]]*productTable[[#This Row],[原価]]</f>
        <v>9350</v>
      </c>
    </row>
    <row r="374" spans="1:5">
      <c r="A374" s="9" t="s">
        <v>1121</v>
      </c>
      <c r="B374" s="10" t="s">
        <v>428</v>
      </c>
      <c r="C374" s="11">
        <v>30</v>
      </c>
      <c r="D374" s="12">
        <v>13</v>
      </c>
      <c r="E374" s="13">
        <f>productTable[[#This Row],[個数]]*productTable[[#This Row],[原価]]</f>
        <v>390</v>
      </c>
    </row>
    <row r="375" spans="1:5">
      <c r="A375" s="9" t="s">
        <v>1122</v>
      </c>
      <c r="B375" s="10" t="s">
        <v>91</v>
      </c>
      <c r="C375" s="11">
        <v>200</v>
      </c>
      <c r="D375" s="12">
        <v>329</v>
      </c>
      <c r="E375" s="13">
        <f>productTable[[#This Row],[個数]]*productTable[[#This Row],[原価]]</f>
        <v>65800</v>
      </c>
    </row>
    <row r="376" spans="1:5">
      <c r="A376" s="9" t="s">
        <v>1123</v>
      </c>
      <c r="B376" s="10" t="s">
        <v>92</v>
      </c>
      <c r="C376" s="11">
        <v>469</v>
      </c>
      <c r="D376" s="12">
        <v>22</v>
      </c>
      <c r="E376" s="13">
        <f>productTable[[#This Row],[個数]]*productTable[[#This Row],[原価]]</f>
        <v>10318</v>
      </c>
    </row>
    <row r="377" spans="1:5">
      <c r="A377" s="9" t="s">
        <v>1124</v>
      </c>
      <c r="B377" s="10" t="s">
        <v>93</v>
      </c>
      <c r="C377" s="11">
        <v>350</v>
      </c>
      <c r="D377" s="12">
        <v>51</v>
      </c>
      <c r="E377" s="13">
        <f>productTable[[#This Row],[個数]]*productTable[[#This Row],[原価]]</f>
        <v>17850</v>
      </c>
    </row>
    <row r="378" spans="1:5">
      <c r="A378" s="9" t="s">
        <v>1125</v>
      </c>
      <c r="B378" s="10" t="s">
        <v>429</v>
      </c>
      <c r="C378" s="11">
        <v>150</v>
      </c>
      <c r="D378" s="12">
        <v>5</v>
      </c>
      <c r="E378" s="13">
        <f>productTable[[#This Row],[個数]]*productTable[[#This Row],[原価]]</f>
        <v>750</v>
      </c>
    </row>
    <row r="379" spans="1:5">
      <c r="A379" s="9" t="s">
        <v>1126</v>
      </c>
      <c r="B379" s="10" t="s">
        <v>430</v>
      </c>
      <c r="C379" s="11">
        <v>460</v>
      </c>
      <c r="D379" s="12">
        <v>85</v>
      </c>
      <c r="E379" s="13">
        <f>productTable[[#This Row],[個数]]*productTable[[#This Row],[原価]]</f>
        <v>39100</v>
      </c>
    </row>
    <row r="380" spans="1:5">
      <c r="A380" s="9" t="s">
        <v>1127</v>
      </c>
      <c r="B380" s="10" t="s">
        <v>431</v>
      </c>
      <c r="C380" s="11">
        <v>325</v>
      </c>
      <c r="D380" s="12">
        <v>221</v>
      </c>
      <c r="E380" s="13">
        <f>productTable[[#This Row],[個数]]*productTable[[#This Row],[原価]]</f>
        <v>71825</v>
      </c>
    </row>
    <row r="381" spans="1:5">
      <c r="A381" s="9" t="s">
        <v>1128</v>
      </c>
      <c r="B381" s="10" t="s">
        <v>94</v>
      </c>
      <c r="C381" s="11">
        <v>100</v>
      </c>
      <c r="D381" s="12">
        <v>52</v>
      </c>
      <c r="E381" s="13">
        <f>productTable[[#This Row],[個数]]*productTable[[#This Row],[原価]]</f>
        <v>5200</v>
      </c>
    </row>
    <row r="382" spans="1:5">
      <c r="A382" s="9" t="s">
        <v>1129</v>
      </c>
      <c r="B382" s="10" t="s">
        <v>432</v>
      </c>
      <c r="C382" s="11">
        <v>97</v>
      </c>
      <c r="D382" s="12">
        <v>95</v>
      </c>
      <c r="E382" s="13">
        <f>productTable[[#This Row],[個数]]*productTable[[#This Row],[原価]]</f>
        <v>9215</v>
      </c>
    </row>
    <row r="383" spans="1:5">
      <c r="A383" s="9" t="s">
        <v>1130</v>
      </c>
      <c r="B383" s="10" t="s">
        <v>433</v>
      </c>
      <c r="C383" s="11">
        <v>310</v>
      </c>
      <c r="D383" s="12">
        <v>19</v>
      </c>
      <c r="E383" s="13">
        <f>productTable[[#This Row],[個数]]*productTable[[#This Row],[原価]]</f>
        <v>5890</v>
      </c>
    </row>
    <row r="384" spans="1:5">
      <c r="A384" s="9" t="s">
        <v>1131</v>
      </c>
      <c r="B384" s="10" t="s">
        <v>95</v>
      </c>
      <c r="C384" s="11">
        <v>239</v>
      </c>
      <c r="D384" s="12">
        <v>21</v>
      </c>
      <c r="E384" s="13">
        <f>productTable[[#This Row],[個数]]*productTable[[#This Row],[原価]]</f>
        <v>5019</v>
      </c>
    </row>
    <row r="385" spans="1:5">
      <c r="A385" s="9" t="s">
        <v>1132</v>
      </c>
      <c r="B385" s="10" t="s">
        <v>434</v>
      </c>
      <c r="C385" s="11">
        <v>133</v>
      </c>
      <c r="D385" s="12">
        <v>15</v>
      </c>
      <c r="E385" s="13">
        <f>productTable[[#This Row],[個数]]*productTable[[#This Row],[原価]]</f>
        <v>1995</v>
      </c>
    </row>
    <row r="386" spans="1:5">
      <c r="A386" s="9" t="s">
        <v>1133</v>
      </c>
      <c r="B386" s="10" t="s">
        <v>435</v>
      </c>
      <c r="C386" s="11">
        <v>775</v>
      </c>
      <c r="D386" s="12">
        <v>6</v>
      </c>
      <c r="E386" s="13">
        <f>productTable[[#This Row],[個数]]*productTable[[#This Row],[原価]]</f>
        <v>4650</v>
      </c>
    </row>
    <row r="387" spans="1:5">
      <c r="A387" s="9" t="s">
        <v>1134</v>
      </c>
      <c r="B387" s="10" t="s">
        <v>436</v>
      </c>
      <c r="C387" s="11">
        <v>440</v>
      </c>
      <c r="D387" s="12">
        <v>10</v>
      </c>
      <c r="E387" s="13">
        <f>productTable[[#This Row],[個数]]*productTable[[#This Row],[原価]]</f>
        <v>4400</v>
      </c>
    </row>
    <row r="388" spans="1:5">
      <c r="A388" s="9" t="s">
        <v>1135</v>
      </c>
      <c r="B388" s="10" t="s">
        <v>437</v>
      </c>
      <c r="C388" s="11">
        <v>150</v>
      </c>
      <c r="D388" s="12">
        <v>10</v>
      </c>
      <c r="E388" s="13">
        <f>productTable[[#This Row],[個数]]*productTable[[#This Row],[原価]]</f>
        <v>1500</v>
      </c>
    </row>
    <row r="389" spans="1:5">
      <c r="A389" s="9" t="s">
        <v>1136</v>
      </c>
      <c r="B389" s="10" t="s">
        <v>438</v>
      </c>
      <c r="C389" s="11">
        <v>880</v>
      </c>
      <c r="D389" s="12">
        <v>31</v>
      </c>
      <c r="E389" s="13">
        <f>productTable[[#This Row],[個数]]*productTable[[#This Row],[原価]]</f>
        <v>27280</v>
      </c>
    </row>
    <row r="390" spans="1:5">
      <c r="A390" s="9" t="s">
        <v>1137</v>
      </c>
      <c r="B390" s="10" t="s">
        <v>439</v>
      </c>
      <c r="C390" s="11">
        <v>580</v>
      </c>
      <c r="D390" s="12">
        <v>4</v>
      </c>
      <c r="E390" s="13">
        <f>productTable[[#This Row],[個数]]*productTable[[#This Row],[原価]]</f>
        <v>2320</v>
      </c>
    </row>
    <row r="391" spans="1:5">
      <c r="A391" s="9" t="s">
        <v>1138</v>
      </c>
      <c r="B391" s="10" t="s">
        <v>96</v>
      </c>
      <c r="C391" s="11">
        <v>580</v>
      </c>
      <c r="D391" s="12">
        <v>3</v>
      </c>
      <c r="E391" s="13">
        <f>productTable[[#This Row],[個数]]*productTable[[#This Row],[原価]]</f>
        <v>1740</v>
      </c>
    </row>
    <row r="392" spans="1:5">
      <c r="A392" s="9" t="s">
        <v>1139</v>
      </c>
      <c r="B392" s="10" t="s">
        <v>440</v>
      </c>
      <c r="C392" s="11">
        <v>540</v>
      </c>
      <c r="D392" s="12">
        <v>83</v>
      </c>
      <c r="E392" s="13">
        <f>productTable[[#This Row],[個数]]*productTable[[#This Row],[原価]]</f>
        <v>44820</v>
      </c>
    </row>
    <row r="393" spans="1:5">
      <c r="A393" s="9" t="s">
        <v>1140</v>
      </c>
      <c r="B393" s="10" t="s">
        <v>441</v>
      </c>
      <c r="C393" s="11">
        <v>330</v>
      </c>
      <c r="D393" s="12">
        <v>50</v>
      </c>
      <c r="E393" s="13">
        <f>productTable[[#This Row],[個数]]*productTable[[#This Row],[原価]]</f>
        <v>16500</v>
      </c>
    </row>
    <row r="394" spans="1:5">
      <c r="A394" s="9" t="s">
        <v>1141</v>
      </c>
      <c r="B394" s="10" t="s">
        <v>442</v>
      </c>
      <c r="C394" s="11">
        <v>45</v>
      </c>
      <c r="D394" s="12">
        <v>82</v>
      </c>
      <c r="E394" s="13">
        <f>productTable[[#This Row],[個数]]*productTable[[#This Row],[原価]]</f>
        <v>3690</v>
      </c>
    </row>
    <row r="395" spans="1:5">
      <c r="A395" s="9" t="s">
        <v>1142</v>
      </c>
      <c r="B395" s="10" t="s">
        <v>97</v>
      </c>
      <c r="C395" s="11">
        <v>120</v>
      </c>
      <c r="D395" s="12">
        <v>71</v>
      </c>
      <c r="E395" s="13">
        <f>productTable[[#This Row],[個数]]*productTable[[#This Row],[原価]]</f>
        <v>8520</v>
      </c>
    </row>
    <row r="396" spans="1:5">
      <c r="A396" s="9" t="s">
        <v>1143</v>
      </c>
      <c r="B396" s="10" t="s">
        <v>443</v>
      </c>
      <c r="C396" s="11">
        <v>225</v>
      </c>
      <c r="D396" s="12">
        <v>38</v>
      </c>
      <c r="E396" s="13">
        <f>productTable[[#This Row],[個数]]*productTable[[#This Row],[原価]]</f>
        <v>8550</v>
      </c>
    </row>
    <row r="397" spans="1:5">
      <c r="A397" s="9" t="s">
        <v>1144</v>
      </c>
      <c r="B397" s="10" t="s">
        <v>444</v>
      </c>
      <c r="C397" s="11">
        <v>324</v>
      </c>
      <c r="D397" s="12">
        <v>20</v>
      </c>
      <c r="E397" s="13">
        <f>productTable[[#This Row],[個数]]*productTable[[#This Row],[原価]]</f>
        <v>6480</v>
      </c>
    </row>
    <row r="398" spans="1:5">
      <c r="A398" s="9" t="s">
        <v>1145</v>
      </c>
      <c r="B398" s="10" t="s">
        <v>445</v>
      </c>
      <c r="C398" s="11">
        <v>86</v>
      </c>
      <c r="D398" s="12">
        <v>0</v>
      </c>
      <c r="E398" s="13">
        <f>productTable[[#This Row],[個数]]*productTable[[#This Row],[原価]]</f>
        <v>0</v>
      </c>
    </row>
    <row r="399" spans="1:5">
      <c r="A399" s="9" t="s">
        <v>1146</v>
      </c>
      <c r="B399" s="10" t="s">
        <v>446</v>
      </c>
      <c r="C399" s="11">
        <v>109</v>
      </c>
      <c r="D399" s="12">
        <v>11</v>
      </c>
      <c r="E399" s="13">
        <f>productTable[[#This Row],[個数]]*productTable[[#This Row],[原価]]</f>
        <v>1199</v>
      </c>
    </row>
    <row r="400" spans="1:5">
      <c r="A400" s="9" t="s">
        <v>1147</v>
      </c>
      <c r="B400" s="10" t="s">
        <v>447</v>
      </c>
      <c r="C400" s="11">
        <v>250</v>
      </c>
      <c r="D400" s="12">
        <v>67</v>
      </c>
      <c r="E400" s="13">
        <f>productTable[[#This Row],[個数]]*productTable[[#This Row],[原価]]</f>
        <v>16750</v>
      </c>
    </row>
    <row r="401" spans="1:5">
      <c r="A401" s="9" t="s">
        <v>1148</v>
      </c>
      <c r="B401" s="10" t="s">
        <v>448</v>
      </c>
      <c r="C401" s="11">
        <v>144</v>
      </c>
      <c r="D401" s="12">
        <v>71</v>
      </c>
      <c r="E401" s="13">
        <f>productTable[[#This Row],[個数]]*productTable[[#This Row],[原価]]</f>
        <v>10224</v>
      </c>
    </row>
    <row r="402" spans="1:5">
      <c r="A402" s="9" t="s">
        <v>1149</v>
      </c>
      <c r="B402" s="10" t="s">
        <v>449</v>
      </c>
      <c r="C402" s="11">
        <v>185</v>
      </c>
      <c r="D402" s="12">
        <v>86</v>
      </c>
      <c r="E402" s="13">
        <f>productTable[[#This Row],[個数]]*productTable[[#This Row],[原価]]</f>
        <v>15910</v>
      </c>
    </row>
    <row r="403" spans="1:5">
      <c r="A403" s="9" t="s">
        <v>1150</v>
      </c>
      <c r="B403" s="10" t="s">
        <v>450</v>
      </c>
      <c r="C403" s="11">
        <v>170</v>
      </c>
      <c r="D403" s="12">
        <v>76</v>
      </c>
      <c r="E403" s="13">
        <f>productTable[[#This Row],[個数]]*productTable[[#This Row],[原価]]</f>
        <v>12920</v>
      </c>
    </row>
    <row r="404" spans="1:5">
      <c r="A404" s="9" t="s">
        <v>1151</v>
      </c>
      <c r="B404" s="10" t="s">
        <v>451</v>
      </c>
      <c r="C404" s="11">
        <v>242</v>
      </c>
      <c r="D404" s="12">
        <v>7</v>
      </c>
      <c r="E404" s="13">
        <f>productTable[[#This Row],[個数]]*productTable[[#This Row],[原価]]</f>
        <v>1694</v>
      </c>
    </row>
    <row r="405" spans="1:5">
      <c r="A405" s="9" t="s">
        <v>1152</v>
      </c>
      <c r="B405" s="10" t="s">
        <v>452</v>
      </c>
      <c r="C405" s="11">
        <v>90</v>
      </c>
      <c r="D405" s="12">
        <v>61</v>
      </c>
      <c r="E405" s="13">
        <f>productTable[[#This Row],[個数]]*productTable[[#This Row],[原価]]</f>
        <v>5490</v>
      </c>
    </row>
    <row r="406" spans="1:5">
      <c r="A406" s="9" t="s">
        <v>1153</v>
      </c>
      <c r="B406" s="10" t="s">
        <v>453</v>
      </c>
      <c r="C406" s="11">
        <v>3600</v>
      </c>
      <c r="D406" s="12">
        <v>5</v>
      </c>
      <c r="E406" s="13">
        <f>productTable[[#This Row],[個数]]*productTable[[#This Row],[原価]]</f>
        <v>18000</v>
      </c>
    </row>
    <row r="407" spans="1:5">
      <c r="A407" s="9" t="s">
        <v>1154</v>
      </c>
      <c r="B407" s="10" t="s">
        <v>454</v>
      </c>
      <c r="C407" s="11">
        <v>170</v>
      </c>
      <c r="D407" s="12">
        <v>11</v>
      </c>
      <c r="E407" s="13">
        <f>productTable[[#This Row],[個数]]*productTable[[#This Row],[原価]]</f>
        <v>1870</v>
      </c>
    </row>
    <row r="408" spans="1:5">
      <c r="A408" s="9" t="s">
        <v>1155</v>
      </c>
      <c r="B408" s="10" t="s">
        <v>455</v>
      </c>
      <c r="C408" s="11">
        <v>182</v>
      </c>
      <c r="D408" s="12">
        <v>5</v>
      </c>
      <c r="E408" s="13">
        <f>productTable[[#This Row],[個数]]*productTable[[#This Row],[原価]]</f>
        <v>910</v>
      </c>
    </row>
    <row r="409" spans="1:5">
      <c r="A409" s="9" t="s">
        <v>1156</v>
      </c>
      <c r="B409" s="10" t="s">
        <v>456</v>
      </c>
      <c r="C409" s="11">
        <v>420</v>
      </c>
      <c r="D409" s="12">
        <v>78</v>
      </c>
      <c r="E409" s="13">
        <f>productTable[[#This Row],[個数]]*productTable[[#This Row],[原価]]</f>
        <v>32760</v>
      </c>
    </row>
    <row r="410" spans="1:5">
      <c r="A410" s="9" t="s">
        <v>1157</v>
      </c>
      <c r="B410" s="10" t="s">
        <v>457</v>
      </c>
      <c r="C410" s="11">
        <v>110</v>
      </c>
      <c r="D410" s="12">
        <v>40</v>
      </c>
      <c r="E410" s="13">
        <f>productTable[[#This Row],[個数]]*productTable[[#This Row],[原価]]</f>
        <v>4400</v>
      </c>
    </row>
    <row r="411" spans="1:5">
      <c r="A411" s="9" t="s">
        <v>1158</v>
      </c>
      <c r="B411" s="10" t="s">
        <v>458</v>
      </c>
      <c r="C411" s="11">
        <v>360</v>
      </c>
      <c r="D411" s="12">
        <v>19</v>
      </c>
      <c r="E411" s="13">
        <f>productTable[[#This Row],[個数]]*productTable[[#This Row],[原価]]</f>
        <v>6840</v>
      </c>
    </row>
    <row r="412" spans="1:5">
      <c r="A412" s="9" t="s">
        <v>1159</v>
      </c>
      <c r="B412" s="10" t="s">
        <v>459</v>
      </c>
      <c r="C412" s="11">
        <v>230</v>
      </c>
      <c r="D412" s="12">
        <v>65</v>
      </c>
      <c r="E412" s="13">
        <f>productTable[[#This Row],[個数]]*productTable[[#This Row],[原価]]</f>
        <v>14950</v>
      </c>
    </row>
    <row r="413" spans="1:5">
      <c r="A413" s="9" t="s">
        <v>1160</v>
      </c>
      <c r="B413" s="10" t="s">
        <v>460</v>
      </c>
      <c r="C413" s="11">
        <v>150</v>
      </c>
      <c r="D413" s="12">
        <v>9</v>
      </c>
      <c r="E413" s="13">
        <f>productTable[[#This Row],[個数]]*productTable[[#This Row],[原価]]</f>
        <v>1350</v>
      </c>
    </row>
    <row r="414" spans="1:5">
      <c r="A414" s="9" t="s">
        <v>1161</v>
      </c>
      <c r="B414" s="10" t="s">
        <v>461</v>
      </c>
      <c r="C414" s="11">
        <v>150</v>
      </c>
      <c r="D414" s="12">
        <v>16</v>
      </c>
      <c r="E414" s="13">
        <f>productTable[[#This Row],[個数]]*productTable[[#This Row],[原価]]</f>
        <v>2400</v>
      </c>
    </row>
    <row r="415" spans="1:5">
      <c r="A415" s="9" t="s">
        <v>1162</v>
      </c>
      <c r="B415" s="10" t="s">
        <v>462</v>
      </c>
      <c r="C415" s="11">
        <v>130</v>
      </c>
      <c r="D415" s="12">
        <v>92</v>
      </c>
      <c r="E415" s="13">
        <f>productTable[[#This Row],[個数]]*productTable[[#This Row],[原価]]</f>
        <v>11960</v>
      </c>
    </row>
    <row r="416" spans="1:5">
      <c r="A416" s="9" t="s">
        <v>1163</v>
      </c>
      <c r="B416" s="10" t="s">
        <v>463</v>
      </c>
      <c r="C416" s="11">
        <v>242</v>
      </c>
      <c r="D416" s="12">
        <v>15</v>
      </c>
      <c r="E416" s="13">
        <f>productTable[[#This Row],[個数]]*productTable[[#This Row],[原価]]</f>
        <v>3630</v>
      </c>
    </row>
    <row r="417" spans="1:5">
      <c r="A417" s="9" t="s">
        <v>1164</v>
      </c>
      <c r="B417" s="10" t="s">
        <v>464</v>
      </c>
      <c r="C417" s="11">
        <v>1200</v>
      </c>
      <c r="D417" s="12">
        <v>5</v>
      </c>
      <c r="E417" s="13">
        <f>productTable[[#This Row],[個数]]*productTable[[#This Row],[原価]]</f>
        <v>6000</v>
      </c>
    </row>
    <row r="418" spans="1:5">
      <c r="A418" s="9" t="s">
        <v>1165</v>
      </c>
      <c r="B418" s="10" t="s">
        <v>465</v>
      </c>
      <c r="C418" s="11">
        <v>195</v>
      </c>
      <c r="D418" s="12">
        <v>84</v>
      </c>
      <c r="E418" s="13">
        <f>productTable[[#This Row],[個数]]*productTable[[#This Row],[原価]]</f>
        <v>16380</v>
      </c>
    </row>
    <row r="419" spans="1:5">
      <c r="A419" s="9" t="s">
        <v>1166</v>
      </c>
      <c r="B419" s="10" t="s">
        <v>466</v>
      </c>
      <c r="C419" s="11">
        <v>210</v>
      </c>
      <c r="D419" s="12">
        <v>90</v>
      </c>
      <c r="E419" s="13">
        <f>productTable[[#This Row],[個数]]*productTable[[#This Row],[原価]]</f>
        <v>18900</v>
      </c>
    </row>
    <row r="420" spans="1:5">
      <c r="A420" s="9" t="s">
        <v>1167</v>
      </c>
      <c r="B420" s="10" t="s">
        <v>467</v>
      </c>
      <c r="C420" s="11">
        <v>300</v>
      </c>
      <c r="D420" s="12">
        <v>19</v>
      </c>
      <c r="E420" s="13">
        <f>productTable[[#This Row],[個数]]*productTable[[#This Row],[原価]]</f>
        <v>5700</v>
      </c>
    </row>
    <row r="421" spans="1:5">
      <c r="A421" s="9" t="s">
        <v>1168</v>
      </c>
      <c r="B421" s="10" t="s">
        <v>468</v>
      </c>
      <c r="C421" s="11">
        <v>120</v>
      </c>
      <c r="D421" s="12">
        <v>27</v>
      </c>
      <c r="E421" s="13">
        <f>productTable[[#This Row],[個数]]*productTable[[#This Row],[原価]]</f>
        <v>3240</v>
      </c>
    </row>
    <row r="422" spans="1:5">
      <c r="A422" s="9" t="s">
        <v>1169</v>
      </c>
      <c r="B422" s="10" t="s">
        <v>469</v>
      </c>
      <c r="C422" s="11">
        <v>100</v>
      </c>
      <c r="D422" s="12">
        <v>74</v>
      </c>
      <c r="E422" s="13">
        <f>productTable[[#This Row],[個数]]*productTable[[#This Row],[原価]]</f>
        <v>7400</v>
      </c>
    </row>
    <row r="423" spans="1:5">
      <c r="A423" s="9" t="s">
        <v>1170</v>
      </c>
      <c r="B423" s="10" t="s">
        <v>470</v>
      </c>
      <c r="C423" s="11">
        <v>87</v>
      </c>
      <c r="D423" s="12">
        <v>81</v>
      </c>
      <c r="E423" s="13">
        <f>productTable[[#This Row],[個数]]*productTable[[#This Row],[原価]]</f>
        <v>7047</v>
      </c>
    </row>
    <row r="424" spans="1:5">
      <c r="A424" s="9" t="s">
        <v>1171</v>
      </c>
      <c r="B424" s="10" t="s">
        <v>471</v>
      </c>
      <c r="C424" s="11">
        <v>800</v>
      </c>
      <c r="D424" s="12">
        <v>32</v>
      </c>
      <c r="E424" s="13">
        <f>productTable[[#This Row],[個数]]*productTable[[#This Row],[原価]]</f>
        <v>25600</v>
      </c>
    </row>
    <row r="425" spans="1:5">
      <c r="A425" s="9" t="s">
        <v>1172</v>
      </c>
      <c r="B425" s="10" t="s">
        <v>98</v>
      </c>
      <c r="C425" s="11">
        <v>49</v>
      </c>
      <c r="D425" s="12">
        <v>139</v>
      </c>
      <c r="E425" s="13">
        <f>productTable[[#This Row],[個数]]*productTable[[#This Row],[原価]]</f>
        <v>6811</v>
      </c>
    </row>
    <row r="426" spans="1:5">
      <c r="A426" s="9" t="s">
        <v>1173</v>
      </c>
      <c r="B426" s="10" t="s">
        <v>472</v>
      </c>
      <c r="C426" s="11">
        <v>140</v>
      </c>
      <c r="D426" s="12">
        <v>21</v>
      </c>
      <c r="E426" s="13">
        <f>productTable[[#This Row],[個数]]*productTable[[#This Row],[原価]]</f>
        <v>2940</v>
      </c>
    </row>
    <row r="427" spans="1:5">
      <c r="A427" s="9" t="s">
        <v>1174</v>
      </c>
      <c r="B427" s="10" t="s">
        <v>473</v>
      </c>
      <c r="C427" s="11">
        <v>290</v>
      </c>
      <c r="D427" s="12">
        <v>65</v>
      </c>
      <c r="E427" s="13">
        <f>productTable[[#This Row],[個数]]*productTable[[#This Row],[原価]]</f>
        <v>18850</v>
      </c>
    </row>
    <row r="428" spans="1:5">
      <c r="A428" s="9" t="s">
        <v>1175</v>
      </c>
      <c r="B428" s="10" t="s">
        <v>474</v>
      </c>
      <c r="C428" s="11">
        <v>160</v>
      </c>
      <c r="D428" s="12">
        <v>32</v>
      </c>
      <c r="E428" s="13">
        <f>productTable[[#This Row],[個数]]*productTable[[#This Row],[原価]]</f>
        <v>5120</v>
      </c>
    </row>
    <row r="429" spans="1:5">
      <c r="A429" s="9" t="s">
        <v>1176</v>
      </c>
      <c r="B429" s="10" t="s">
        <v>475</v>
      </c>
      <c r="C429" s="11">
        <v>160</v>
      </c>
      <c r="D429" s="12">
        <v>26</v>
      </c>
      <c r="E429" s="13">
        <f>productTable[[#This Row],[個数]]*productTable[[#This Row],[原価]]</f>
        <v>4160</v>
      </c>
    </row>
    <row r="430" spans="1:5">
      <c r="A430" s="9" t="s">
        <v>1177</v>
      </c>
      <c r="B430" s="10" t="s">
        <v>476</v>
      </c>
      <c r="C430" s="11">
        <v>350</v>
      </c>
      <c r="D430" s="12">
        <v>54</v>
      </c>
      <c r="E430" s="13">
        <f>productTable[[#This Row],[個数]]*productTable[[#This Row],[原価]]</f>
        <v>18900</v>
      </c>
    </row>
    <row r="431" spans="1:5">
      <c r="A431" s="9" t="s">
        <v>1178</v>
      </c>
      <c r="B431" s="10" t="s">
        <v>99</v>
      </c>
      <c r="C431" s="11">
        <v>85</v>
      </c>
      <c r="D431" s="12">
        <v>42</v>
      </c>
      <c r="E431" s="13">
        <f>productTable[[#This Row],[個数]]*productTable[[#This Row],[原価]]</f>
        <v>3570</v>
      </c>
    </row>
    <row r="432" spans="1:5">
      <c r="A432" s="9" t="s">
        <v>1179</v>
      </c>
      <c r="B432" s="10" t="s">
        <v>477</v>
      </c>
      <c r="C432" s="11">
        <v>12</v>
      </c>
      <c r="D432" s="12">
        <v>11</v>
      </c>
      <c r="E432" s="13">
        <f>productTable[[#This Row],[個数]]*productTable[[#This Row],[原価]]</f>
        <v>132</v>
      </c>
    </row>
    <row r="433" spans="1:5">
      <c r="A433" s="9" t="s">
        <v>1180</v>
      </c>
      <c r="B433" s="10" t="s">
        <v>478</v>
      </c>
      <c r="C433" s="11">
        <v>125</v>
      </c>
      <c r="D433" s="12">
        <v>80</v>
      </c>
      <c r="E433" s="13">
        <f>productTable[[#This Row],[個数]]*productTable[[#This Row],[原価]]</f>
        <v>10000</v>
      </c>
    </row>
    <row r="434" spans="1:5">
      <c r="A434" s="9" t="s">
        <v>1181</v>
      </c>
      <c r="B434" s="10" t="s">
        <v>479</v>
      </c>
      <c r="C434" s="11">
        <v>185</v>
      </c>
      <c r="D434" s="12">
        <v>20</v>
      </c>
      <c r="E434" s="13">
        <f>productTable[[#This Row],[個数]]*productTable[[#This Row],[原価]]</f>
        <v>3700</v>
      </c>
    </row>
    <row r="435" spans="1:5">
      <c r="A435" s="9" t="s">
        <v>1182</v>
      </c>
      <c r="B435" s="10" t="s">
        <v>480</v>
      </c>
      <c r="C435" s="11">
        <v>184</v>
      </c>
      <c r="D435" s="12">
        <v>59</v>
      </c>
      <c r="E435" s="13">
        <f>productTable[[#This Row],[個数]]*productTable[[#This Row],[原価]]</f>
        <v>10856</v>
      </c>
    </row>
    <row r="436" spans="1:5">
      <c r="A436" s="9" t="s">
        <v>1183</v>
      </c>
      <c r="B436" s="10" t="s">
        <v>481</v>
      </c>
      <c r="C436" s="11">
        <v>294</v>
      </c>
      <c r="D436" s="12">
        <v>81</v>
      </c>
      <c r="E436" s="13">
        <f>productTable[[#This Row],[個数]]*productTable[[#This Row],[原価]]</f>
        <v>23814</v>
      </c>
    </row>
    <row r="437" spans="1:5">
      <c r="A437" s="9" t="s">
        <v>1184</v>
      </c>
      <c r="B437" s="10" t="s">
        <v>482</v>
      </c>
      <c r="C437" s="11">
        <v>150</v>
      </c>
      <c r="D437" s="12">
        <v>12</v>
      </c>
      <c r="E437" s="13">
        <f>productTable[[#This Row],[個数]]*productTable[[#This Row],[原価]]</f>
        <v>1800</v>
      </c>
    </row>
    <row r="438" spans="1:5">
      <c r="A438" s="9" t="s">
        <v>1185</v>
      </c>
      <c r="B438" s="10" t="s">
        <v>483</v>
      </c>
      <c r="C438" s="11">
        <v>100</v>
      </c>
      <c r="D438" s="12">
        <v>25</v>
      </c>
      <c r="E438" s="13">
        <f>productTable[[#This Row],[個数]]*productTable[[#This Row],[原価]]</f>
        <v>2500</v>
      </c>
    </row>
    <row r="439" spans="1:5">
      <c r="A439" s="9" t="s">
        <v>1186</v>
      </c>
      <c r="B439" s="10" t="s">
        <v>484</v>
      </c>
      <c r="C439" s="11">
        <v>49</v>
      </c>
      <c r="D439" s="12">
        <v>22</v>
      </c>
      <c r="E439" s="13">
        <f>productTable[[#This Row],[個数]]*productTable[[#This Row],[原価]]</f>
        <v>1078</v>
      </c>
    </row>
    <row r="440" spans="1:5">
      <c r="A440" s="9" t="s">
        <v>1187</v>
      </c>
      <c r="B440" s="10" t="s">
        <v>485</v>
      </c>
      <c r="C440" s="11">
        <v>99</v>
      </c>
      <c r="D440" s="12">
        <v>45</v>
      </c>
      <c r="E440" s="13">
        <f>productTable[[#This Row],[個数]]*productTable[[#This Row],[原価]]</f>
        <v>4455</v>
      </c>
    </row>
    <row r="441" spans="1:5">
      <c r="A441" s="9" t="s">
        <v>1188</v>
      </c>
      <c r="B441" s="10" t="s">
        <v>486</v>
      </c>
      <c r="C441" s="11">
        <v>99</v>
      </c>
      <c r="D441" s="12">
        <v>38</v>
      </c>
      <c r="E441" s="13">
        <f>productTable[[#This Row],[個数]]*productTable[[#This Row],[原価]]</f>
        <v>3762</v>
      </c>
    </row>
    <row r="442" spans="1:5">
      <c r="A442" s="9" t="s">
        <v>1189</v>
      </c>
      <c r="B442" s="10" t="s">
        <v>487</v>
      </c>
      <c r="C442" s="11">
        <v>650</v>
      </c>
      <c r="D442" s="12">
        <v>70</v>
      </c>
      <c r="E442" s="13">
        <f>productTable[[#This Row],[個数]]*productTable[[#This Row],[原価]]</f>
        <v>45500</v>
      </c>
    </row>
    <row r="443" spans="1:5">
      <c r="A443" s="9" t="s">
        <v>1190</v>
      </c>
      <c r="B443" s="10" t="s">
        <v>488</v>
      </c>
      <c r="C443" s="11">
        <v>150</v>
      </c>
      <c r="D443" s="12">
        <v>88</v>
      </c>
      <c r="E443" s="13">
        <f>productTable[[#This Row],[個数]]*productTable[[#This Row],[原価]]</f>
        <v>13200</v>
      </c>
    </row>
    <row r="444" spans="1:5">
      <c r="A444" s="9" t="s">
        <v>1191</v>
      </c>
      <c r="B444" s="10" t="s">
        <v>489</v>
      </c>
      <c r="C444" s="11">
        <v>291</v>
      </c>
      <c r="D444" s="12">
        <v>48</v>
      </c>
      <c r="E444" s="13">
        <f>productTable[[#This Row],[個数]]*productTable[[#This Row],[原価]]</f>
        <v>13968</v>
      </c>
    </row>
    <row r="445" spans="1:5">
      <c r="A445" s="9" t="s">
        <v>1192</v>
      </c>
      <c r="B445" s="10" t="s">
        <v>100</v>
      </c>
      <c r="C445" s="11">
        <v>250</v>
      </c>
      <c r="D445" s="12">
        <v>49</v>
      </c>
      <c r="E445" s="13">
        <f>productTable[[#This Row],[個数]]*productTable[[#This Row],[原価]]</f>
        <v>12250</v>
      </c>
    </row>
    <row r="446" spans="1:5">
      <c r="A446" s="9" t="s">
        <v>1193</v>
      </c>
      <c r="B446" s="10" t="s">
        <v>101</v>
      </c>
      <c r="C446" s="11">
        <v>130</v>
      </c>
      <c r="D446" s="12">
        <v>8</v>
      </c>
      <c r="E446" s="13">
        <f>productTable[[#This Row],[個数]]*productTable[[#This Row],[原価]]</f>
        <v>1040</v>
      </c>
    </row>
    <row r="447" spans="1:5">
      <c r="A447" s="9" t="s">
        <v>1194</v>
      </c>
      <c r="B447" s="10" t="s">
        <v>102</v>
      </c>
      <c r="C447" s="11">
        <v>130</v>
      </c>
      <c r="D447" s="12">
        <v>19</v>
      </c>
      <c r="E447" s="13">
        <f>productTable[[#This Row],[個数]]*productTable[[#This Row],[原価]]</f>
        <v>2470</v>
      </c>
    </row>
    <row r="448" spans="1:5">
      <c r="A448" s="9" t="s">
        <v>1195</v>
      </c>
      <c r="B448" s="10" t="s">
        <v>490</v>
      </c>
      <c r="C448" s="11">
        <v>230</v>
      </c>
      <c r="D448" s="12">
        <v>85</v>
      </c>
      <c r="E448" s="13">
        <f>productTable[[#This Row],[個数]]*productTable[[#This Row],[原価]]</f>
        <v>19550</v>
      </c>
    </row>
    <row r="449" spans="1:5">
      <c r="A449" s="9" t="s">
        <v>1196</v>
      </c>
      <c r="B449" s="10" t="s">
        <v>491</v>
      </c>
      <c r="C449" s="11">
        <v>240</v>
      </c>
      <c r="D449" s="12">
        <v>71</v>
      </c>
      <c r="E449" s="13">
        <f>productTable[[#This Row],[個数]]*productTable[[#This Row],[原価]]</f>
        <v>17040</v>
      </c>
    </row>
    <row r="450" spans="1:5">
      <c r="A450" s="9" t="s">
        <v>1197</v>
      </c>
      <c r="B450" s="10" t="s">
        <v>492</v>
      </c>
      <c r="C450" s="11">
        <v>190</v>
      </c>
      <c r="D450" s="12">
        <v>60</v>
      </c>
      <c r="E450" s="13">
        <f>productTable[[#This Row],[個数]]*productTable[[#This Row],[原価]]</f>
        <v>11400</v>
      </c>
    </row>
    <row r="451" spans="1:5">
      <c r="A451" s="9" t="s">
        <v>1198</v>
      </c>
      <c r="B451" s="10" t="s">
        <v>493</v>
      </c>
      <c r="C451" s="11">
        <v>410</v>
      </c>
      <c r="D451" s="12">
        <v>78</v>
      </c>
      <c r="E451" s="13">
        <f>productTable[[#This Row],[個数]]*productTable[[#This Row],[原価]]</f>
        <v>31980</v>
      </c>
    </row>
    <row r="452" spans="1:5">
      <c r="A452" s="9" t="s">
        <v>1199</v>
      </c>
      <c r="B452" s="10" t="s">
        <v>494</v>
      </c>
      <c r="C452" s="11">
        <v>215</v>
      </c>
      <c r="D452" s="12">
        <v>7</v>
      </c>
      <c r="E452" s="13">
        <f>productTable[[#This Row],[個数]]*productTable[[#This Row],[原価]]</f>
        <v>1505</v>
      </c>
    </row>
    <row r="453" spans="1:5">
      <c r="A453" s="9" t="s">
        <v>1200</v>
      </c>
      <c r="B453" s="10" t="s">
        <v>495</v>
      </c>
      <c r="C453" s="11">
        <v>458</v>
      </c>
      <c r="D453" s="12">
        <v>14</v>
      </c>
      <c r="E453" s="13">
        <f>productTable[[#This Row],[個数]]*productTable[[#This Row],[原価]]</f>
        <v>6412</v>
      </c>
    </row>
    <row r="454" spans="1:5">
      <c r="A454" s="9" t="s">
        <v>1201</v>
      </c>
      <c r="B454" s="10" t="s">
        <v>496</v>
      </c>
      <c r="C454" s="11">
        <v>900</v>
      </c>
      <c r="D454" s="12">
        <v>2</v>
      </c>
      <c r="E454" s="13">
        <f>productTable[[#This Row],[個数]]*productTable[[#This Row],[原価]]</f>
        <v>1800</v>
      </c>
    </row>
    <row r="455" spans="1:5">
      <c r="A455" s="9" t="s">
        <v>1202</v>
      </c>
      <c r="B455" s="10" t="s">
        <v>497</v>
      </c>
      <c r="C455" s="11">
        <v>64</v>
      </c>
      <c r="D455" s="12">
        <v>10</v>
      </c>
      <c r="E455" s="13">
        <f>productTable[[#This Row],[個数]]*productTable[[#This Row],[原価]]</f>
        <v>640</v>
      </c>
    </row>
    <row r="456" spans="1:5">
      <c r="A456" s="9" t="s">
        <v>1203</v>
      </c>
      <c r="B456" s="10" t="s">
        <v>498</v>
      </c>
      <c r="C456" s="11">
        <v>195</v>
      </c>
      <c r="D456" s="12">
        <v>24</v>
      </c>
      <c r="E456" s="13">
        <f>productTable[[#This Row],[個数]]*productTable[[#This Row],[原価]]</f>
        <v>4680</v>
      </c>
    </row>
    <row r="457" spans="1:5">
      <c r="A457" s="9" t="s">
        <v>1204</v>
      </c>
      <c r="B457" s="10" t="s">
        <v>103</v>
      </c>
      <c r="C457" s="11">
        <v>270</v>
      </c>
      <c r="D457" s="12">
        <v>69</v>
      </c>
      <c r="E457" s="13">
        <f>productTable[[#This Row],[個数]]*productTable[[#This Row],[原価]]</f>
        <v>18630</v>
      </c>
    </row>
    <row r="458" spans="1:5">
      <c r="A458" s="9" t="s">
        <v>1205</v>
      </c>
      <c r="B458" s="10" t="s">
        <v>499</v>
      </c>
      <c r="C458" s="11">
        <v>159</v>
      </c>
      <c r="D458" s="12">
        <v>56</v>
      </c>
      <c r="E458" s="13">
        <f>productTable[[#This Row],[個数]]*productTable[[#This Row],[原価]]</f>
        <v>8904</v>
      </c>
    </row>
    <row r="459" spans="1:5">
      <c r="A459" s="9" t="s">
        <v>1206</v>
      </c>
      <c r="B459" s="10" t="s">
        <v>500</v>
      </c>
      <c r="C459" s="11">
        <v>96.1</v>
      </c>
      <c r="D459" s="12">
        <v>25</v>
      </c>
      <c r="E459" s="13">
        <f>productTable[[#This Row],[個数]]*productTable[[#This Row],[原価]]</f>
        <v>2402.5</v>
      </c>
    </row>
    <row r="460" spans="1:5">
      <c r="A460" s="9" t="s">
        <v>1207</v>
      </c>
      <c r="B460" s="10" t="s">
        <v>501</v>
      </c>
      <c r="C460" s="11">
        <v>330</v>
      </c>
      <c r="D460" s="12">
        <v>59</v>
      </c>
      <c r="E460" s="13">
        <f>productTable[[#This Row],[個数]]*productTable[[#This Row],[原価]]</f>
        <v>19470</v>
      </c>
    </row>
    <row r="461" spans="1:5">
      <c r="A461" s="9" t="s">
        <v>1208</v>
      </c>
      <c r="B461" s="10" t="s">
        <v>502</v>
      </c>
      <c r="C461" s="11">
        <v>905</v>
      </c>
      <c r="D461" s="12">
        <v>51</v>
      </c>
      <c r="E461" s="13">
        <f>productTable[[#This Row],[個数]]*productTable[[#This Row],[原価]]</f>
        <v>46155</v>
      </c>
    </row>
    <row r="462" spans="1:5">
      <c r="A462" s="9" t="s">
        <v>1209</v>
      </c>
      <c r="B462" s="10" t="s">
        <v>503</v>
      </c>
      <c r="C462" s="11">
        <v>810</v>
      </c>
      <c r="D462" s="12">
        <v>67</v>
      </c>
      <c r="E462" s="13">
        <f>productTable[[#This Row],[個数]]*productTable[[#This Row],[原価]]</f>
        <v>54270</v>
      </c>
    </row>
    <row r="463" spans="1:5">
      <c r="A463" s="9" t="s">
        <v>1210</v>
      </c>
      <c r="B463" s="10" t="s">
        <v>504</v>
      </c>
      <c r="C463" s="11">
        <v>87</v>
      </c>
      <c r="D463" s="12">
        <v>6</v>
      </c>
      <c r="E463" s="13">
        <f>productTable[[#This Row],[個数]]*productTable[[#This Row],[原価]]</f>
        <v>522</v>
      </c>
    </row>
    <row r="464" spans="1:5">
      <c r="A464" s="9" t="s">
        <v>1211</v>
      </c>
      <c r="B464" s="10" t="s">
        <v>505</v>
      </c>
      <c r="C464" s="11">
        <v>87</v>
      </c>
      <c r="D464" s="12">
        <v>58</v>
      </c>
      <c r="E464" s="13">
        <f>productTable[[#This Row],[個数]]*productTable[[#This Row],[原価]]</f>
        <v>5046</v>
      </c>
    </row>
    <row r="465" spans="1:5">
      <c r="A465" s="9" t="s">
        <v>1212</v>
      </c>
      <c r="B465" s="10" t="s">
        <v>506</v>
      </c>
      <c r="C465" s="11">
        <v>102</v>
      </c>
      <c r="D465" s="12">
        <v>22</v>
      </c>
      <c r="E465" s="13">
        <f>productTable[[#This Row],[個数]]*productTable[[#This Row],[原価]]</f>
        <v>2244</v>
      </c>
    </row>
    <row r="466" spans="1:5">
      <c r="A466" s="9" t="s">
        <v>1213</v>
      </c>
      <c r="B466" s="10" t="s">
        <v>507</v>
      </c>
      <c r="C466" s="11">
        <v>87</v>
      </c>
      <c r="D466" s="12">
        <v>11</v>
      </c>
      <c r="E466" s="13">
        <f>productTable[[#This Row],[個数]]*productTable[[#This Row],[原価]]</f>
        <v>957</v>
      </c>
    </row>
    <row r="467" spans="1:5">
      <c r="A467" s="9" t="s">
        <v>1214</v>
      </c>
      <c r="B467" s="10" t="s">
        <v>104</v>
      </c>
      <c r="C467" s="11">
        <v>93</v>
      </c>
      <c r="D467" s="12">
        <v>78</v>
      </c>
      <c r="E467" s="13">
        <f>productTable[[#This Row],[個数]]*productTable[[#This Row],[原価]]</f>
        <v>7254</v>
      </c>
    </row>
    <row r="468" spans="1:5">
      <c r="A468" s="9" t="s">
        <v>1215</v>
      </c>
      <c r="B468" s="10" t="s">
        <v>508</v>
      </c>
      <c r="C468" s="11">
        <v>1550</v>
      </c>
      <c r="D468" s="12">
        <v>6</v>
      </c>
      <c r="E468" s="13">
        <f>productTable[[#This Row],[個数]]*productTable[[#This Row],[原価]]</f>
        <v>9300</v>
      </c>
    </row>
    <row r="469" spans="1:5">
      <c r="A469" s="9" t="s">
        <v>1216</v>
      </c>
      <c r="B469" s="10" t="s">
        <v>509</v>
      </c>
      <c r="C469" s="11">
        <v>180</v>
      </c>
      <c r="D469" s="12">
        <v>27</v>
      </c>
      <c r="E469" s="13">
        <f>productTable[[#This Row],[個数]]*productTable[[#This Row],[原価]]</f>
        <v>4860</v>
      </c>
    </row>
    <row r="470" spans="1:5">
      <c r="A470" s="9" t="s">
        <v>1217</v>
      </c>
      <c r="B470" s="10" t="s">
        <v>510</v>
      </c>
      <c r="C470" s="11">
        <v>230</v>
      </c>
      <c r="D470" s="12">
        <v>84</v>
      </c>
      <c r="E470" s="13">
        <f>productTable[[#This Row],[個数]]*productTable[[#This Row],[原価]]</f>
        <v>19320</v>
      </c>
    </row>
    <row r="471" spans="1:5">
      <c r="A471" s="9" t="s">
        <v>1218</v>
      </c>
      <c r="B471" s="10" t="s">
        <v>105</v>
      </c>
      <c r="C471" s="11">
        <v>93</v>
      </c>
      <c r="D471" s="12">
        <v>85</v>
      </c>
      <c r="E471" s="13">
        <f>productTable[[#This Row],[個数]]*productTable[[#This Row],[原価]]</f>
        <v>7905</v>
      </c>
    </row>
    <row r="472" spans="1:5">
      <c r="A472" s="9" t="s">
        <v>1219</v>
      </c>
      <c r="B472" s="10" t="s">
        <v>511</v>
      </c>
      <c r="C472" s="11">
        <v>102</v>
      </c>
      <c r="D472" s="12">
        <v>10</v>
      </c>
      <c r="E472" s="13">
        <f>productTable[[#This Row],[個数]]*productTable[[#This Row],[原価]]</f>
        <v>1020</v>
      </c>
    </row>
    <row r="473" spans="1:5">
      <c r="A473" s="9" t="s">
        <v>1220</v>
      </c>
      <c r="B473" s="10" t="s">
        <v>512</v>
      </c>
      <c r="C473" s="11">
        <v>102</v>
      </c>
      <c r="D473" s="12">
        <v>40</v>
      </c>
      <c r="E473" s="13">
        <f>productTable[[#This Row],[個数]]*productTable[[#This Row],[原価]]</f>
        <v>4080</v>
      </c>
    </row>
    <row r="474" spans="1:5">
      <c r="A474" s="9" t="s">
        <v>1221</v>
      </c>
      <c r="B474" s="10" t="s">
        <v>106</v>
      </c>
      <c r="C474" s="11">
        <v>214</v>
      </c>
      <c r="D474" s="12">
        <v>19</v>
      </c>
      <c r="E474" s="13">
        <f>productTable[[#This Row],[個数]]*productTable[[#This Row],[原価]]</f>
        <v>4066</v>
      </c>
    </row>
    <row r="475" spans="1:5">
      <c r="A475" s="9" t="s">
        <v>1222</v>
      </c>
      <c r="B475" s="10" t="s">
        <v>513</v>
      </c>
      <c r="C475" s="11">
        <v>179</v>
      </c>
      <c r="D475" s="12">
        <v>15</v>
      </c>
      <c r="E475" s="13">
        <f>productTable[[#This Row],[個数]]*productTable[[#This Row],[原価]]</f>
        <v>2685</v>
      </c>
    </row>
    <row r="476" spans="1:5">
      <c r="A476" s="9" t="s">
        <v>1223</v>
      </c>
      <c r="B476" s="10" t="s">
        <v>514</v>
      </c>
      <c r="C476" s="11">
        <v>165</v>
      </c>
      <c r="D476" s="12">
        <v>8</v>
      </c>
      <c r="E476" s="13">
        <f>productTable[[#This Row],[個数]]*productTable[[#This Row],[原価]]</f>
        <v>1320</v>
      </c>
    </row>
    <row r="477" spans="1:5">
      <c r="A477" s="9" t="s">
        <v>1224</v>
      </c>
      <c r="B477" s="10" t="s">
        <v>515</v>
      </c>
      <c r="C477" s="11">
        <v>133</v>
      </c>
      <c r="D477" s="12">
        <v>4</v>
      </c>
      <c r="E477" s="13">
        <f>productTable[[#This Row],[個数]]*productTable[[#This Row],[原価]]</f>
        <v>532</v>
      </c>
    </row>
    <row r="478" spans="1:5">
      <c r="A478" s="9" t="s">
        <v>1225</v>
      </c>
      <c r="B478" s="10" t="s">
        <v>516</v>
      </c>
      <c r="C478" s="11">
        <v>169</v>
      </c>
      <c r="D478" s="12">
        <v>25</v>
      </c>
      <c r="E478" s="13">
        <f>productTable[[#This Row],[個数]]*productTable[[#This Row],[原価]]</f>
        <v>4225</v>
      </c>
    </row>
    <row r="479" spans="1:5">
      <c r="A479" s="9" t="s">
        <v>1226</v>
      </c>
      <c r="B479" s="10" t="s">
        <v>517</v>
      </c>
      <c r="C479" s="11">
        <v>140</v>
      </c>
      <c r="D479" s="12">
        <v>13</v>
      </c>
      <c r="E479" s="13">
        <f>productTable[[#This Row],[個数]]*productTable[[#This Row],[原価]]</f>
        <v>1820</v>
      </c>
    </row>
    <row r="480" spans="1:5">
      <c r="A480" s="9" t="s">
        <v>1227</v>
      </c>
      <c r="B480" s="10" t="s">
        <v>518</v>
      </c>
      <c r="C480" s="11">
        <v>3360</v>
      </c>
      <c r="D480" s="12">
        <v>1</v>
      </c>
      <c r="E480" s="13">
        <f>productTable[[#This Row],[個数]]*productTable[[#This Row],[原価]]</f>
        <v>3360</v>
      </c>
    </row>
    <row r="481" spans="1:5">
      <c r="A481" s="9" t="s">
        <v>1228</v>
      </c>
      <c r="B481" s="10" t="s">
        <v>519</v>
      </c>
      <c r="C481" s="11">
        <v>520</v>
      </c>
      <c r="D481" s="12">
        <v>7</v>
      </c>
      <c r="E481" s="13">
        <f>productTable[[#This Row],[個数]]*productTable[[#This Row],[原価]]</f>
        <v>3640</v>
      </c>
    </row>
    <row r="482" spans="1:5">
      <c r="A482" s="9" t="s">
        <v>1229</v>
      </c>
      <c r="B482" s="10" t="s">
        <v>520</v>
      </c>
      <c r="C482" s="11">
        <v>290</v>
      </c>
      <c r="D482" s="12">
        <v>7</v>
      </c>
      <c r="E482" s="13">
        <f>productTable[[#This Row],[個数]]*productTable[[#This Row],[原価]]</f>
        <v>2030</v>
      </c>
    </row>
    <row r="483" spans="1:5">
      <c r="A483" s="9" t="s">
        <v>1230</v>
      </c>
      <c r="B483" s="10" t="s">
        <v>521</v>
      </c>
      <c r="C483" s="11">
        <v>90</v>
      </c>
      <c r="D483" s="12">
        <v>5</v>
      </c>
      <c r="E483" s="13">
        <f>productTable[[#This Row],[個数]]*productTable[[#This Row],[原価]]</f>
        <v>450</v>
      </c>
    </row>
    <row r="484" spans="1:5">
      <c r="A484" s="9" t="s">
        <v>1231</v>
      </c>
      <c r="B484" s="10" t="s">
        <v>522</v>
      </c>
      <c r="C484" s="11">
        <v>700</v>
      </c>
      <c r="D484" s="12">
        <v>0</v>
      </c>
      <c r="E484" s="13">
        <f>productTable[[#This Row],[個数]]*productTable[[#This Row],[原価]]</f>
        <v>0</v>
      </c>
    </row>
    <row r="485" spans="1:5">
      <c r="A485" s="9" t="s">
        <v>1232</v>
      </c>
      <c r="B485" s="10" t="s">
        <v>523</v>
      </c>
      <c r="C485" s="11">
        <v>600</v>
      </c>
      <c r="D485" s="12">
        <v>0</v>
      </c>
      <c r="E485" s="13">
        <f>productTable[[#This Row],[個数]]*productTable[[#This Row],[原価]]</f>
        <v>0</v>
      </c>
    </row>
    <row r="486" spans="1:5">
      <c r="A486" s="9" t="s">
        <v>1233</v>
      </c>
      <c r="B486" s="10" t="s">
        <v>524</v>
      </c>
      <c r="C486" s="11">
        <v>500</v>
      </c>
      <c r="D486" s="12">
        <v>0</v>
      </c>
      <c r="E486" s="13">
        <f>productTable[[#This Row],[個数]]*productTable[[#This Row],[原価]]</f>
        <v>0</v>
      </c>
    </row>
    <row r="487" spans="1:5">
      <c r="A487" s="9" t="s">
        <v>1234</v>
      </c>
      <c r="B487" s="10" t="s">
        <v>525</v>
      </c>
      <c r="C487" s="11">
        <v>300</v>
      </c>
      <c r="D487" s="12">
        <v>0</v>
      </c>
      <c r="E487" s="13">
        <f>productTable[[#This Row],[個数]]*productTable[[#This Row],[原価]]</f>
        <v>0</v>
      </c>
    </row>
    <row r="488" spans="1:5">
      <c r="A488" s="9" t="s">
        <v>1235</v>
      </c>
      <c r="B488" s="10" t="s">
        <v>526</v>
      </c>
      <c r="C488" s="11">
        <v>250</v>
      </c>
      <c r="D488" s="12">
        <v>0</v>
      </c>
      <c r="E488" s="13">
        <f>productTable[[#This Row],[個数]]*productTable[[#This Row],[原価]]</f>
        <v>0</v>
      </c>
    </row>
    <row r="489" spans="1:5">
      <c r="A489" s="9" t="s">
        <v>1236</v>
      </c>
      <c r="B489" s="10" t="s">
        <v>527</v>
      </c>
      <c r="C489" s="11">
        <v>475</v>
      </c>
      <c r="D489" s="12">
        <v>28</v>
      </c>
      <c r="E489" s="13">
        <f>productTable[[#This Row],[個数]]*productTable[[#This Row],[原価]]</f>
        <v>13300</v>
      </c>
    </row>
    <row r="490" spans="1:5">
      <c r="A490" s="9" t="s">
        <v>1237</v>
      </c>
      <c r="B490" s="10" t="s">
        <v>107</v>
      </c>
      <c r="C490" s="11">
        <v>255</v>
      </c>
      <c r="D490" s="12">
        <v>88</v>
      </c>
      <c r="E490" s="13">
        <f>productTable[[#This Row],[個数]]*productTable[[#This Row],[原価]]</f>
        <v>22440</v>
      </c>
    </row>
    <row r="491" spans="1:5">
      <c r="A491" s="9" t="s">
        <v>1238</v>
      </c>
      <c r="B491" s="10" t="s">
        <v>528</v>
      </c>
      <c r="C491" s="11">
        <v>475</v>
      </c>
      <c r="D491" s="12">
        <v>30</v>
      </c>
      <c r="E491" s="13">
        <f>productTable[[#This Row],[個数]]*productTable[[#This Row],[原価]]</f>
        <v>14250</v>
      </c>
    </row>
    <row r="492" spans="1:5">
      <c r="A492" s="9" t="s">
        <v>1239</v>
      </c>
      <c r="B492" s="10" t="s">
        <v>529</v>
      </c>
      <c r="C492" s="11">
        <v>750</v>
      </c>
      <c r="D492" s="12">
        <v>6</v>
      </c>
      <c r="E492" s="13">
        <f>productTable[[#This Row],[個数]]*productTable[[#This Row],[原価]]</f>
        <v>4500</v>
      </c>
    </row>
    <row r="493" spans="1:5">
      <c r="A493" s="9" t="s">
        <v>1240</v>
      </c>
      <c r="B493" s="10" t="s">
        <v>530</v>
      </c>
      <c r="C493" s="11">
        <v>36.39</v>
      </c>
      <c r="D493" s="12">
        <v>0</v>
      </c>
      <c r="E493" s="13">
        <f>productTable[[#This Row],[個数]]*productTable[[#This Row],[原価]]</f>
        <v>0</v>
      </c>
    </row>
    <row r="494" spans="1:5">
      <c r="A494" s="9" t="s">
        <v>1241</v>
      </c>
      <c r="B494" s="10" t="s">
        <v>531</v>
      </c>
      <c r="C494" s="11">
        <v>764</v>
      </c>
      <c r="D494" s="12">
        <v>4</v>
      </c>
      <c r="E494" s="13">
        <f>productTable[[#This Row],[個数]]*productTable[[#This Row],[原価]]</f>
        <v>3056</v>
      </c>
    </row>
    <row r="495" spans="1:5">
      <c r="A495" s="9" t="s">
        <v>1242</v>
      </c>
      <c r="B495" s="10" t="s">
        <v>532</v>
      </c>
      <c r="C495" s="11">
        <v>225</v>
      </c>
      <c r="D495" s="12">
        <v>48</v>
      </c>
      <c r="E495" s="13">
        <f>productTable[[#This Row],[個数]]*productTable[[#This Row],[原価]]</f>
        <v>10800</v>
      </c>
    </row>
    <row r="496" spans="1:5">
      <c r="A496" s="9" t="s">
        <v>1243</v>
      </c>
      <c r="B496" s="10" t="s">
        <v>533</v>
      </c>
      <c r="C496" s="11">
        <v>890</v>
      </c>
      <c r="D496" s="12">
        <v>21</v>
      </c>
      <c r="E496" s="13">
        <f>productTable[[#This Row],[個数]]*productTable[[#This Row],[原価]]</f>
        <v>18690</v>
      </c>
    </row>
    <row r="497" spans="1:5">
      <c r="A497" s="9" t="s">
        <v>1244</v>
      </c>
      <c r="B497" s="10" t="s">
        <v>534</v>
      </c>
      <c r="C497" s="11">
        <v>230</v>
      </c>
      <c r="D497" s="12">
        <v>18</v>
      </c>
      <c r="E497" s="13">
        <f>productTable[[#This Row],[個数]]*productTable[[#This Row],[原価]]</f>
        <v>4140</v>
      </c>
    </row>
    <row r="498" spans="1:5">
      <c r="A498" s="9" t="s">
        <v>1245</v>
      </c>
      <c r="B498" s="10" t="s">
        <v>535</v>
      </c>
      <c r="C498" s="11">
        <v>390</v>
      </c>
      <c r="D498" s="12">
        <v>10</v>
      </c>
      <c r="E498" s="13">
        <f>productTable[[#This Row],[個数]]*productTable[[#This Row],[原価]]</f>
        <v>3900</v>
      </c>
    </row>
    <row r="499" spans="1:5">
      <c r="A499" s="9" t="s">
        <v>1246</v>
      </c>
      <c r="B499" s="10" t="s">
        <v>536</v>
      </c>
      <c r="C499" s="11">
        <v>260</v>
      </c>
      <c r="D499" s="12">
        <v>3</v>
      </c>
      <c r="E499" s="13">
        <f>productTable[[#This Row],[個数]]*productTable[[#This Row],[原価]]</f>
        <v>780</v>
      </c>
    </row>
    <row r="500" spans="1:5">
      <c r="A500" s="9" t="s">
        <v>1247</v>
      </c>
      <c r="B500" s="10" t="s">
        <v>537</v>
      </c>
      <c r="C500" s="11">
        <v>632</v>
      </c>
      <c r="D500" s="12">
        <v>1</v>
      </c>
      <c r="E500" s="13">
        <f>productTable[[#This Row],[個数]]*productTable[[#This Row],[原価]]</f>
        <v>632</v>
      </c>
    </row>
    <row r="501" spans="1:5">
      <c r="A501" s="9" t="s">
        <v>1248</v>
      </c>
      <c r="B501" s="10" t="s">
        <v>538</v>
      </c>
      <c r="C501" s="11">
        <v>600</v>
      </c>
      <c r="D501" s="12">
        <v>90</v>
      </c>
      <c r="E501" s="13">
        <f>productTable[[#This Row],[個数]]*productTable[[#This Row],[原価]]</f>
        <v>54000</v>
      </c>
    </row>
    <row r="502" spans="1:5">
      <c r="A502" s="9" t="s">
        <v>1249</v>
      </c>
      <c r="B502" s="10" t="s">
        <v>539</v>
      </c>
      <c r="C502" s="11">
        <v>440</v>
      </c>
      <c r="D502" s="12">
        <v>122</v>
      </c>
      <c r="E502" s="13">
        <f>productTable[[#This Row],[個数]]*productTable[[#This Row],[原価]]</f>
        <v>53680</v>
      </c>
    </row>
    <row r="503" spans="1:5">
      <c r="A503" s="9" t="s">
        <v>1250</v>
      </c>
      <c r="B503" s="10" t="s">
        <v>108</v>
      </c>
      <c r="C503" s="11">
        <v>150</v>
      </c>
      <c r="D503" s="12">
        <v>60</v>
      </c>
      <c r="E503" s="13">
        <f>productTable[[#This Row],[個数]]*productTable[[#This Row],[原価]]</f>
        <v>9000</v>
      </c>
    </row>
    <row r="504" spans="1:5">
      <c r="A504" s="9" t="s">
        <v>1251</v>
      </c>
      <c r="B504" s="10" t="s">
        <v>540</v>
      </c>
      <c r="C504" s="11">
        <v>182.82</v>
      </c>
      <c r="D504" s="12">
        <v>79</v>
      </c>
      <c r="E504" s="13">
        <f>productTable[[#This Row],[個数]]*productTable[[#This Row],[原価]]</f>
        <v>14442.779999999999</v>
      </c>
    </row>
    <row r="505" spans="1:5">
      <c r="A505" s="9" t="s">
        <v>1252</v>
      </c>
      <c r="B505" s="10" t="s">
        <v>541</v>
      </c>
      <c r="C505" s="11">
        <v>350</v>
      </c>
      <c r="D505" s="12">
        <v>11</v>
      </c>
      <c r="E505" s="13">
        <f>productTable[[#This Row],[個数]]*productTable[[#This Row],[原価]]</f>
        <v>3850</v>
      </c>
    </row>
    <row r="506" spans="1:5">
      <c r="A506" s="9" t="s">
        <v>1253</v>
      </c>
      <c r="B506" s="10" t="s">
        <v>542</v>
      </c>
      <c r="C506" s="11">
        <v>120</v>
      </c>
      <c r="D506" s="12">
        <v>77</v>
      </c>
      <c r="E506" s="13">
        <f>productTable[[#This Row],[個数]]*productTable[[#This Row],[原価]]</f>
        <v>9240</v>
      </c>
    </row>
    <row r="507" spans="1:5">
      <c r="A507" s="9" t="s">
        <v>1254</v>
      </c>
      <c r="B507" s="10" t="s">
        <v>109</v>
      </c>
      <c r="C507" s="11">
        <v>120</v>
      </c>
      <c r="D507" s="12">
        <v>26</v>
      </c>
      <c r="E507" s="13">
        <f>productTable[[#This Row],[個数]]*productTable[[#This Row],[原価]]</f>
        <v>3120</v>
      </c>
    </row>
    <row r="508" spans="1:5">
      <c r="A508" s="9" t="s">
        <v>1255</v>
      </c>
      <c r="B508" s="10" t="s">
        <v>543</v>
      </c>
      <c r="C508" s="11">
        <v>2900</v>
      </c>
      <c r="D508" s="12">
        <v>2</v>
      </c>
      <c r="E508" s="13">
        <f>productTable[[#This Row],[個数]]*productTable[[#This Row],[原価]]</f>
        <v>5800</v>
      </c>
    </row>
    <row r="509" spans="1:5">
      <c r="A509" s="9" t="s">
        <v>1256</v>
      </c>
      <c r="B509" s="10" t="s">
        <v>110</v>
      </c>
      <c r="C509" s="11">
        <v>340</v>
      </c>
      <c r="D509" s="12">
        <v>19</v>
      </c>
      <c r="E509" s="13">
        <f>productTable[[#This Row],[個数]]*productTable[[#This Row],[原価]]</f>
        <v>6460</v>
      </c>
    </row>
    <row r="510" spans="1:5">
      <c r="A510" s="9" t="s">
        <v>1257</v>
      </c>
      <c r="B510" s="10" t="s">
        <v>544</v>
      </c>
      <c r="C510" s="11">
        <v>105</v>
      </c>
      <c r="D510" s="12">
        <v>35</v>
      </c>
      <c r="E510" s="13">
        <f>productTable[[#This Row],[個数]]*productTable[[#This Row],[原価]]</f>
        <v>3675</v>
      </c>
    </row>
    <row r="511" spans="1:5">
      <c r="A511" s="9" t="s">
        <v>1258</v>
      </c>
      <c r="B511" s="10" t="s">
        <v>545</v>
      </c>
      <c r="C511" s="11">
        <v>55</v>
      </c>
      <c r="D511" s="12">
        <v>266</v>
      </c>
      <c r="E511" s="13">
        <f>productTable[[#This Row],[個数]]*productTable[[#This Row],[原価]]</f>
        <v>14630</v>
      </c>
    </row>
    <row r="512" spans="1:5">
      <c r="A512" s="9" t="s">
        <v>1259</v>
      </c>
      <c r="B512" s="10" t="s">
        <v>546</v>
      </c>
      <c r="C512" s="11">
        <v>210</v>
      </c>
      <c r="D512" s="12">
        <v>53</v>
      </c>
      <c r="E512" s="13">
        <f>productTable[[#This Row],[個数]]*productTable[[#This Row],[原価]]</f>
        <v>11130</v>
      </c>
    </row>
    <row r="513" spans="1:5">
      <c r="A513" s="9" t="s">
        <v>1260</v>
      </c>
      <c r="B513" s="10" t="s">
        <v>547</v>
      </c>
      <c r="C513" s="11">
        <v>740</v>
      </c>
      <c r="D513" s="12">
        <v>10</v>
      </c>
      <c r="E513" s="13">
        <f>productTable[[#This Row],[個数]]*productTable[[#This Row],[原価]]</f>
        <v>7400</v>
      </c>
    </row>
    <row r="514" spans="1:5">
      <c r="A514" s="9" t="s">
        <v>1261</v>
      </c>
      <c r="B514" s="10" t="s">
        <v>548</v>
      </c>
      <c r="C514" s="11">
        <v>140</v>
      </c>
      <c r="D514" s="12">
        <v>30</v>
      </c>
      <c r="E514" s="13">
        <f>productTable[[#This Row],[個数]]*productTable[[#This Row],[原価]]</f>
        <v>4200</v>
      </c>
    </row>
    <row r="515" spans="1:5">
      <c r="A515" s="9" t="s">
        <v>1262</v>
      </c>
      <c r="B515" s="10" t="s">
        <v>549</v>
      </c>
      <c r="C515" s="11">
        <v>625</v>
      </c>
      <c r="D515" s="12">
        <v>22</v>
      </c>
      <c r="E515" s="13">
        <f>productTable[[#This Row],[個数]]*productTable[[#This Row],[原価]]</f>
        <v>13750</v>
      </c>
    </row>
    <row r="516" spans="1:5">
      <c r="A516" s="9" t="s">
        <v>1263</v>
      </c>
      <c r="B516" s="10" t="s">
        <v>111</v>
      </c>
      <c r="C516" s="11">
        <v>410</v>
      </c>
      <c r="D516" s="12">
        <v>22</v>
      </c>
      <c r="E516" s="13">
        <f>productTable[[#This Row],[個数]]*productTable[[#This Row],[原価]]</f>
        <v>9020</v>
      </c>
    </row>
    <row r="517" spans="1:5">
      <c r="A517" s="9" t="s">
        <v>1264</v>
      </c>
      <c r="B517" s="10" t="s">
        <v>550</v>
      </c>
      <c r="C517" s="11">
        <v>327</v>
      </c>
      <c r="D517" s="12">
        <v>17</v>
      </c>
      <c r="E517" s="13">
        <f>productTable[[#This Row],[個数]]*productTable[[#This Row],[原価]]</f>
        <v>5559</v>
      </c>
    </row>
    <row r="518" spans="1:5">
      <c r="A518" s="9" t="s">
        <v>1265</v>
      </c>
      <c r="B518" s="10" t="s">
        <v>551</v>
      </c>
      <c r="C518" s="11">
        <v>99</v>
      </c>
      <c r="D518" s="12">
        <v>73</v>
      </c>
      <c r="E518" s="13">
        <f>productTable[[#This Row],[個数]]*productTable[[#This Row],[原価]]</f>
        <v>7227</v>
      </c>
    </row>
    <row r="519" spans="1:5">
      <c r="A519" s="9" t="s">
        <v>1266</v>
      </c>
      <c r="B519" s="10" t="s">
        <v>552</v>
      </c>
      <c r="C519" s="11">
        <v>120</v>
      </c>
      <c r="D519" s="12">
        <v>57</v>
      </c>
      <c r="E519" s="13">
        <f>productTable[[#This Row],[個数]]*productTable[[#This Row],[原価]]</f>
        <v>6840</v>
      </c>
    </row>
    <row r="520" spans="1:5">
      <c r="A520" s="9" t="s">
        <v>1267</v>
      </c>
      <c r="B520" s="10" t="s">
        <v>553</v>
      </c>
      <c r="C520" s="11">
        <v>136</v>
      </c>
      <c r="D520" s="12">
        <v>9</v>
      </c>
      <c r="E520" s="13">
        <f>productTable[[#This Row],[個数]]*productTable[[#This Row],[原価]]</f>
        <v>1224</v>
      </c>
    </row>
    <row r="521" spans="1:5">
      <c r="A521" s="9" t="s">
        <v>1268</v>
      </c>
      <c r="B521" s="10" t="s">
        <v>112</v>
      </c>
      <c r="C521" s="11">
        <v>180</v>
      </c>
      <c r="D521" s="12">
        <v>28</v>
      </c>
      <c r="E521" s="13">
        <f>productTable[[#This Row],[個数]]*productTable[[#This Row],[原価]]</f>
        <v>5040</v>
      </c>
    </row>
    <row r="522" spans="1:5">
      <c r="A522" s="9" t="s">
        <v>1269</v>
      </c>
      <c r="B522" s="10" t="s">
        <v>554</v>
      </c>
      <c r="C522" s="11">
        <v>230</v>
      </c>
      <c r="D522" s="12">
        <v>52</v>
      </c>
      <c r="E522" s="13">
        <f>productTable[[#This Row],[個数]]*productTable[[#This Row],[原価]]</f>
        <v>11960</v>
      </c>
    </row>
    <row r="523" spans="1:5">
      <c r="A523" s="9" t="s">
        <v>1270</v>
      </c>
      <c r="B523" s="10" t="s">
        <v>555</v>
      </c>
      <c r="C523" s="11">
        <v>260</v>
      </c>
      <c r="D523" s="12">
        <v>74</v>
      </c>
      <c r="E523" s="13">
        <f>productTable[[#This Row],[個数]]*productTable[[#This Row],[原価]]</f>
        <v>19240</v>
      </c>
    </row>
    <row r="524" spans="1:5">
      <c r="A524" s="9" t="s">
        <v>1271</v>
      </c>
      <c r="B524" s="10" t="s">
        <v>556</v>
      </c>
      <c r="C524" s="11">
        <v>110</v>
      </c>
      <c r="D524" s="12">
        <v>31</v>
      </c>
      <c r="E524" s="13">
        <f>productTable[[#This Row],[個数]]*productTable[[#This Row],[原価]]</f>
        <v>3410</v>
      </c>
    </row>
    <row r="525" spans="1:5">
      <c r="A525" s="9" t="s">
        <v>1272</v>
      </c>
      <c r="B525" s="10" t="s">
        <v>557</v>
      </c>
      <c r="C525" s="11">
        <v>880</v>
      </c>
      <c r="D525" s="12">
        <v>14</v>
      </c>
      <c r="E525" s="13">
        <f>productTable[[#This Row],[個数]]*productTable[[#This Row],[原価]]</f>
        <v>12320</v>
      </c>
    </row>
    <row r="526" spans="1:5">
      <c r="A526" s="9" t="s">
        <v>1273</v>
      </c>
      <c r="B526" s="10" t="s">
        <v>558</v>
      </c>
      <c r="C526" s="11">
        <v>873</v>
      </c>
      <c r="D526" s="12">
        <v>11</v>
      </c>
      <c r="E526" s="13">
        <f>productTable[[#This Row],[個数]]*productTable[[#This Row],[原価]]</f>
        <v>9603</v>
      </c>
    </row>
    <row r="527" spans="1:5">
      <c r="A527" s="9" t="s">
        <v>1274</v>
      </c>
      <c r="B527" s="10" t="s">
        <v>559</v>
      </c>
      <c r="C527" s="11">
        <v>300</v>
      </c>
      <c r="D527" s="12">
        <v>37</v>
      </c>
      <c r="E527" s="13">
        <f>productTable[[#This Row],[個数]]*productTable[[#This Row],[原価]]</f>
        <v>11100</v>
      </c>
    </row>
    <row r="528" spans="1:5">
      <c r="A528" s="9" t="s">
        <v>1275</v>
      </c>
      <c r="B528" s="10" t="s">
        <v>560</v>
      </c>
      <c r="C528" s="11">
        <v>250</v>
      </c>
      <c r="D528" s="12">
        <v>41</v>
      </c>
      <c r="E528" s="13">
        <f>productTable[[#This Row],[個数]]*productTable[[#This Row],[原価]]</f>
        <v>10250</v>
      </c>
    </row>
    <row r="529" spans="1:5">
      <c r="A529" s="9" t="s">
        <v>1276</v>
      </c>
      <c r="B529" s="10" t="s">
        <v>561</v>
      </c>
      <c r="C529" s="11">
        <v>580</v>
      </c>
      <c r="D529" s="12">
        <v>9</v>
      </c>
      <c r="E529" s="13">
        <f>productTable[[#This Row],[個数]]*productTable[[#This Row],[原価]]</f>
        <v>5220</v>
      </c>
    </row>
    <row r="530" spans="1:5">
      <c r="A530" s="9" t="s">
        <v>1277</v>
      </c>
      <c r="B530" s="10" t="s">
        <v>113</v>
      </c>
      <c r="C530" s="11">
        <v>167</v>
      </c>
      <c r="D530" s="12">
        <v>68</v>
      </c>
      <c r="E530" s="13">
        <f>productTable[[#This Row],[個数]]*productTable[[#This Row],[原価]]</f>
        <v>11356</v>
      </c>
    </row>
    <row r="531" spans="1:5">
      <c r="A531" s="9" t="s">
        <v>1278</v>
      </c>
      <c r="B531" s="10" t="s">
        <v>562</v>
      </c>
      <c r="C531" s="11">
        <v>310</v>
      </c>
      <c r="D531" s="12">
        <v>10</v>
      </c>
      <c r="E531" s="13">
        <f>productTable[[#This Row],[個数]]*productTable[[#This Row],[原価]]</f>
        <v>3100</v>
      </c>
    </row>
    <row r="532" spans="1:5">
      <c r="A532" s="9" t="s">
        <v>1279</v>
      </c>
      <c r="B532" s="10" t="s">
        <v>563</v>
      </c>
      <c r="C532" s="11">
        <v>300</v>
      </c>
      <c r="D532" s="12">
        <v>13</v>
      </c>
      <c r="E532" s="13">
        <f>productTable[[#This Row],[個数]]*productTable[[#This Row],[原価]]</f>
        <v>3900</v>
      </c>
    </row>
    <row r="533" spans="1:5">
      <c r="A533" s="9" t="s">
        <v>1280</v>
      </c>
      <c r="B533" s="10" t="s">
        <v>564</v>
      </c>
      <c r="C533" s="11">
        <v>406</v>
      </c>
      <c r="D533" s="12">
        <v>13</v>
      </c>
      <c r="E533" s="13">
        <f>productTable[[#This Row],[個数]]*productTable[[#This Row],[原価]]</f>
        <v>5278</v>
      </c>
    </row>
    <row r="534" spans="1:5">
      <c r="A534" s="9" t="s">
        <v>1281</v>
      </c>
      <c r="B534" s="10" t="s">
        <v>565</v>
      </c>
      <c r="C534" s="11">
        <v>395</v>
      </c>
      <c r="D534" s="12">
        <v>62</v>
      </c>
      <c r="E534" s="13">
        <f>productTable[[#This Row],[個数]]*productTable[[#This Row],[原価]]</f>
        <v>24490</v>
      </c>
    </row>
    <row r="535" spans="1:5">
      <c r="A535" s="9" t="s">
        <v>1282</v>
      </c>
      <c r="B535" s="10" t="s">
        <v>566</v>
      </c>
      <c r="C535" s="11">
        <v>150</v>
      </c>
      <c r="D535" s="12">
        <v>3</v>
      </c>
      <c r="E535" s="13">
        <f>productTable[[#This Row],[個数]]*productTable[[#This Row],[原価]]</f>
        <v>450</v>
      </c>
    </row>
    <row r="536" spans="1:5">
      <c r="A536" s="9" t="s">
        <v>1283</v>
      </c>
      <c r="B536" s="10" t="s">
        <v>567</v>
      </c>
      <c r="C536" s="11">
        <v>370</v>
      </c>
      <c r="D536" s="12">
        <v>11</v>
      </c>
      <c r="E536" s="13">
        <f>productTable[[#This Row],[個数]]*productTable[[#This Row],[原価]]</f>
        <v>4070</v>
      </c>
    </row>
    <row r="537" spans="1:5">
      <c r="A537" s="9" t="s">
        <v>1284</v>
      </c>
      <c r="B537" s="10" t="s">
        <v>568</v>
      </c>
      <c r="C537" s="11">
        <v>399</v>
      </c>
      <c r="D537" s="12">
        <v>2</v>
      </c>
      <c r="E537" s="13">
        <f>productTable[[#This Row],[個数]]*productTable[[#This Row],[原価]]</f>
        <v>798</v>
      </c>
    </row>
    <row r="538" spans="1:5">
      <c r="A538" s="9" t="s">
        <v>1285</v>
      </c>
      <c r="B538" s="10" t="s">
        <v>569</v>
      </c>
      <c r="C538" s="11">
        <v>104</v>
      </c>
      <c r="D538" s="12">
        <v>28</v>
      </c>
      <c r="E538" s="13">
        <f>productTable[[#This Row],[個数]]*productTable[[#This Row],[原価]]</f>
        <v>2912</v>
      </c>
    </row>
    <row r="539" spans="1:5">
      <c r="A539" s="9" t="s">
        <v>1286</v>
      </c>
      <c r="B539" s="10" t="s">
        <v>570</v>
      </c>
      <c r="C539" s="11">
        <v>450</v>
      </c>
      <c r="D539" s="12">
        <v>81</v>
      </c>
      <c r="E539" s="13">
        <f>productTable[[#This Row],[個数]]*productTable[[#This Row],[原価]]</f>
        <v>36450</v>
      </c>
    </row>
    <row r="540" spans="1:5">
      <c r="A540" s="9" t="s">
        <v>1287</v>
      </c>
      <c r="B540" s="10" t="s">
        <v>114</v>
      </c>
      <c r="C540" s="11">
        <v>265</v>
      </c>
      <c r="D540" s="12">
        <v>25</v>
      </c>
      <c r="E540" s="13">
        <f>productTable[[#This Row],[個数]]*productTable[[#This Row],[原価]]</f>
        <v>6625</v>
      </c>
    </row>
    <row r="541" spans="1:5">
      <c r="A541" s="9" t="s">
        <v>1288</v>
      </c>
      <c r="B541" s="10" t="s">
        <v>571</v>
      </c>
      <c r="C541" s="11">
        <v>650</v>
      </c>
      <c r="D541" s="12">
        <v>35</v>
      </c>
      <c r="E541" s="13">
        <f>productTable[[#This Row],[個数]]*productTable[[#This Row],[原価]]</f>
        <v>22750</v>
      </c>
    </row>
    <row r="542" spans="1:5">
      <c r="A542" s="9" t="s">
        <v>1289</v>
      </c>
      <c r="B542" s="10" t="s">
        <v>572</v>
      </c>
      <c r="C542" s="11">
        <v>325</v>
      </c>
      <c r="D542" s="12">
        <v>422</v>
      </c>
      <c r="E542" s="13">
        <f>productTable[[#This Row],[個数]]*productTable[[#This Row],[原価]]</f>
        <v>137150</v>
      </c>
    </row>
    <row r="543" spans="1:5">
      <c r="A543" s="9" t="s">
        <v>1290</v>
      </c>
      <c r="B543" s="10" t="s">
        <v>573</v>
      </c>
      <c r="C543" s="11">
        <v>464</v>
      </c>
      <c r="D543" s="12">
        <v>38</v>
      </c>
      <c r="E543" s="13">
        <f>productTable[[#This Row],[個数]]*productTable[[#This Row],[原価]]</f>
        <v>17632</v>
      </c>
    </row>
    <row r="544" spans="1:5">
      <c r="A544" s="9" t="s">
        <v>1291</v>
      </c>
      <c r="B544" s="10" t="s">
        <v>115</v>
      </c>
      <c r="C544" s="11">
        <v>270</v>
      </c>
      <c r="D544" s="12">
        <v>45</v>
      </c>
      <c r="E544" s="13">
        <f>productTable[[#This Row],[個数]]*productTable[[#This Row],[原価]]</f>
        <v>12150</v>
      </c>
    </row>
    <row r="545" spans="1:5">
      <c r="A545" s="9" t="s">
        <v>1292</v>
      </c>
      <c r="B545" s="10" t="s">
        <v>116</v>
      </c>
      <c r="C545" s="11">
        <v>132</v>
      </c>
      <c r="D545" s="12">
        <v>12</v>
      </c>
      <c r="E545" s="13">
        <f>productTable[[#This Row],[個数]]*productTable[[#This Row],[原価]]</f>
        <v>1584</v>
      </c>
    </row>
    <row r="546" spans="1:5">
      <c r="A546" s="9" t="s">
        <v>1293</v>
      </c>
      <c r="B546" s="10" t="s">
        <v>574</v>
      </c>
      <c r="C546" s="11">
        <v>319</v>
      </c>
      <c r="D546" s="12">
        <v>2</v>
      </c>
      <c r="E546" s="13">
        <f>productTable[[#This Row],[個数]]*productTable[[#This Row],[原価]]</f>
        <v>638</v>
      </c>
    </row>
    <row r="547" spans="1:5">
      <c r="A547" s="9" t="s">
        <v>1294</v>
      </c>
      <c r="B547" s="10" t="s">
        <v>575</v>
      </c>
      <c r="C547" s="11">
        <v>175</v>
      </c>
      <c r="D547" s="12">
        <v>57</v>
      </c>
      <c r="E547" s="13">
        <f>productTable[[#This Row],[個数]]*productTable[[#This Row],[原価]]</f>
        <v>9975</v>
      </c>
    </row>
    <row r="548" spans="1:5">
      <c r="A548" s="9" t="s">
        <v>1295</v>
      </c>
      <c r="B548" s="10" t="s">
        <v>576</v>
      </c>
      <c r="C548" s="11">
        <v>328</v>
      </c>
      <c r="D548" s="12">
        <v>41</v>
      </c>
      <c r="E548" s="13">
        <f>productTable[[#This Row],[個数]]*productTable[[#This Row],[原価]]</f>
        <v>13448</v>
      </c>
    </row>
    <row r="549" spans="1:5">
      <c r="A549" s="9" t="s">
        <v>1296</v>
      </c>
      <c r="B549" s="10" t="s">
        <v>577</v>
      </c>
      <c r="C549" s="11">
        <v>14</v>
      </c>
      <c r="D549" s="12">
        <v>20</v>
      </c>
      <c r="E549" s="13">
        <f>productTable[[#This Row],[個数]]*productTable[[#This Row],[原価]]</f>
        <v>280</v>
      </c>
    </row>
    <row r="550" spans="1:5">
      <c r="A550" s="9" t="s">
        <v>1297</v>
      </c>
      <c r="B550" s="10" t="s">
        <v>117</v>
      </c>
      <c r="C550" s="11">
        <v>60</v>
      </c>
      <c r="D550" s="12">
        <v>120</v>
      </c>
      <c r="E550" s="13">
        <f>productTable[[#This Row],[個数]]*productTable[[#This Row],[原価]]</f>
        <v>7200</v>
      </c>
    </row>
    <row r="551" spans="1:5">
      <c r="A551" s="9" t="s">
        <v>1298</v>
      </c>
      <c r="B551" s="10" t="s">
        <v>118</v>
      </c>
      <c r="C551" s="11">
        <v>60</v>
      </c>
      <c r="D551" s="12">
        <v>81</v>
      </c>
      <c r="E551" s="13">
        <f>productTable[[#This Row],[個数]]*productTable[[#This Row],[原価]]</f>
        <v>4860</v>
      </c>
    </row>
    <row r="552" spans="1:5">
      <c r="A552" s="9" t="s">
        <v>1299</v>
      </c>
      <c r="B552" s="10" t="s">
        <v>578</v>
      </c>
      <c r="C552" s="11">
        <v>155</v>
      </c>
      <c r="D552" s="12">
        <v>45</v>
      </c>
      <c r="E552" s="13">
        <f>productTable[[#This Row],[個数]]*productTable[[#This Row],[原価]]</f>
        <v>6975</v>
      </c>
    </row>
    <row r="553" spans="1:5">
      <c r="A553" s="9" t="s">
        <v>1300</v>
      </c>
      <c r="B553" s="10" t="s">
        <v>119</v>
      </c>
      <c r="C553" s="11">
        <v>400</v>
      </c>
      <c r="D553" s="12">
        <v>13</v>
      </c>
      <c r="E553" s="13">
        <f>productTable[[#This Row],[個数]]*productTable[[#This Row],[原価]]</f>
        <v>5200</v>
      </c>
    </row>
    <row r="554" spans="1:5">
      <c r="A554" s="9" t="s">
        <v>1301</v>
      </c>
      <c r="B554" s="10" t="s">
        <v>579</v>
      </c>
      <c r="C554" s="11">
        <v>145</v>
      </c>
      <c r="D554" s="12">
        <v>224</v>
      </c>
      <c r="E554" s="13">
        <f>productTable[[#This Row],[個数]]*productTable[[#This Row],[原価]]</f>
        <v>32480</v>
      </c>
    </row>
    <row r="555" spans="1:5">
      <c r="A555" s="9" t="s">
        <v>1302</v>
      </c>
      <c r="B555" s="10" t="s">
        <v>580</v>
      </c>
      <c r="C555" s="11">
        <v>180</v>
      </c>
      <c r="D555" s="12">
        <v>15</v>
      </c>
      <c r="E555" s="13">
        <f>productTable[[#This Row],[個数]]*productTable[[#This Row],[原価]]</f>
        <v>2700</v>
      </c>
    </row>
    <row r="556" spans="1:5">
      <c r="A556" s="9" t="s">
        <v>1303</v>
      </c>
      <c r="B556" s="10" t="s">
        <v>581</v>
      </c>
      <c r="C556" s="11">
        <v>128</v>
      </c>
      <c r="D556" s="12">
        <v>26</v>
      </c>
      <c r="E556" s="13">
        <f>productTable[[#This Row],[個数]]*productTable[[#This Row],[原価]]</f>
        <v>3328</v>
      </c>
    </row>
    <row r="557" spans="1:5">
      <c r="A557" s="9" t="s">
        <v>1304</v>
      </c>
      <c r="B557" s="10" t="s">
        <v>582</v>
      </c>
      <c r="C557" s="11">
        <v>97</v>
      </c>
      <c r="D557" s="12">
        <v>93</v>
      </c>
      <c r="E557" s="13">
        <f>productTable[[#This Row],[個数]]*productTable[[#This Row],[原価]]</f>
        <v>9021</v>
      </c>
    </row>
    <row r="558" spans="1:5">
      <c r="A558" s="9" t="s">
        <v>1305</v>
      </c>
      <c r="B558" s="10" t="s">
        <v>583</v>
      </c>
      <c r="C558" s="11">
        <v>95</v>
      </c>
      <c r="D558" s="12">
        <v>47</v>
      </c>
      <c r="E558" s="13">
        <f>productTable[[#This Row],[個数]]*productTable[[#This Row],[原価]]</f>
        <v>4465</v>
      </c>
    </row>
    <row r="559" spans="1:5">
      <c r="A559" s="9" t="s">
        <v>1306</v>
      </c>
      <c r="B559" s="10" t="s">
        <v>584</v>
      </c>
      <c r="C559" s="11">
        <v>97</v>
      </c>
      <c r="D559" s="12">
        <v>123</v>
      </c>
      <c r="E559" s="13">
        <f>productTable[[#This Row],[個数]]*productTable[[#This Row],[原価]]</f>
        <v>11931</v>
      </c>
    </row>
    <row r="560" spans="1:5">
      <c r="A560" s="9" t="s">
        <v>1307</v>
      </c>
      <c r="B560" s="10" t="s">
        <v>585</v>
      </c>
      <c r="C560" s="11">
        <v>95</v>
      </c>
      <c r="D560" s="12">
        <v>24</v>
      </c>
      <c r="E560" s="13">
        <f>productTable[[#This Row],[個数]]*productTable[[#This Row],[原価]]</f>
        <v>2280</v>
      </c>
    </row>
    <row r="561" spans="1:5">
      <c r="A561" s="9" t="s">
        <v>1308</v>
      </c>
      <c r="B561" s="10" t="s">
        <v>586</v>
      </c>
      <c r="C561" s="11">
        <v>97</v>
      </c>
      <c r="D561" s="12">
        <v>47</v>
      </c>
      <c r="E561" s="13">
        <f>productTable[[#This Row],[個数]]*productTable[[#This Row],[原価]]</f>
        <v>4559</v>
      </c>
    </row>
    <row r="562" spans="1:5">
      <c r="A562" s="9" t="s">
        <v>1309</v>
      </c>
      <c r="B562" s="10" t="s">
        <v>120</v>
      </c>
      <c r="C562" s="11">
        <v>108</v>
      </c>
      <c r="D562" s="12">
        <v>61</v>
      </c>
      <c r="E562" s="13">
        <f>productTable[[#This Row],[個数]]*productTable[[#This Row],[原価]]</f>
        <v>6588</v>
      </c>
    </row>
    <row r="563" spans="1:5">
      <c r="A563" s="9" t="s">
        <v>1310</v>
      </c>
      <c r="B563" s="10" t="s">
        <v>587</v>
      </c>
      <c r="C563" s="11">
        <v>97</v>
      </c>
      <c r="D563" s="12">
        <v>45</v>
      </c>
      <c r="E563" s="13">
        <f>productTable[[#This Row],[個数]]*productTable[[#This Row],[原価]]</f>
        <v>4365</v>
      </c>
    </row>
    <row r="564" spans="1:5">
      <c r="A564" s="9" t="s">
        <v>1311</v>
      </c>
      <c r="B564" s="10" t="s">
        <v>588</v>
      </c>
      <c r="C564" s="11">
        <v>97</v>
      </c>
      <c r="D564" s="12">
        <v>61</v>
      </c>
      <c r="E564" s="13">
        <f>productTable[[#This Row],[個数]]*productTable[[#This Row],[原価]]</f>
        <v>5917</v>
      </c>
    </row>
    <row r="565" spans="1:5">
      <c r="A565" s="9" t="s">
        <v>1312</v>
      </c>
      <c r="B565" s="10" t="s">
        <v>589</v>
      </c>
      <c r="C565" s="11">
        <v>50</v>
      </c>
      <c r="D565" s="12">
        <v>92</v>
      </c>
      <c r="E565" s="13">
        <f>productTable[[#This Row],[個数]]*productTable[[#This Row],[原価]]</f>
        <v>4600</v>
      </c>
    </row>
    <row r="566" spans="1:5">
      <c r="A566" s="9" t="s">
        <v>1313</v>
      </c>
      <c r="B566" s="10" t="s">
        <v>121</v>
      </c>
      <c r="C566" s="11">
        <v>77</v>
      </c>
      <c r="D566" s="12">
        <v>59</v>
      </c>
      <c r="E566" s="13">
        <f>productTable[[#This Row],[個数]]*productTable[[#This Row],[原価]]</f>
        <v>4543</v>
      </c>
    </row>
    <row r="567" spans="1:5">
      <c r="A567" s="9" t="s">
        <v>1314</v>
      </c>
      <c r="B567" s="10" t="s">
        <v>590</v>
      </c>
      <c r="C567" s="11">
        <v>185</v>
      </c>
      <c r="D567" s="12">
        <v>36</v>
      </c>
      <c r="E567" s="13">
        <f>productTable[[#This Row],[個数]]*productTable[[#This Row],[原価]]</f>
        <v>6660</v>
      </c>
    </row>
    <row r="568" spans="1:5">
      <c r="A568" s="9" t="s">
        <v>1315</v>
      </c>
      <c r="B568" s="10" t="s">
        <v>591</v>
      </c>
      <c r="C568" s="11">
        <v>360</v>
      </c>
      <c r="D568" s="12">
        <v>45</v>
      </c>
      <c r="E568" s="13">
        <f>productTable[[#This Row],[個数]]*productTable[[#This Row],[原価]]</f>
        <v>16200</v>
      </c>
    </row>
    <row r="569" spans="1:5">
      <c r="A569" s="9" t="s">
        <v>1316</v>
      </c>
      <c r="B569" s="10" t="s">
        <v>592</v>
      </c>
      <c r="C569" s="11">
        <v>140</v>
      </c>
      <c r="D569" s="12">
        <v>12</v>
      </c>
      <c r="E569" s="13">
        <f>productTable[[#This Row],[個数]]*productTable[[#This Row],[原価]]</f>
        <v>1680</v>
      </c>
    </row>
    <row r="570" spans="1:5">
      <c r="A570" s="9" t="s">
        <v>1317</v>
      </c>
      <c r="B570" s="10" t="s">
        <v>593</v>
      </c>
      <c r="C570" s="11">
        <v>85</v>
      </c>
      <c r="D570" s="12">
        <v>92</v>
      </c>
      <c r="E570" s="13">
        <f>productTable[[#This Row],[個数]]*productTable[[#This Row],[原価]]</f>
        <v>7820</v>
      </c>
    </row>
    <row r="571" spans="1:5">
      <c r="A571" s="9" t="s">
        <v>1318</v>
      </c>
      <c r="B571" s="10" t="s">
        <v>594</v>
      </c>
      <c r="C571" s="11">
        <v>374</v>
      </c>
      <c r="D571" s="12">
        <v>49</v>
      </c>
      <c r="E571" s="13">
        <f>productTable[[#This Row],[個数]]*productTable[[#This Row],[原価]]</f>
        <v>18326</v>
      </c>
    </row>
    <row r="572" spans="1:5">
      <c r="A572" s="9" t="s">
        <v>1319</v>
      </c>
      <c r="B572" s="10" t="s">
        <v>595</v>
      </c>
      <c r="C572" s="11">
        <v>91</v>
      </c>
      <c r="D572" s="12">
        <v>65</v>
      </c>
      <c r="E572" s="13">
        <f>productTable[[#This Row],[個数]]*productTable[[#This Row],[原価]]</f>
        <v>5915</v>
      </c>
    </row>
    <row r="573" spans="1:5">
      <c r="A573" s="9" t="s">
        <v>1320</v>
      </c>
      <c r="B573" s="10" t="s">
        <v>596</v>
      </c>
      <c r="C573" s="11">
        <v>91</v>
      </c>
      <c r="D573" s="12">
        <v>60</v>
      </c>
      <c r="E573" s="13">
        <f>productTable[[#This Row],[個数]]*productTable[[#This Row],[原価]]</f>
        <v>5460</v>
      </c>
    </row>
    <row r="574" spans="1:5">
      <c r="A574" s="9" t="s">
        <v>1321</v>
      </c>
      <c r="B574" s="10" t="s">
        <v>597</v>
      </c>
      <c r="C574" s="11">
        <v>85</v>
      </c>
      <c r="D574" s="12">
        <v>88</v>
      </c>
      <c r="E574" s="13">
        <f>productTable[[#This Row],[個数]]*productTable[[#This Row],[原価]]</f>
        <v>7480</v>
      </c>
    </row>
    <row r="575" spans="1:5">
      <c r="A575" s="9" t="s">
        <v>1322</v>
      </c>
      <c r="B575" s="10" t="s">
        <v>598</v>
      </c>
      <c r="C575" s="11">
        <v>350</v>
      </c>
      <c r="D575" s="12">
        <v>30</v>
      </c>
      <c r="E575" s="13">
        <f>productTable[[#This Row],[個数]]*productTable[[#This Row],[原価]]</f>
        <v>10500</v>
      </c>
    </row>
    <row r="576" spans="1:5">
      <c r="A576" s="9" t="s">
        <v>1323</v>
      </c>
      <c r="B576" s="10" t="s">
        <v>599</v>
      </c>
      <c r="C576" s="11">
        <v>110</v>
      </c>
      <c r="D576" s="12">
        <v>43</v>
      </c>
      <c r="E576" s="13">
        <f>productTable[[#This Row],[個数]]*productTable[[#This Row],[原価]]</f>
        <v>4730</v>
      </c>
    </row>
    <row r="577" spans="1:5">
      <c r="A577" s="9" t="s">
        <v>1324</v>
      </c>
      <c r="B577" s="10" t="s">
        <v>600</v>
      </c>
      <c r="C577" s="11">
        <v>250</v>
      </c>
      <c r="D577" s="12">
        <v>18</v>
      </c>
      <c r="E577" s="13">
        <f>productTable[[#This Row],[個数]]*productTable[[#This Row],[原価]]</f>
        <v>4500</v>
      </c>
    </row>
    <row r="578" spans="1:5">
      <c r="A578" s="9" t="s">
        <v>1325</v>
      </c>
      <c r="B578" s="10" t="s">
        <v>601</v>
      </c>
      <c r="C578" s="11">
        <v>208</v>
      </c>
      <c r="D578" s="12">
        <v>89</v>
      </c>
      <c r="E578" s="13">
        <f>productTable[[#This Row],[個数]]*productTable[[#This Row],[原価]]</f>
        <v>18512</v>
      </c>
    </row>
    <row r="579" spans="1:5">
      <c r="A579" s="9" t="s">
        <v>1326</v>
      </c>
      <c r="B579" s="10" t="s">
        <v>602</v>
      </c>
      <c r="C579" s="11">
        <v>83</v>
      </c>
      <c r="D579" s="12">
        <v>1</v>
      </c>
      <c r="E579" s="13">
        <f>productTable[[#This Row],[個数]]*productTable[[#This Row],[原価]]</f>
        <v>83</v>
      </c>
    </row>
    <row r="580" spans="1:5">
      <c r="A580" s="9" t="s">
        <v>1327</v>
      </c>
      <c r="B580" s="10" t="s">
        <v>603</v>
      </c>
      <c r="C580" s="11">
        <v>80</v>
      </c>
      <c r="D580" s="12">
        <v>78</v>
      </c>
      <c r="E580" s="13">
        <f>productTable[[#This Row],[個数]]*productTable[[#This Row],[原価]]</f>
        <v>6240</v>
      </c>
    </row>
    <row r="581" spans="1:5">
      <c r="A581" s="9" t="s">
        <v>1328</v>
      </c>
      <c r="B581" s="10" t="s">
        <v>604</v>
      </c>
      <c r="C581" s="11">
        <v>200</v>
      </c>
      <c r="D581" s="12">
        <v>88</v>
      </c>
      <c r="E581" s="13">
        <f>productTable[[#This Row],[個数]]*productTable[[#This Row],[原価]]</f>
        <v>17600</v>
      </c>
    </row>
    <row r="582" spans="1:5">
      <c r="A582" s="9" t="s">
        <v>1329</v>
      </c>
      <c r="B582" s="10" t="s">
        <v>605</v>
      </c>
      <c r="C582" s="11">
        <v>500</v>
      </c>
      <c r="D582" s="12">
        <v>41</v>
      </c>
      <c r="E582" s="13">
        <f>productTable[[#This Row],[個数]]*productTable[[#This Row],[原価]]</f>
        <v>20500</v>
      </c>
    </row>
    <row r="583" spans="1:5">
      <c r="A583" s="9" t="s">
        <v>1330</v>
      </c>
      <c r="B583" s="10" t="s">
        <v>606</v>
      </c>
      <c r="C583" s="11">
        <v>225</v>
      </c>
      <c r="D583" s="12">
        <v>44</v>
      </c>
      <c r="E583" s="13">
        <f>productTable[[#This Row],[個数]]*productTable[[#This Row],[原価]]</f>
        <v>9900</v>
      </c>
    </row>
    <row r="584" spans="1:5">
      <c r="A584" s="9" t="s">
        <v>1331</v>
      </c>
      <c r="B584" s="10" t="s">
        <v>607</v>
      </c>
      <c r="C584" s="11">
        <v>390</v>
      </c>
      <c r="D584" s="12">
        <v>23</v>
      </c>
      <c r="E584" s="13">
        <f>productTable[[#This Row],[個数]]*productTable[[#This Row],[原価]]</f>
        <v>8970</v>
      </c>
    </row>
    <row r="585" spans="1:5">
      <c r="A585" s="9" t="s">
        <v>1332</v>
      </c>
      <c r="B585" s="10" t="s">
        <v>608</v>
      </c>
      <c r="C585" s="11">
        <v>274</v>
      </c>
      <c r="D585" s="12">
        <v>0</v>
      </c>
      <c r="E585" s="13">
        <f>productTable[[#This Row],[個数]]*productTable[[#This Row],[原価]]</f>
        <v>0</v>
      </c>
    </row>
    <row r="586" spans="1:5">
      <c r="A586" s="9" t="s">
        <v>1333</v>
      </c>
      <c r="B586" s="10" t="s">
        <v>609</v>
      </c>
      <c r="C586" s="11">
        <v>350</v>
      </c>
      <c r="D586" s="12">
        <v>10</v>
      </c>
      <c r="E586" s="13">
        <f>productTable[[#This Row],[個数]]*productTable[[#This Row],[原価]]</f>
        <v>3500</v>
      </c>
    </row>
    <row r="587" spans="1:5">
      <c r="A587" s="9" t="s">
        <v>1334</v>
      </c>
      <c r="B587" s="10" t="s">
        <v>122</v>
      </c>
      <c r="C587" s="11">
        <v>89</v>
      </c>
      <c r="D587" s="12">
        <v>45</v>
      </c>
      <c r="E587" s="13">
        <f>productTable[[#This Row],[個数]]*productTable[[#This Row],[原価]]</f>
        <v>4005</v>
      </c>
    </row>
    <row r="588" spans="1:5">
      <c r="A588" s="9" t="s">
        <v>1335</v>
      </c>
      <c r="B588" s="10" t="s">
        <v>610</v>
      </c>
      <c r="C588" s="11">
        <v>185</v>
      </c>
      <c r="D588" s="12">
        <v>81</v>
      </c>
      <c r="E588" s="13">
        <f>productTable[[#This Row],[個数]]*productTable[[#This Row],[原価]]</f>
        <v>14985</v>
      </c>
    </row>
    <row r="589" spans="1:5">
      <c r="A589" s="9" t="s">
        <v>1336</v>
      </c>
      <c r="B589" s="10" t="s">
        <v>611</v>
      </c>
      <c r="C589" s="11">
        <v>170</v>
      </c>
      <c r="D589" s="12">
        <v>20</v>
      </c>
      <c r="E589" s="13">
        <f>productTable[[#This Row],[個数]]*productTable[[#This Row],[原価]]</f>
        <v>3400</v>
      </c>
    </row>
    <row r="590" spans="1:5">
      <c r="A590" s="9" t="s">
        <v>1337</v>
      </c>
      <c r="B590" s="10" t="s">
        <v>612</v>
      </c>
      <c r="C590" s="11">
        <v>95</v>
      </c>
      <c r="D590" s="12">
        <v>80</v>
      </c>
      <c r="E590" s="13">
        <f>productTable[[#This Row],[個数]]*productTable[[#This Row],[原価]]</f>
        <v>7600</v>
      </c>
    </row>
    <row r="591" spans="1:5">
      <c r="A591" s="9" t="s">
        <v>1338</v>
      </c>
      <c r="B591" s="10" t="s">
        <v>613</v>
      </c>
      <c r="C591" s="11">
        <v>400</v>
      </c>
      <c r="D591" s="12">
        <v>40</v>
      </c>
      <c r="E591" s="13">
        <f>productTable[[#This Row],[個数]]*productTable[[#This Row],[原価]]</f>
        <v>16000</v>
      </c>
    </row>
    <row r="592" spans="1:5">
      <c r="A592" s="9" t="s">
        <v>1339</v>
      </c>
      <c r="B592" s="10" t="s">
        <v>614</v>
      </c>
      <c r="C592" s="11">
        <v>563</v>
      </c>
      <c r="D592" s="12">
        <v>12</v>
      </c>
      <c r="E592" s="13">
        <f>productTable[[#This Row],[個数]]*productTable[[#This Row],[原価]]</f>
        <v>6756</v>
      </c>
    </row>
    <row r="593" spans="1:5">
      <c r="A593" s="9" t="s">
        <v>1340</v>
      </c>
      <c r="B593" s="10" t="s">
        <v>615</v>
      </c>
      <c r="C593" s="11">
        <v>223</v>
      </c>
      <c r="D593" s="12">
        <v>10</v>
      </c>
      <c r="E593" s="13">
        <f>productTable[[#This Row],[個数]]*productTable[[#This Row],[原価]]</f>
        <v>2230</v>
      </c>
    </row>
    <row r="594" spans="1:5">
      <c r="A594" s="9" t="s">
        <v>1341</v>
      </c>
      <c r="B594" s="10" t="s">
        <v>616</v>
      </c>
      <c r="C594" s="11">
        <v>195</v>
      </c>
      <c r="D594" s="12">
        <v>74</v>
      </c>
      <c r="E594" s="13">
        <f>productTable[[#This Row],[個数]]*productTable[[#This Row],[原価]]</f>
        <v>14430</v>
      </c>
    </row>
    <row r="595" spans="1:5">
      <c r="A595" s="9" t="s">
        <v>1342</v>
      </c>
      <c r="B595" s="10" t="s">
        <v>617</v>
      </c>
      <c r="C595" s="11">
        <v>173</v>
      </c>
      <c r="D595" s="12">
        <v>11</v>
      </c>
      <c r="E595" s="13">
        <f>productTable[[#This Row],[個数]]*productTable[[#This Row],[原価]]</f>
        <v>1903</v>
      </c>
    </row>
    <row r="596" spans="1:5">
      <c r="A596" s="9" t="s">
        <v>1343</v>
      </c>
      <c r="B596" s="10" t="s">
        <v>618</v>
      </c>
      <c r="C596" s="11">
        <v>67</v>
      </c>
      <c r="D596" s="12">
        <v>68</v>
      </c>
      <c r="E596" s="13">
        <f>productTable[[#This Row],[個数]]*productTable[[#This Row],[原価]]</f>
        <v>4556</v>
      </c>
    </row>
    <row r="597" spans="1:5">
      <c r="A597" s="9" t="s">
        <v>1344</v>
      </c>
      <c r="B597" s="10" t="s">
        <v>619</v>
      </c>
      <c r="C597" s="11">
        <v>300</v>
      </c>
      <c r="D597" s="12">
        <v>14</v>
      </c>
      <c r="E597" s="13">
        <f>productTable[[#This Row],[個数]]*productTable[[#This Row],[原価]]</f>
        <v>4200</v>
      </c>
    </row>
    <row r="598" spans="1:5">
      <c r="A598" s="9" t="s">
        <v>1345</v>
      </c>
      <c r="B598" s="10" t="s">
        <v>620</v>
      </c>
      <c r="C598" s="11">
        <v>570</v>
      </c>
      <c r="D598" s="12">
        <v>19</v>
      </c>
      <c r="E598" s="13">
        <f>productTable[[#This Row],[個数]]*productTable[[#This Row],[原価]]</f>
        <v>10830</v>
      </c>
    </row>
    <row r="599" spans="1:5">
      <c r="A599" s="9" t="s">
        <v>1346</v>
      </c>
      <c r="B599" s="10" t="s">
        <v>621</v>
      </c>
      <c r="C599" s="11">
        <v>391.67</v>
      </c>
      <c r="D599" s="12">
        <v>33</v>
      </c>
      <c r="E599" s="13">
        <f>productTable[[#This Row],[個数]]*productTable[[#This Row],[原価]]</f>
        <v>12925.11</v>
      </c>
    </row>
    <row r="600" spans="1:5">
      <c r="A600" s="9" t="s">
        <v>1347</v>
      </c>
      <c r="B600" s="10" t="s">
        <v>622</v>
      </c>
      <c r="C600" s="11">
        <v>65</v>
      </c>
      <c r="D600" s="12">
        <v>228</v>
      </c>
      <c r="E600" s="13">
        <f>productTable[[#This Row],[個数]]*productTable[[#This Row],[原価]]</f>
        <v>14820</v>
      </c>
    </row>
    <row r="601" spans="1:5">
      <c r="A601" s="9" t="s">
        <v>1348</v>
      </c>
      <c r="B601" s="10" t="s">
        <v>623</v>
      </c>
      <c r="C601" s="11">
        <v>430</v>
      </c>
      <c r="D601" s="12">
        <v>56</v>
      </c>
      <c r="E601" s="13">
        <f>productTable[[#This Row],[個数]]*productTable[[#This Row],[原価]]</f>
        <v>24080</v>
      </c>
    </row>
    <row r="602" spans="1:5">
      <c r="A602" s="9" t="s">
        <v>1349</v>
      </c>
      <c r="B602" s="10" t="s">
        <v>624</v>
      </c>
      <c r="C602" s="11">
        <v>363</v>
      </c>
      <c r="D602" s="12">
        <v>12</v>
      </c>
      <c r="E602" s="13">
        <f>productTable[[#This Row],[個数]]*productTable[[#This Row],[原価]]</f>
        <v>4356</v>
      </c>
    </row>
    <row r="603" spans="1:5">
      <c r="A603" s="9" t="s">
        <v>1350</v>
      </c>
      <c r="B603" s="10" t="s">
        <v>625</v>
      </c>
      <c r="C603" s="11">
        <v>65</v>
      </c>
      <c r="D603" s="12">
        <v>12</v>
      </c>
      <c r="E603" s="13">
        <f>productTable[[#This Row],[個数]]*productTable[[#This Row],[原価]]</f>
        <v>780</v>
      </c>
    </row>
    <row r="604" spans="1:5">
      <c r="A604" s="9" t="s">
        <v>1351</v>
      </c>
      <c r="B604" s="10" t="s">
        <v>626</v>
      </c>
      <c r="C604" s="11">
        <v>391.67</v>
      </c>
      <c r="D604" s="12">
        <v>72</v>
      </c>
      <c r="E604" s="13">
        <f>productTable[[#This Row],[個数]]*productTable[[#This Row],[原価]]</f>
        <v>28200.240000000002</v>
      </c>
    </row>
    <row r="605" spans="1:5">
      <c r="A605" s="9" t="s">
        <v>1352</v>
      </c>
      <c r="B605" s="10" t="s">
        <v>627</v>
      </c>
      <c r="C605" s="11">
        <v>391.67</v>
      </c>
      <c r="D605" s="12">
        <v>60</v>
      </c>
      <c r="E605" s="13">
        <f>productTable[[#This Row],[個数]]*productTable[[#This Row],[原価]]</f>
        <v>23500.2</v>
      </c>
    </row>
    <row r="606" spans="1:5">
      <c r="A606" s="9" t="s">
        <v>1353</v>
      </c>
      <c r="B606" s="10" t="s">
        <v>628</v>
      </c>
      <c r="C606" s="11">
        <v>53.4</v>
      </c>
      <c r="D606" s="12">
        <v>54</v>
      </c>
      <c r="E606" s="13">
        <f>productTable[[#This Row],[個数]]*productTable[[#This Row],[原価]]</f>
        <v>2883.6</v>
      </c>
    </row>
    <row r="607" spans="1:5">
      <c r="A607" s="9" t="s">
        <v>1354</v>
      </c>
      <c r="B607" s="10" t="s">
        <v>629</v>
      </c>
      <c r="C607" s="11">
        <v>65</v>
      </c>
      <c r="D607" s="12">
        <v>171</v>
      </c>
      <c r="E607" s="13">
        <f>productTable[[#This Row],[個数]]*productTable[[#This Row],[原価]]</f>
        <v>11115</v>
      </c>
    </row>
    <row r="608" spans="1:5">
      <c r="A608" s="9" t="s">
        <v>1355</v>
      </c>
      <c r="B608" s="10" t="s">
        <v>123</v>
      </c>
      <c r="C608" s="11">
        <v>76</v>
      </c>
      <c r="D608" s="12">
        <v>18</v>
      </c>
      <c r="E608" s="13">
        <f>productTable[[#This Row],[個数]]*productTable[[#This Row],[原価]]</f>
        <v>1368</v>
      </c>
    </row>
    <row r="609" spans="1:5">
      <c r="A609" s="9" t="s">
        <v>1356</v>
      </c>
      <c r="B609" s="10" t="s">
        <v>630</v>
      </c>
      <c r="C609" s="11">
        <v>70</v>
      </c>
      <c r="D609" s="12">
        <v>97</v>
      </c>
      <c r="E609" s="13">
        <f>productTable[[#This Row],[個数]]*productTable[[#This Row],[原価]]</f>
        <v>6790</v>
      </c>
    </row>
    <row r="610" spans="1:5">
      <c r="A610" s="9" t="s">
        <v>1357</v>
      </c>
      <c r="B610" s="10" t="s">
        <v>124</v>
      </c>
      <c r="C610" s="11">
        <v>975</v>
      </c>
      <c r="D610" s="12">
        <v>7</v>
      </c>
      <c r="E610" s="13">
        <f>productTable[[#This Row],[個数]]*productTable[[#This Row],[原価]]</f>
        <v>6825</v>
      </c>
    </row>
    <row r="611" spans="1:5">
      <c r="A611" s="9" t="s">
        <v>1358</v>
      </c>
      <c r="B611" s="10" t="s">
        <v>631</v>
      </c>
      <c r="C611" s="11">
        <v>1055</v>
      </c>
      <c r="D611" s="12">
        <v>21</v>
      </c>
      <c r="E611" s="13">
        <f>productTable[[#This Row],[個数]]*productTable[[#This Row],[原価]]</f>
        <v>22155</v>
      </c>
    </row>
    <row r="612" spans="1:5">
      <c r="A612" s="9" t="s">
        <v>1359</v>
      </c>
      <c r="B612" s="10" t="s">
        <v>632</v>
      </c>
      <c r="C612" s="11">
        <v>800</v>
      </c>
      <c r="D612" s="12">
        <v>19</v>
      </c>
      <c r="E612" s="13">
        <f>productTable[[#This Row],[個数]]*productTable[[#This Row],[原価]]</f>
        <v>15200</v>
      </c>
    </row>
    <row r="613" spans="1:5">
      <c r="A613" s="9" t="s">
        <v>1360</v>
      </c>
      <c r="B613" s="10" t="s">
        <v>633</v>
      </c>
      <c r="C613" s="11">
        <v>350</v>
      </c>
      <c r="D613" s="12">
        <v>15</v>
      </c>
      <c r="E613" s="13">
        <f>productTable[[#This Row],[個数]]*productTable[[#This Row],[原価]]</f>
        <v>5250</v>
      </c>
    </row>
    <row r="614" spans="1:5">
      <c r="A614" s="9" t="s">
        <v>1361</v>
      </c>
      <c r="B614" s="10" t="s">
        <v>634</v>
      </c>
      <c r="C614" s="11">
        <v>420</v>
      </c>
      <c r="D614" s="12">
        <v>26</v>
      </c>
      <c r="E614" s="13">
        <f>productTable[[#This Row],[個数]]*productTable[[#This Row],[原価]]</f>
        <v>10920</v>
      </c>
    </row>
    <row r="615" spans="1:5">
      <c r="A615" s="9" t="s">
        <v>1362</v>
      </c>
      <c r="B615" s="10" t="s">
        <v>635</v>
      </c>
      <c r="C615" s="11">
        <v>721</v>
      </c>
      <c r="D615" s="12">
        <v>69</v>
      </c>
      <c r="E615" s="13">
        <f>productTable[[#This Row],[個数]]*productTable[[#This Row],[原価]]</f>
        <v>49749</v>
      </c>
    </row>
    <row r="616" spans="1:5">
      <c r="A616" s="9" t="s">
        <v>1363</v>
      </c>
      <c r="B616" s="10" t="s">
        <v>636</v>
      </c>
      <c r="C616" s="11">
        <v>830</v>
      </c>
      <c r="D616" s="12">
        <v>51</v>
      </c>
      <c r="E616" s="13">
        <f>productTable[[#This Row],[個数]]*productTable[[#This Row],[原価]]</f>
        <v>42330</v>
      </c>
    </row>
    <row r="617" spans="1:5">
      <c r="A617" s="9" t="s">
        <v>1364</v>
      </c>
      <c r="B617" s="10" t="s">
        <v>637</v>
      </c>
      <c r="C617" s="11">
        <v>1523</v>
      </c>
      <c r="D617" s="12">
        <v>9</v>
      </c>
      <c r="E617" s="13">
        <f>productTable[[#This Row],[個数]]*productTable[[#This Row],[原価]]</f>
        <v>13707</v>
      </c>
    </row>
    <row r="618" spans="1:5">
      <c r="A618" s="9" t="s">
        <v>1365</v>
      </c>
      <c r="B618" s="10" t="s">
        <v>638</v>
      </c>
      <c r="C618" s="11">
        <v>730</v>
      </c>
      <c r="D618" s="12">
        <v>32</v>
      </c>
      <c r="E618" s="13">
        <f>productTable[[#This Row],[個数]]*productTable[[#This Row],[原価]]</f>
        <v>23360</v>
      </c>
    </row>
    <row r="619" spans="1:5">
      <c r="A619" s="9" t="s">
        <v>1366</v>
      </c>
      <c r="B619" s="10" t="s">
        <v>639</v>
      </c>
      <c r="C619" s="11">
        <v>300</v>
      </c>
      <c r="D619" s="12">
        <v>64</v>
      </c>
      <c r="E619" s="13">
        <f>productTable[[#This Row],[個数]]*productTable[[#This Row],[原価]]</f>
        <v>19200</v>
      </c>
    </row>
    <row r="620" spans="1:5">
      <c r="A620" s="9" t="s">
        <v>1367</v>
      </c>
      <c r="B620" s="10" t="s">
        <v>125</v>
      </c>
      <c r="C620" s="11">
        <v>533</v>
      </c>
      <c r="D620" s="12">
        <v>36</v>
      </c>
      <c r="E620" s="13">
        <f>productTable[[#This Row],[個数]]*productTable[[#This Row],[原価]]</f>
        <v>19188</v>
      </c>
    </row>
    <row r="621" spans="1:5">
      <c r="A621" s="9" t="s">
        <v>1368</v>
      </c>
      <c r="B621" s="10" t="s">
        <v>640</v>
      </c>
      <c r="C621" s="11">
        <v>650</v>
      </c>
      <c r="D621" s="12">
        <v>1</v>
      </c>
      <c r="E621" s="13">
        <f>productTable[[#This Row],[個数]]*productTable[[#This Row],[原価]]</f>
        <v>650</v>
      </c>
    </row>
    <row r="622" spans="1:5">
      <c r="A622" s="9" t="s">
        <v>1369</v>
      </c>
      <c r="B622" s="10" t="s">
        <v>641</v>
      </c>
      <c r="C622" s="11">
        <v>275</v>
      </c>
      <c r="D622" s="12">
        <v>59</v>
      </c>
      <c r="E622" s="13">
        <f>productTable[[#This Row],[個数]]*productTable[[#This Row],[原価]]</f>
        <v>16225</v>
      </c>
    </row>
    <row r="623" spans="1:5">
      <c r="A623" s="9" t="s">
        <v>1370</v>
      </c>
      <c r="B623" s="10" t="s">
        <v>642</v>
      </c>
      <c r="C623" s="11">
        <v>300</v>
      </c>
      <c r="D623" s="12">
        <v>23</v>
      </c>
      <c r="E623" s="13">
        <f>productTable[[#This Row],[個数]]*productTable[[#This Row],[原価]]</f>
        <v>6900</v>
      </c>
    </row>
    <row r="624" spans="1:5">
      <c r="A624" s="9" t="s">
        <v>1371</v>
      </c>
      <c r="B624" s="10" t="s">
        <v>126</v>
      </c>
      <c r="C624" s="11">
        <v>198</v>
      </c>
      <c r="D624" s="12">
        <v>1</v>
      </c>
      <c r="E624" s="13">
        <f>productTable[[#This Row],[個数]]*productTable[[#This Row],[原価]]</f>
        <v>198</v>
      </c>
    </row>
    <row r="625" spans="1:5">
      <c r="A625" s="9" t="s">
        <v>1372</v>
      </c>
      <c r="B625" s="10" t="s">
        <v>643</v>
      </c>
      <c r="C625" s="11">
        <v>256</v>
      </c>
      <c r="D625" s="12">
        <v>21</v>
      </c>
      <c r="E625" s="13">
        <f>productTable[[#This Row],[個数]]*productTable[[#This Row],[原価]]</f>
        <v>5376</v>
      </c>
    </row>
    <row r="626" spans="1:5">
      <c r="A626" s="9" t="s">
        <v>1373</v>
      </c>
      <c r="B626" s="10" t="s">
        <v>644</v>
      </c>
      <c r="C626" s="11">
        <v>290</v>
      </c>
      <c r="D626" s="12">
        <v>4</v>
      </c>
      <c r="E626" s="13">
        <f>productTable[[#This Row],[個数]]*productTable[[#This Row],[原価]]</f>
        <v>1160</v>
      </c>
    </row>
    <row r="627" spans="1:5">
      <c r="A627" s="9" t="s">
        <v>1374</v>
      </c>
      <c r="B627" s="10" t="s">
        <v>127</v>
      </c>
      <c r="C627" s="11">
        <v>34</v>
      </c>
      <c r="D627" s="12">
        <v>36</v>
      </c>
      <c r="E627" s="13">
        <f>productTable[[#This Row],[個数]]*productTable[[#This Row],[原価]]</f>
        <v>1224</v>
      </c>
    </row>
    <row r="628" spans="1:5">
      <c r="A628" s="9" t="s">
        <v>1375</v>
      </c>
      <c r="B628" s="10" t="s">
        <v>645</v>
      </c>
      <c r="C628" s="11">
        <v>291</v>
      </c>
      <c r="D628" s="12">
        <v>12</v>
      </c>
      <c r="E628" s="13">
        <f>productTable[[#This Row],[個数]]*productTable[[#This Row],[原価]]</f>
        <v>3492</v>
      </c>
    </row>
    <row r="629" spans="1:5">
      <c r="A629" s="9" t="s">
        <v>1376</v>
      </c>
      <c r="B629" s="10" t="s">
        <v>646</v>
      </c>
      <c r="C629" s="11">
        <v>120</v>
      </c>
      <c r="D629" s="12">
        <v>90</v>
      </c>
      <c r="E629" s="13">
        <f>productTable[[#This Row],[個数]]*productTable[[#This Row],[原価]]</f>
        <v>10800</v>
      </c>
    </row>
    <row r="630" spans="1:5">
      <c r="A630" s="9" t="s">
        <v>1377</v>
      </c>
      <c r="B630" s="10" t="s">
        <v>128</v>
      </c>
      <c r="C630" s="11">
        <v>85</v>
      </c>
      <c r="D630" s="12">
        <v>60</v>
      </c>
      <c r="E630" s="13">
        <f>productTable[[#This Row],[個数]]*productTable[[#This Row],[原価]]</f>
        <v>5100</v>
      </c>
    </row>
    <row r="631" spans="1:5">
      <c r="A631" s="9" t="s">
        <v>1378</v>
      </c>
      <c r="B631" s="10" t="s">
        <v>647</v>
      </c>
      <c r="C631" s="11">
        <v>460</v>
      </c>
      <c r="D631" s="12">
        <v>2</v>
      </c>
      <c r="E631" s="13">
        <f>productTable[[#This Row],[個数]]*productTable[[#This Row],[原価]]</f>
        <v>920</v>
      </c>
    </row>
    <row r="632" spans="1:5">
      <c r="A632" s="9" t="s">
        <v>1379</v>
      </c>
      <c r="B632" s="10" t="s">
        <v>129</v>
      </c>
      <c r="C632" s="11">
        <v>280</v>
      </c>
      <c r="D632" s="12">
        <v>7</v>
      </c>
      <c r="E632" s="13">
        <f>productTable[[#This Row],[個数]]*productTable[[#This Row],[原価]]</f>
        <v>1960</v>
      </c>
    </row>
    <row r="633" spans="1:5">
      <c r="A633" s="9" t="s">
        <v>1380</v>
      </c>
      <c r="B633" s="10" t="s">
        <v>130</v>
      </c>
      <c r="C633" s="11">
        <v>270</v>
      </c>
      <c r="D633" s="12">
        <v>5</v>
      </c>
      <c r="E633" s="13">
        <f>productTable[[#This Row],[個数]]*productTable[[#This Row],[原価]]</f>
        <v>1350</v>
      </c>
    </row>
    <row r="634" spans="1:5">
      <c r="A634" s="9" t="s">
        <v>1381</v>
      </c>
      <c r="B634" s="10" t="s">
        <v>648</v>
      </c>
      <c r="C634" s="11">
        <v>295</v>
      </c>
      <c r="D634" s="12">
        <v>9</v>
      </c>
      <c r="E634" s="13">
        <f>productTable[[#This Row],[個数]]*productTable[[#This Row],[原価]]</f>
        <v>2655</v>
      </c>
    </row>
    <row r="635" spans="1:5">
      <c r="A635" s="9" t="s">
        <v>1382</v>
      </c>
      <c r="B635" s="10" t="s">
        <v>649</v>
      </c>
      <c r="C635" s="11">
        <v>203</v>
      </c>
      <c r="D635" s="12">
        <v>4</v>
      </c>
      <c r="E635" s="13">
        <f>productTable[[#This Row],[個数]]*productTable[[#This Row],[原価]]</f>
        <v>812</v>
      </c>
    </row>
    <row r="636" spans="1:5">
      <c r="A636" s="9" t="s">
        <v>1383</v>
      </c>
      <c r="B636" s="10" t="s">
        <v>650</v>
      </c>
      <c r="C636" s="11">
        <v>200</v>
      </c>
      <c r="D636" s="12">
        <v>84</v>
      </c>
      <c r="E636" s="13">
        <f>productTable[[#This Row],[個数]]*productTable[[#This Row],[原価]]</f>
        <v>16800</v>
      </c>
    </row>
    <row r="637" spans="1:5">
      <c r="A637" s="9" t="s">
        <v>1384</v>
      </c>
      <c r="B637" s="10" t="s">
        <v>651</v>
      </c>
      <c r="C637" s="11">
        <v>408</v>
      </c>
      <c r="D637" s="12">
        <v>0</v>
      </c>
      <c r="E637" s="13">
        <f>productTable[[#This Row],[個数]]*productTable[[#This Row],[原価]]</f>
        <v>0</v>
      </c>
    </row>
    <row r="638" spans="1:5">
      <c r="A638" s="9" t="s">
        <v>1385</v>
      </c>
      <c r="B638" s="10" t="s">
        <v>652</v>
      </c>
      <c r="C638" s="11">
        <v>214</v>
      </c>
      <c r="D638" s="12">
        <v>72</v>
      </c>
      <c r="E638" s="13">
        <f>productTable[[#This Row],[個数]]*productTable[[#This Row],[原価]]</f>
        <v>15408</v>
      </c>
    </row>
    <row r="639" spans="1:5">
      <c r="A639" s="9" t="s">
        <v>1386</v>
      </c>
      <c r="B639" s="10" t="s">
        <v>653</v>
      </c>
      <c r="C639" s="11">
        <v>132.97</v>
      </c>
      <c r="D639" s="12">
        <v>468</v>
      </c>
      <c r="E639" s="13">
        <f>productTable[[#This Row],[個数]]*productTable[[#This Row],[原価]]</f>
        <v>62229.96</v>
      </c>
    </row>
    <row r="640" spans="1:5">
      <c r="A640" s="9" t="s">
        <v>1387</v>
      </c>
      <c r="B640" s="10" t="s">
        <v>654</v>
      </c>
      <c r="C640" s="11">
        <v>92</v>
      </c>
      <c r="D640" s="12">
        <v>10</v>
      </c>
      <c r="E640" s="13">
        <f>productTable[[#This Row],[個数]]*productTable[[#This Row],[原価]]</f>
        <v>920</v>
      </c>
    </row>
    <row r="641" spans="1:5">
      <c r="A641" s="9" t="s">
        <v>1388</v>
      </c>
      <c r="B641" s="10" t="s">
        <v>131</v>
      </c>
      <c r="C641" s="11">
        <v>60</v>
      </c>
      <c r="D641" s="12">
        <v>10</v>
      </c>
      <c r="E641" s="13">
        <f>productTable[[#This Row],[個数]]*productTable[[#This Row],[原価]]</f>
        <v>600</v>
      </c>
    </row>
    <row r="642" spans="1:5">
      <c r="A642" s="9" t="s">
        <v>1389</v>
      </c>
      <c r="B642" s="10" t="s">
        <v>655</v>
      </c>
      <c r="C642" s="11">
        <v>123</v>
      </c>
      <c r="D642" s="12">
        <v>35</v>
      </c>
      <c r="E642" s="13">
        <f>productTable[[#This Row],[個数]]*productTable[[#This Row],[原価]]</f>
        <v>4305</v>
      </c>
    </row>
    <row r="643" spans="1:5">
      <c r="A643" s="9" t="s">
        <v>1390</v>
      </c>
      <c r="B643" s="10" t="s">
        <v>656</v>
      </c>
      <c r="C643" s="11">
        <v>260</v>
      </c>
      <c r="D643" s="12">
        <v>19</v>
      </c>
      <c r="E643" s="13">
        <f>productTable[[#This Row],[個数]]*productTable[[#This Row],[原価]]</f>
        <v>4940</v>
      </c>
    </row>
    <row r="644" spans="1:5">
      <c r="A644" s="9" t="s">
        <v>1391</v>
      </c>
      <c r="B644" s="10" t="s">
        <v>657</v>
      </c>
      <c r="C644" s="11">
        <v>260</v>
      </c>
      <c r="D644" s="12">
        <v>4</v>
      </c>
      <c r="E644" s="13">
        <f>productTable[[#This Row],[個数]]*productTable[[#This Row],[原価]]</f>
        <v>1040</v>
      </c>
    </row>
    <row r="645" spans="1:5">
      <c r="A645" s="9" t="s">
        <v>1392</v>
      </c>
      <c r="B645" s="10" t="s">
        <v>658</v>
      </c>
      <c r="C645" s="11">
        <v>90</v>
      </c>
      <c r="D645" s="12">
        <v>92</v>
      </c>
      <c r="E645" s="13">
        <f>productTable[[#This Row],[個数]]*productTable[[#This Row],[原価]]</f>
        <v>8280</v>
      </c>
    </row>
    <row r="646" spans="1:5">
      <c r="A646" s="9" t="s">
        <v>1393</v>
      </c>
      <c r="B646" s="10" t="s">
        <v>132</v>
      </c>
      <c r="C646" s="11">
        <v>190</v>
      </c>
      <c r="D646" s="12">
        <v>8</v>
      </c>
      <c r="E646" s="13">
        <f>productTable[[#This Row],[個数]]*productTable[[#This Row],[原価]]</f>
        <v>1520</v>
      </c>
    </row>
    <row r="647" spans="1:5">
      <c r="A647" s="9" t="s">
        <v>1394</v>
      </c>
      <c r="B647" s="10" t="s">
        <v>659</v>
      </c>
      <c r="C647" s="11">
        <v>170</v>
      </c>
      <c r="D647" s="12">
        <v>59</v>
      </c>
      <c r="E647" s="13">
        <f>productTable[[#This Row],[個数]]*productTable[[#This Row],[原価]]</f>
        <v>10030</v>
      </c>
    </row>
    <row r="648" spans="1:5">
      <c r="A648" s="9" t="s">
        <v>1395</v>
      </c>
      <c r="B648" s="10" t="s">
        <v>660</v>
      </c>
      <c r="C648" s="11">
        <v>750</v>
      </c>
      <c r="D648" s="12">
        <v>8</v>
      </c>
      <c r="E648" s="13">
        <f>productTable[[#This Row],[個数]]*productTable[[#This Row],[原価]]</f>
        <v>6000</v>
      </c>
    </row>
    <row r="649" spans="1:5">
      <c r="A649" s="9" t="s">
        <v>1396</v>
      </c>
      <c r="B649" s="10" t="s">
        <v>661</v>
      </c>
      <c r="C649" s="11">
        <v>276</v>
      </c>
      <c r="D649" s="12">
        <v>32</v>
      </c>
      <c r="E649" s="13">
        <f>productTable[[#This Row],[個数]]*productTable[[#This Row],[原価]]</f>
        <v>8832</v>
      </c>
    </row>
    <row r="650" spans="1:5">
      <c r="A650" s="9" t="s">
        <v>1397</v>
      </c>
      <c r="B650" s="10" t="s">
        <v>662</v>
      </c>
      <c r="C650" s="11">
        <v>260</v>
      </c>
      <c r="D650" s="12">
        <v>73</v>
      </c>
      <c r="E650" s="13">
        <f>productTable[[#This Row],[個数]]*productTable[[#This Row],[原価]]</f>
        <v>18980</v>
      </c>
    </row>
    <row r="651" spans="1:5">
      <c r="A651" s="9" t="s">
        <v>1398</v>
      </c>
      <c r="B651" s="10" t="s">
        <v>663</v>
      </c>
      <c r="C651" s="11">
        <v>88</v>
      </c>
      <c r="D651" s="12">
        <v>17</v>
      </c>
      <c r="E651" s="13">
        <f>productTable[[#This Row],[個数]]*productTable[[#This Row],[原価]]</f>
        <v>1496</v>
      </c>
    </row>
    <row r="652" spans="1:5">
      <c r="A652" s="9" t="s">
        <v>1399</v>
      </c>
      <c r="B652" s="10" t="s">
        <v>664</v>
      </c>
      <c r="C652" s="11">
        <v>700</v>
      </c>
      <c r="D652" s="12">
        <v>59</v>
      </c>
      <c r="E652" s="13">
        <f>productTable[[#This Row],[個数]]*productTable[[#This Row],[原価]]</f>
        <v>41300</v>
      </c>
    </row>
    <row r="653" spans="1:5">
      <c r="A653" s="9" t="s">
        <v>1400</v>
      </c>
      <c r="B653" s="10" t="s">
        <v>665</v>
      </c>
      <c r="C653" s="11">
        <v>1300</v>
      </c>
      <c r="D653" s="12">
        <v>32</v>
      </c>
      <c r="E653" s="13">
        <f>productTable[[#This Row],[個数]]*productTable[[#This Row],[原価]]</f>
        <v>41600</v>
      </c>
    </row>
    <row r="654" spans="1:5">
      <c r="A654" s="9" t="s">
        <v>1401</v>
      </c>
      <c r="B654" s="10" t="s">
        <v>666</v>
      </c>
      <c r="C654" s="11">
        <v>450</v>
      </c>
      <c r="D654" s="12">
        <v>83</v>
      </c>
      <c r="E654" s="13">
        <f>productTable[[#This Row],[個数]]*productTable[[#This Row],[原価]]</f>
        <v>37350</v>
      </c>
    </row>
    <row r="655" spans="1:5">
      <c r="A655" s="9" t="s">
        <v>1402</v>
      </c>
      <c r="B655" s="10" t="s">
        <v>667</v>
      </c>
      <c r="C655" s="11">
        <v>100</v>
      </c>
      <c r="D655" s="12">
        <v>38</v>
      </c>
      <c r="E655" s="13">
        <f>productTable[[#This Row],[個数]]*productTable[[#This Row],[原価]]</f>
        <v>3800</v>
      </c>
    </row>
    <row r="656" spans="1:5">
      <c r="A656" s="9" t="s">
        <v>1403</v>
      </c>
      <c r="B656" s="10" t="s">
        <v>668</v>
      </c>
      <c r="C656" s="11">
        <v>300</v>
      </c>
      <c r="D656" s="12">
        <v>59</v>
      </c>
      <c r="E656" s="13">
        <f>productTable[[#This Row],[個数]]*productTable[[#This Row],[原価]]</f>
        <v>17700</v>
      </c>
    </row>
    <row r="657" spans="1:5">
      <c r="A657" s="9" t="s">
        <v>1404</v>
      </c>
      <c r="B657" s="10" t="s">
        <v>133</v>
      </c>
      <c r="C657" s="11">
        <v>75</v>
      </c>
      <c r="D657" s="12">
        <v>23</v>
      </c>
      <c r="E657" s="13">
        <f>productTable[[#This Row],[個数]]*productTable[[#This Row],[原価]]</f>
        <v>1725</v>
      </c>
    </row>
    <row r="658" spans="1:5">
      <c r="A658" s="9" t="s">
        <v>1405</v>
      </c>
      <c r="B658" s="10" t="s">
        <v>669</v>
      </c>
      <c r="C658" s="11">
        <v>419</v>
      </c>
      <c r="D658" s="12">
        <v>88</v>
      </c>
      <c r="E658" s="13">
        <f>productTable[[#This Row],[個数]]*productTable[[#This Row],[原価]]</f>
        <v>36872</v>
      </c>
    </row>
    <row r="659" spans="1:5">
      <c r="A659" s="9" t="s">
        <v>1406</v>
      </c>
      <c r="B659" s="10" t="s">
        <v>670</v>
      </c>
      <c r="C659" s="11">
        <v>460</v>
      </c>
      <c r="D659" s="12">
        <v>40</v>
      </c>
      <c r="E659" s="13">
        <f>productTable[[#This Row],[個数]]*productTable[[#This Row],[原価]]</f>
        <v>18400</v>
      </c>
    </row>
    <row r="660" spans="1:5">
      <c r="A660" s="9" t="s">
        <v>1407</v>
      </c>
      <c r="B660" s="10" t="s">
        <v>671</v>
      </c>
      <c r="C660" s="11">
        <v>634</v>
      </c>
      <c r="D660" s="12">
        <v>1</v>
      </c>
      <c r="E660" s="13">
        <f>productTable[[#This Row],[個数]]*productTable[[#This Row],[原価]]</f>
        <v>634</v>
      </c>
    </row>
    <row r="661" spans="1:5">
      <c r="A661" s="9" t="s">
        <v>1408</v>
      </c>
      <c r="B661" s="10" t="s">
        <v>134</v>
      </c>
      <c r="C661" s="11">
        <v>150</v>
      </c>
      <c r="D661" s="12">
        <v>42</v>
      </c>
      <c r="E661" s="13">
        <f>productTable[[#This Row],[個数]]*productTable[[#This Row],[原価]]</f>
        <v>6300</v>
      </c>
    </row>
    <row r="662" spans="1:5">
      <c r="A662" s="9" t="s">
        <v>1409</v>
      </c>
      <c r="B662" s="10" t="s">
        <v>672</v>
      </c>
      <c r="C662" s="11">
        <v>270</v>
      </c>
      <c r="D662" s="12">
        <v>10</v>
      </c>
      <c r="E662" s="13">
        <f>productTable[[#This Row],[個数]]*productTable[[#This Row],[原価]]</f>
        <v>2700</v>
      </c>
    </row>
    <row r="663" spans="1:5">
      <c r="A663" s="9" t="s">
        <v>1410</v>
      </c>
      <c r="B663" s="10" t="s">
        <v>673</v>
      </c>
      <c r="C663" s="11">
        <v>360</v>
      </c>
      <c r="D663" s="12">
        <v>88</v>
      </c>
      <c r="E663" s="13">
        <f>productTable[[#This Row],[個数]]*productTable[[#This Row],[原価]]</f>
        <v>31680</v>
      </c>
    </row>
    <row r="664" spans="1:5">
      <c r="A664" s="9" t="s">
        <v>1411</v>
      </c>
      <c r="B664" s="10" t="s">
        <v>674</v>
      </c>
      <c r="C664" s="11">
        <v>216</v>
      </c>
      <c r="D664" s="12">
        <v>84</v>
      </c>
      <c r="E664" s="13">
        <f>productTable[[#This Row],[個数]]*productTable[[#This Row],[原価]]</f>
        <v>18144</v>
      </c>
    </row>
    <row r="665" spans="1:5">
      <c r="A665" s="9" t="s">
        <v>1412</v>
      </c>
      <c r="B665" s="10" t="s">
        <v>675</v>
      </c>
      <c r="C665" s="11">
        <v>50</v>
      </c>
      <c r="D665" s="12">
        <v>13</v>
      </c>
      <c r="E665" s="13">
        <f>productTable[[#This Row],[個数]]*productTable[[#This Row],[原価]]</f>
        <v>650</v>
      </c>
    </row>
    <row r="666" spans="1:5">
      <c r="A666" s="9" t="s">
        <v>1413</v>
      </c>
      <c r="B666" s="10" t="s">
        <v>676</v>
      </c>
      <c r="C666" s="11">
        <v>91</v>
      </c>
      <c r="D666" s="12">
        <v>35</v>
      </c>
      <c r="E666" s="13">
        <f>productTable[[#This Row],[個数]]*productTable[[#This Row],[原価]]</f>
        <v>3185</v>
      </c>
    </row>
    <row r="667" spans="1:5">
      <c r="A667" s="9" t="s">
        <v>1414</v>
      </c>
      <c r="B667" s="10" t="s">
        <v>677</v>
      </c>
      <c r="C667" s="11">
        <v>114</v>
      </c>
      <c r="D667" s="12">
        <v>37</v>
      </c>
      <c r="E667" s="13">
        <f>productTable[[#This Row],[個数]]*productTable[[#This Row],[原価]]</f>
        <v>4218</v>
      </c>
    </row>
    <row r="668" spans="1:5">
      <c r="A668" s="9" t="s">
        <v>1415</v>
      </c>
      <c r="B668" s="10" t="s">
        <v>678</v>
      </c>
      <c r="C668" s="11">
        <v>250</v>
      </c>
      <c r="D668" s="12">
        <v>20</v>
      </c>
      <c r="E668" s="13">
        <f>productTable[[#This Row],[個数]]*productTable[[#This Row],[原価]]</f>
        <v>5000</v>
      </c>
    </row>
    <row r="669" spans="1:5">
      <c r="A669" s="9" t="s">
        <v>1416</v>
      </c>
      <c r="B669" s="10" t="s">
        <v>679</v>
      </c>
      <c r="C669" s="11">
        <v>420</v>
      </c>
      <c r="D669" s="12">
        <v>1</v>
      </c>
      <c r="E669" s="13">
        <f>productTable[[#This Row],[個数]]*productTable[[#This Row],[原価]]</f>
        <v>420</v>
      </c>
    </row>
    <row r="670" spans="1:5">
      <c r="A670" s="9" t="s">
        <v>1417</v>
      </c>
      <c r="B670" s="10" t="s">
        <v>680</v>
      </c>
      <c r="C670" s="11">
        <v>136.36000000000001</v>
      </c>
      <c r="D670" s="12">
        <v>39</v>
      </c>
      <c r="E670" s="13">
        <f>productTable[[#This Row],[個数]]*productTable[[#This Row],[原価]]</f>
        <v>5318.0400000000009</v>
      </c>
    </row>
    <row r="671" spans="1:5">
      <c r="A671" s="9" t="s">
        <v>1418</v>
      </c>
      <c r="B671" s="10" t="s">
        <v>681</v>
      </c>
      <c r="C671" s="11">
        <v>380</v>
      </c>
      <c r="D671" s="12">
        <v>95</v>
      </c>
      <c r="E671" s="13">
        <f>productTable[[#This Row],[個数]]*productTable[[#This Row],[原価]]</f>
        <v>36100</v>
      </c>
    </row>
    <row r="672" spans="1:5">
      <c r="A672" s="9" t="s">
        <v>1419</v>
      </c>
      <c r="B672" s="10" t="s">
        <v>682</v>
      </c>
      <c r="C672" s="11">
        <v>300</v>
      </c>
      <c r="D672" s="12">
        <v>58</v>
      </c>
      <c r="E672" s="13">
        <f>productTable[[#This Row],[個数]]*productTable[[#This Row],[原価]]</f>
        <v>17400</v>
      </c>
    </row>
    <row r="673" spans="1:5">
      <c r="A673" s="9" t="s">
        <v>1420</v>
      </c>
      <c r="B673" s="10" t="s">
        <v>683</v>
      </c>
      <c r="C673" s="11">
        <v>700</v>
      </c>
      <c r="D673" s="12">
        <v>73</v>
      </c>
      <c r="E673" s="13">
        <f>productTable[[#This Row],[個数]]*productTable[[#This Row],[原価]]</f>
        <v>51100</v>
      </c>
    </row>
    <row r="674" spans="1:5">
      <c r="A674" s="9" t="s">
        <v>1421</v>
      </c>
      <c r="B674" s="10" t="s">
        <v>684</v>
      </c>
      <c r="C674" s="11">
        <v>8</v>
      </c>
      <c r="D674" s="12">
        <v>4</v>
      </c>
      <c r="E674" s="13">
        <f>productTable[[#This Row],[個数]]*productTable[[#This Row],[原価]]</f>
        <v>32</v>
      </c>
    </row>
    <row r="675" spans="1:5">
      <c r="A675" s="9" t="s">
        <v>1422</v>
      </c>
      <c r="B675" s="10" t="s">
        <v>685</v>
      </c>
      <c r="C675" s="11">
        <v>2</v>
      </c>
      <c r="D675" s="12">
        <v>9</v>
      </c>
      <c r="E675" s="13">
        <f>productTable[[#This Row],[個数]]*productTable[[#This Row],[原価]]</f>
        <v>18</v>
      </c>
    </row>
    <row r="676" spans="1:5">
      <c r="A676" s="9" t="s">
        <v>1423</v>
      </c>
      <c r="B676" s="10" t="s">
        <v>686</v>
      </c>
      <c r="C676" s="11">
        <v>3</v>
      </c>
      <c r="D676" s="12">
        <v>67</v>
      </c>
      <c r="E676" s="13">
        <f>productTable[[#This Row],[個数]]*productTable[[#This Row],[原価]]</f>
        <v>201</v>
      </c>
    </row>
    <row r="677" spans="1:5">
      <c r="A677" s="9" t="s">
        <v>1424</v>
      </c>
      <c r="B677" s="10" t="s">
        <v>687</v>
      </c>
      <c r="C677" s="11">
        <v>880</v>
      </c>
      <c r="D677" s="12">
        <v>32</v>
      </c>
      <c r="E677" s="13">
        <f>productTable[[#This Row],[個数]]*productTable[[#This Row],[原価]]</f>
        <v>28160</v>
      </c>
    </row>
    <row r="678" spans="1:5">
      <c r="A678" s="9" t="s">
        <v>1425</v>
      </c>
      <c r="B678" s="10" t="s">
        <v>688</v>
      </c>
      <c r="C678" s="11">
        <v>240</v>
      </c>
      <c r="D678" s="12">
        <v>90</v>
      </c>
      <c r="E678" s="13">
        <f>productTable[[#This Row],[個数]]*productTable[[#This Row],[原価]]</f>
        <v>21600</v>
      </c>
    </row>
    <row r="679" spans="1:5">
      <c r="A679" s="9" t="s">
        <v>1426</v>
      </c>
      <c r="B679" s="10" t="s">
        <v>689</v>
      </c>
      <c r="C679" s="11">
        <v>311</v>
      </c>
      <c r="D679" s="12">
        <v>85</v>
      </c>
      <c r="E679" s="13">
        <f>productTable[[#This Row],[個数]]*productTable[[#This Row],[原価]]</f>
        <v>26435</v>
      </c>
    </row>
    <row r="680" spans="1:5">
      <c r="A680" s="9" t="s">
        <v>1427</v>
      </c>
      <c r="B680" s="10" t="s">
        <v>690</v>
      </c>
      <c r="C680" s="11">
        <v>1123</v>
      </c>
      <c r="D680" s="12">
        <v>154</v>
      </c>
      <c r="E680" s="13">
        <f>productTable[[#This Row],[個数]]*productTable[[#This Row],[原価]]</f>
        <v>172942</v>
      </c>
    </row>
    <row r="681" spans="1:5">
      <c r="A681" s="9" t="s">
        <v>1428</v>
      </c>
      <c r="B681" s="10" t="s">
        <v>691</v>
      </c>
      <c r="C681" s="11">
        <v>650</v>
      </c>
      <c r="D681" s="12">
        <v>70</v>
      </c>
      <c r="E681" s="13">
        <f>productTable[[#This Row],[個数]]*productTable[[#This Row],[原価]]</f>
        <v>45500</v>
      </c>
    </row>
    <row r="682" spans="1:5">
      <c r="A682" s="9" t="s">
        <v>1429</v>
      </c>
      <c r="B682" s="10" t="s">
        <v>692</v>
      </c>
      <c r="C682" s="11">
        <v>450</v>
      </c>
      <c r="D682" s="12">
        <v>65</v>
      </c>
      <c r="E682" s="13">
        <f>productTable[[#This Row],[個数]]*productTable[[#This Row],[原価]]</f>
        <v>29250</v>
      </c>
    </row>
    <row r="683" spans="1:5">
      <c r="A683" s="9" t="s">
        <v>1430</v>
      </c>
      <c r="B683" s="10" t="s">
        <v>693</v>
      </c>
      <c r="C683" s="11">
        <v>460</v>
      </c>
      <c r="D683" s="12">
        <v>27</v>
      </c>
      <c r="E683" s="13">
        <f>productTable[[#This Row],[個数]]*productTable[[#This Row],[原価]]</f>
        <v>12420</v>
      </c>
    </row>
    <row r="684" spans="1:5">
      <c r="A684" s="9" t="s">
        <v>1431</v>
      </c>
      <c r="B684" s="10" t="s">
        <v>694</v>
      </c>
      <c r="C684" s="11">
        <v>350</v>
      </c>
      <c r="D684" s="12">
        <v>3</v>
      </c>
      <c r="E684" s="13">
        <f>productTable[[#This Row],[個数]]*productTable[[#This Row],[原価]]</f>
        <v>1050</v>
      </c>
    </row>
    <row r="685" spans="1:5">
      <c r="A685" s="9" t="s">
        <v>1432</v>
      </c>
      <c r="B685" s="10" t="s">
        <v>695</v>
      </c>
      <c r="C685" s="11">
        <v>400</v>
      </c>
      <c r="D685" s="12">
        <v>26</v>
      </c>
      <c r="E685" s="13">
        <f>productTable[[#This Row],[個数]]*productTable[[#This Row],[原価]]</f>
        <v>10400</v>
      </c>
    </row>
    <row r="686" spans="1:5">
      <c r="A686" s="9" t="s">
        <v>1433</v>
      </c>
      <c r="B686" s="10" t="s">
        <v>696</v>
      </c>
      <c r="C686" s="11">
        <v>890</v>
      </c>
      <c r="D686" s="12">
        <v>57</v>
      </c>
      <c r="E686" s="13">
        <f>productTable[[#This Row],[個数]]*productTable[[#This Row],[原価]]</f>
        <v>50730</v>
      </c>
    </row>
    <row r="687" spans="1:5">
      <c r="A687" s="9" t="s">
        <v>1434</v>
      </c>
      <c r="B687" s="10" t="s">
        <v>697</v>
      </c>
      <c r="C687" s="11">
        <v>490</v>
      </c>
      <c r="D687" s="12">
        <v>69</v>
      </c>
      <c r="E687" s="13">
        <f>productTable[[#This Row],[個数]]*productTable[[#This Row],[原価]]</f>
        <v>33810</v>
      </c>
    </row>
    <row r="688" spans="1:5">
      <c r="A688" s="9" t="s">
        <v>1435</v>
      </c>
      <c r="B688" s="10" t="s">
        <v>698</v>
      </c>
      <c r="C688" s="11">
        <v>440</v>
      </c>
      <c r="D688" s="12">
        <v>74</v>
      </c>
      <c r="E688" s="13">
        <f>productTable[[#This Row],[個数]]*productTable[[#This Row],[原価]]</f>
        <v>32560</v>
      </c>
    </row>
    <row r="689" spans="1:5">
      <c r="A689" s="9" t="s">
        <v>1436</v>
      </c>
      <c r="B689" s="10" t="s">
        <v>699</v>
      </c>
      <c r="C689" s="11">
        <v>790</v>
      </c>
      <c r="D689" s="12">
        <v>8</v>
      </c>
      <c r="E689" s="13">
        <f>productTable[[#This Row],[個数]]*productTable[[#This Row],[原価]]</f>
        <v>6320</v>
      </c>
    </row>
    <row r="690" spans="1:5">
      <c r="A690" s="9" t="s">
        <v>1437</v>
      </c>
      <c r="B690" s="10" t="s">
        <v>700</v>
      </c>
      <c r="C690" s="11">
        <v>290</v>
      </c>
      <c r="D690" s="12">
        <v>49</v>
      </c>
      <c r="E690" s="13">
        <f>productTable[[#This Row],[個数]]*productTable[[#This Row],[原価]]</f>
        <v>14210</v>
      </c>
    </row>
    <row r="691" spans="1:5">
      <c r="A691" s="9" t="s">
        <v>1438</v>
      </c>
      <c r="B691" s="10" t="s">
        <v>701</v>
      </c>
      <c r="C691" s="11">
        <v>640</v>
      </c>
      <c r="D691" s="12">
        <v>70</v>
      </c>
      <c r="E691" s="13">
        <f>productTable[[#This Row],[個数]]*productTable[[#This Row],[原価]]</f>
        <v>44800</v>
      </c>
    </row>
    <row r="692" spans="1:5">
      <c r="A692" s="9" t="s">
        <v>1439</v>
      </c>
      <c r="B692" s="10" t="s">
        <v>702</v>
      </c>
      <c r="C692" s="11">
        <v>810</v>
      </c>
      <c r="D692" s="12">
        <v>7</v>
      </c>
      <c r="E692" s="13">
        <f>productTable[[#This Row],[個数]]*productTable[[#This Row],[原価]]</f>
        <v>5670</v>
      </c>
    </row>
    <row r="693" spans="1:5">
      <c r="A693" s="9" t="s">
        <v>1440</v>
      </c>
      <c r="B693" s="10" t="s">
        <v>135</v>
      </c>
      <c r="C693" s="11">
        <v>132</v>
      </c>
      <c r="D693" s="12">
        <v>9</v>
      </c>
      <c r="E693" s="13">
        <f>productTable[[#This Row],[個数]]*productTable[[#This Row],[原価]]</f>
        <v>1188</v>
      </c>
    </row>
    <row r="694" spans="1:5">
      <c r="A694" s="9" t="s">
        <v>1441</v>
      </c>
      <c r="B694" s="10" t="s">
        <v>703</v>
      </c>
      <c r="C694" s="11">
        <v>97</v>
      </c>
      <c r="D694" s="12">
        <v>67</v>
      </c>
      <c r="E694" s="13">
        <f>productTable[[#This Row],[個数]]*productTable[[#This Row],[原価]]</f>
        <v>6499</v>
      </c>
    </row>
    <row r="695" spans="1:5">
      <c r="A695" s="9" t="s">
        <v>1442</v>
      </c>
      <c r="B695" s="10" t="s">
        <v>704</v>
      </c>
      <c r="C695" s="11">
        <v>97</v>
      </c>
      <c r="D695" s="12">
        <v>65</v>
      </c>
      <c r="E695" s="13">
        <f>productTable[[#This Row],[個数]]*productTable[[#This Row],[原価]]</f>
        <v>6305</v>
      </c>
    </row>
    <row r="696" spans="1:5">
      <c r="A696" s="9" t="s">
        <v>1443</v>
      </c>
      <c r="B696" s="10" t="s">
        <v>705</v>
      </c>
      <c r="C696" s="11">
        <v>353</v>
      </c>
      <c r="D696" s="12">
        <v>13</v>
      </c>
      <c r="E696" s="13">
        <f>productTable[[#This Row],[個数]]*productTable[[#This Row],[原価]]</f>
        <v>4589</v>
      </c>
    </row>
    <row r="697" spans="1:5">
      <c r="A697" s="9" t="s">
        <v>1444</v>
      </c>
      <c r="B697" s="10" t="s">
        <v>706</v>
      </c>
      <c r="C697" s="11">
        <v>250</v>
      </c>
      <c r="D697" s="12">
        <v>10</v>
      </c>
      <c r="E697" s="13">
        <f>productTable[[#This Row],[個数]]*productTable[[#This Row],[原価]]</f>
        <v>2500</v>
      </c>
    </row>
    <row r="698" spans="1:5">
      <c r="A698" s="9" t="s">
        <v>1445</v>
      </c>
      <c r="B698" s="10" t="s">
        <v>707</v>
      </c>
      <c r="C698" s="11">
        <v>290</v>
      </c>
      <c r="D698" s="12">
        <v>45</v>
      </c>
      <c r="E698" s="13">
        <f>productTable[[#This Row],[個数]]*productTable[[#This Row],[原価]]</f>
        <v>13050</v>
      </c>
    </row>
    <row r="699" spans="1:5">
      <c r="A699" s="9" t="s">
        <v>1446</v>
      </c>
      <c r="B699" s="10" t="s">
        <v>708</v>
      </c>
      <c r="C699" s="11">
        <v>60</v>
      </c>
      <c r="D699" s="12">
        <v>25</v>
      </c>
      <c r="E699" s="13">
        <f>productTable[[#This Row],[個数]]*productTable[[#This Row],[原価]]</f>
        <v>1500</v>
      </c>
    </row>
    <row r="700" spans="1:5">
      <c r="A700" s="9" t="s">
        <v>1447</v>
      </c>
      <c r="B700" s="10" t="s">
        <v>709</v>
      </c>
      <c r="C700" s="11">
        <v>180</v>
      </c>
      <c r="D700" s="12">
        <v>76</v>
      </c>
      <c r="E700" s="13">
        <f>productTable[[#This Row],[個数]]*productTable[[#This Row],[原価]]</f>
        <v>13680</v>
      </c>
    </row>
    <row r="701" spans="1:5">
      <c r="A701" s="9" t="s">
        <v>1448</v>
      </c>
      <c r="B701" s="10" t="s">
        <v>710</v>
      </c>
      <c r="C701" s="11">
        <v>120</v>
      </c>
      <c r="D701" s="12">
        <v>11</v>
      </c>
      <c r="E701" s="13">
        <f>productTable[[#This Row],[個数]]*productTable[[#This Row],[原価]]</f>
        <v>1320</v>
      </c>
    </row>
    <row r="702" spans="1:5">
      <c r="A702" s="9" t="s">
        <v>1449</v>
      </c>
      <c r="B702" s="10" t="s">
        <v>711</v>
      </c>
      <c r="C702" s="11">
        <v>550</v>
      </c>
      <c r="D702" s="12">
        <v>0</v>
      </c>
      <c r="E702" s="13">
        <f>productTable[[#This Row],[個数]]*productTable[[#This Row],[原価]]</f>
        <v>0</v>
      </c>
    </row>
    <row r="703" spans="1:5">
      <c r="A703" s="9" t="s">
        <v>1450</v>
      </c>
      <c r="B703" s="10" t="s">
        <v>712</v>
      </c>
      <c r="C703" s="11">
        <v>650</v>
      </c>
      <c r="D703" s="12">
        <v>0</v>
      </c>
      <c r="E703" s="13">
        <f>productTable[[#This Row],[個数]]*productTable[[#This Row],[原価]]</f>
        <v>0</v>
      </c>
    </row>
    <row r="704" spans="1:5">
      <c r="A704" s="9" t="s">
        <v>1451</v>
      </c>
      <c r="B704" s="10" t="s">
        <v>713</v>
      </c>
      <c r="C704" s="11">
        <v>80</v>
      </c>
      <c r="D704" s="12">
        <v>86</v>
      </c>
      <c r="E704" s="13">
        <f>productTable[[#This Row],[個数]]*productTable[[#This Row],[原価]]</f>
        <v>6880</v>
      </c>
    </row>
    <row r="705" spans="1:5">
      <c r="A705" s="9" t="s">
        <v>1452</v>
      </c>
      <c r="B705" s="10" t="s">
        <v>714</v>
      </c>
      <c r="C705" s="11">
        <v>90</v>
      </c>
      <c r="D705" s="12">
        <v>68</v>
      </c>
      <c r="E705" s="13">
        <f>productTable[[#This Row],[個数]]*productTable[[#This Row],[原価]]</f>
        <v>6120</v>
      </c>
    </row>
    <row r="706" spans="1:5">
      <c r="A706" s="9" t="s">
        <v>1453</v>
      </c>
      <c r="B706" s="10" t="s">
        <v>715</v>
      </c>
      <c r="C706" s="11">
        <v>270</v>
      </c>
      <c r="D706" s="12">
        <v>51</v>
      </c>
      <c r="E706" s="13">
        <f>productTable[[#This Row],[個数]]*productTable[[#This Row],[原価]]</f>
        <v>13770</v>
      </c>
    </row>
    <row r="707" spans="1:5">
      <c r="A707" s="9" t="s">
        <v>1454</v>
      </c>
      <c r="B707" s="10" t="s">
        <v>716</v>
      </c>
      <c r="C707" s="11">
        <v>150</v>
      </c>
      <c r="D707" s="12">
        <v>4</v>
      </c>
      <c r="E707" s="13">
        <f>productTable[[#This Row],[個数]]*productTable[[#This Row],[原価]]</f>
        <v>600</v>
      </c>
    </row>
    <row r="708" spans="1:5">
      <c r="A708" s="9" t="s">
        <v>1455</v>
      </c>
      <c r="B708" s="10" t="s">
        <v>717</v>
      </c>
      <c r="C708" s="11">
        <v>55</v>
      </c>
      <c r="D708" s="12">
        <v>9</v>
      </c>
      <c r="E708" s="13">
        <f>productTable[[#This Row],[個数]]*productTable[[#This Row],[原価]]</f>
        <v>495</v>
      </c>
    </row>
    <row r="709" spans="1:5">
      <c r="A709" s="9" t="s">
        <v>1456</v>
      </c>
      <c r="B709" s="10" t="s">
        <v>718</v>
      </c>
      <c r="C709" s="11">
        <v>95</v>
      </c>
      <c r="D709" s="12">
        <v>140</v>
      </c>
      <c r="E709" s="13">
        <f>productTable[[#This Row],[個数]]*productTable[[#This Row],[原価]]</f>
        <v>13300</v>
      </c>
    </row>
    <row r="710" spans="1:5">
      <c r="A710" s="9" t="s">
        <v>1457</v>
      </c>
      <c r="B710" s="10" t="s">
        <v>719</v>
      </c>
      <c r="C710" s="11">
        <v>75</v>
      </c>
      <c r="D710" s="12">
        <v>214</v>
      </c>
      <c r="E710" s="13">
        <f>productTable[[#This Row],[個数]]*productTable[[#This Row],[原価]]</f>
        <v>16050</v>
      </c>
    </row>
    <row r="711" spans="1:5">
      <c r="A711" s="9" t="s">
        <v>1458</v>
      </c>
      <c r="B711" s="10" t="s">
        <v>720</v>
      </c>
      <c r="C711" s="11">
        <v>130</v>
      </c>
      <c r="D711" s="12">
        <v>18</v>
      </c>
      <c r="E711" s="13">
        <f>productTable[[#This Row],[個数]]*productTable[[#This Row],[原価]]</f>
        <v>2340</v>
      </c>
    </row>
    <row r="712" spans="1:5">
      <c r="A712" s="9" t="s">
        <v>1459</v>
      </c>
      <c r="B712" s="10" t="s">
        <v>136</v>
      </c>
      <c r="C712" s="11">
        <v>660</v>
      </c>
      <c r="D712" s="12">
        <v>64</v>
      </c>
      <c r="E712" s="13">
        <f>productTable[[#This Row],[個数]]*productTable[[#This Row],[原価]]</f>
        <v>42240</v>
      </c>
    </row>
    <row r="713" spans="1:5">
      <c r="A713" s="9" t="s">
        <v>1460</v>
      </c>
      <c r="B713" s="10" t="s">
        <v>721</v>
      </c>
      <c r="C713" s="11">
        <v>35.799999999999997</v>
      </c>
      <c r="D713" s="12">
        <v>205</v>
      </c>
      <c r="E713" s="13">
        <f>productTable[[#This Row],[個数]]*productTable[[#This Row],[原価]]</f>
        <v>7338.9999999999991</v>
      </c>
    </row>
    <row r="714" spans="1:5">
      <c r="A714" s="9" t="s">
        <v>1461</v>
      </c>
      <c r="B714" s="10" t="s">
        <v>722</v>
      </c>
      <c r="C714" s="11">
        <v>880</v>
      </c>
      <c r="D714" s="12">
        <v>4</v>
      </c>
      <c r="E714" s="13">
        <f>productTable[[#This Row],[個数]]*productTable[[#This Row],[原価]]</f>
        <v>3520</v>
      </c>
    </row>
    <row r="715" spans="1:5">
      <c r="A715" s="9" t="s">
        <v>1462</v>
      </c>
      <c r="B715" s="10" t="s">
        <v>723</v>
      </c>
      <c r="C715" s="11">
        <v>420</v>
      </c>
      <c r="D715" s="12">
        <v>15</v>
      </c>
      <c r="E715" s="13">
        <f>productTable[[#This Row],[個数]]*productTable[[#This Row],[原価]]</f>
        <v>6300</v>
      </c>
    </row>
    <row r="716" spans="1:5">
      <c r="A716" s="9" t="s">
        <v>1463</v>
      </c>
      <c r="B716" s="10" t="s">
        <v>724</v>
      </c>
      <c r="C716" s="11">
        <v>609</v>
      </c>
      <c r="D716" s="12">
        <v>9</v>
      </c>
      <c r="E716" s="13">
        <f>productTable[[#This Row],[個数]]*productTable[[#This Row],[原価]]</f>
        <v>5481</v>
      </c>
    </row>
    <row r="717" spans="1:5">
      <c r="A717" s="9" t="s">
        <v>1464</v>
      </c>
      <c r="B717" s="10" t="s">
        <v>725</v>
      </c>
      <c r="C717" s="11">
        <v>1270</v>
      </c>
      <c r="D717" s="12">
        <v>17</v>
      </c>
      <c r="E717" s="13">
        <f>productTable[[#This Row],[個数]]*productTable[[#This Row],[原価]]</f>
        <v>21590</v>
      </c>
    </row>
    <row r="718" spans="1:5">
      <c r="A718" s="9" t="s">
        <v>1465</v>
      </c>
      <c r="B718" s="10" t="s">
        <v>726</v>
      </c>
      <c r="C718" s="11">
        <v>1100</v>
      </c>
      <c r="D718" s="12">
        <v>47</v>
      </c>
      <c r="E718" s="13">
        <f>productTable[[#This Row],[個数]]*productTable[[#This Row],[原価]]</f>
        <v>51700</v>
      </c>
    </row>
    <row r="719" spans="1:5">
      <c r="A719" s="9" t="s">
        <v>1466</v>
      </c>
      <c r="B719" s="10" t="s">
        <v>727</v>
      </c>
      <c r="C719" s="11">
        <v>800</v>
      </c>
      <c r="D719" s="12">
        <v>19</v>
      </c>
      <c r="E719" s="13">
        <f>productTable[[#This Row],[個数]]*productTable[[#This Row],[原価]]</f>
        <v>15200</v>
      </c>
    </row>
    <row r="720" spans="1:5">
      <c r="A720" s="9" t="s">
        <v>1467</v>
      </c>
      <c r="B720" s="10" t="s">
        <v>728</v>
      </c>
      <c r="C720" s="11">
        <v>370</v>
      </c>
      <c r="D720" s="12">
        <v>68</v>
      </c>
      <c r="E720" s="13">
        <f>productTable[[#This Row],[個数]]*productTable[[#This Row],[原価]]</f>
        <v>25160</v>
      </c>
    </row>
    <row r="721" spans="1:5">
      <c r="A721" s="9" t="s">
        <v>1468</v>
      </c>
      <c r="B721" s="10" t="s">
        <v>729</v>
      </c>
      <c r="C721" s="11">
        <v>910</v>
      </c>
      <c r="D721" s="12">
        <v>34</v>
      </c>
      <c r="E721" s="13">
        <f>productTable[[#This Row],[個数]]*productTable[[#This Row],[原価]]</f>
        <v>30940</v>
      </c>
    </row>
    <row r="722" spans="1:5">
      <c r="A722" s="9" t="s">
        <v>1469</v>
      </c>
      <c r="B722" s="10" t="s">
        <v>730</v>
      </c>
      <c r="C722" s="11">
        <v>990</v>
      </c>
      <c r="D722" s="12">
        <v>53</v>
      </c>
      <c r="E722" s="13">
        <f>productTable[[#This Row],[個数]]*productTable[[#This Row],[原価]]</f>
        <v>52470</v>
      </c>
    </row>
    <row r="723" spans="1:5">
      <c r="A723" s="9" t="s">
        <v>1470</v>
      </c>
      <c r="B723" s="10" t="s">
        <v>731</v>
      </c>
      <c r="C723" s="11">
        <v>930</v>
      </c>
      <c r="D723" s="12">
        <v>19</v>
      </c>
      <c r="E723" s="13">
        <f>productTable[[#This Row],[個数]]*productTable[[#This Row],[原価]]</f>
        <v>17670</v>
      </c>
    </row>
    <row r="724" spans="1:5">
      <c r="A724" s="9" t="s">
        <v>1471</v>
      </c>
      <c r="B724" s="10" t="s">
        <v>732</v>
      </c>
      <c r="C724" s="11">
        <v>485</v>
      </c>
      <c r="D724" s="12">
        <v>18</v>
      </c>
      <c r="E724" s="13">
        <f>productTable[[#This Row],[個数]]*productTable[[#This Row],[原価]]</f>
        <v>8730</v>
      </c>
    </row>
    <row r="725" spans="1:5">
      <c r="A725" s="9" t="s">
        <v>1472</v>
      </c>
      <c r="B725" s="10" t="s">
        <v>733</v>
      </c>
      <c r="C725" s="11">
        <v>170</v>
      </c>
      <c r="D725" s="12">
        <v>13</v>
      </c>
      <c r="E725" s="13">
        <f>productTable[[#This Row],[個数]]*productTable[[#This Row],[原価]]</f>
        <v>2210</v>
      </c>
    </row>
    <row r="726" spans="1:5">
      <c r="A726" s="9" t="s">
        <v>1473</v>
      </c>
      <c r="B726" s="10" t="s">
        <v>734</v>
      </c>
      <c r="C726" s="11">
        <v>359</v>
      </c>
      <c r="D726" s="12">
        <v>63</v>
      </c>
      <c r="E726" s="13">
        <f>productTable[[#This Row],[個数]]*productTable[[#This Row],[原価]]</f>
        <v>22617</v>
      </c>
    </row>
    <row r="727" spans="1:5">
      <c r="A727" s="9" t="s">
        <v>1474</v>
      </c>
      <c r="B727" s="10" t="s">
        <v>735</v>
      </c>
      <c r="C727" s="11">
        <v>150</v>
      </c>
      <c r="D727" s="12">
        <v>43</v>
      </c>
      <c r="E727" s="13">
        <f>productTable[[#This Row],[個数]]*productTable[[#This Row],[原価]]</f>
        <v>6450</v>
      </c>
    </row>
    <row r="728" spans="1:5">
      <c r="A728" s="9" t="s">
        <v>1475</v>
      </c>
      <c r="B728" s="10" t="s">
        <v>736</v>
      </c>
      <c r="C728" s="11">
        <v>350</v>
      </c>
      <c r="D728" s="12">
        <v>26</v>
      </c>
      <c r="E728" s="13">
        <f>productTable[[#This Row],[個数]]*productTable[[#This Row],[原価]]</f>
        <v>9100</v>
      </c>
    </row>
    <row r="729" spans="1:5">
      <c r="A729" s="9" t="s">
        <v>1476</v>
      </c>
      <c r="B729" s="10" t="s">
        <v>737</v>
      </c>
      <c r="C729" s="11">
        <v>245</v>
      </c>
      <c r="D729" s="12">
        <v>38</v>
      </c>
      <c r="E729" s="13">
        <f>productTable[[#This Row],[個数]]*productTable[[#This Row],[原価]]</f>
        <v>9310</v>
      </c>
    </row>
    <row r="730" spans="1:5">
      <c r="A730" s="9" t="s">
        <v>1477</v>
      </c>
      <c r="B730" s="10" t="s">
        <v>738</v>
      </c>
      <c r="C730" s="11">
        <v>220</v>
      </c>
      <c r="D730" s="12">
        <v>48</v>
      </c>
      <c r="E730" s="13">
        <f>productTable[[#This Row],[個数]]*productTable[[#This Row],[原価]]</f>
        <v>10560</v>
      </c>
    </row>
    <row r="731" spans="1:5">
      <c r="A731" s="9" t="s">
        <v>1478</v>
      </c>
      <c r="B731" s="10" t="s">
        <v>739</v>
      </c>
      <c r="C731" s="11">
        <v>295</v>
      </c>
      <c r="D731" s="12">
        <v>53</v>
      </c>
      <c r="E731" s="13">
        <f>productTable[[#This Row],[個数]]*productTable[[#This Row],[原価]]</f>
        <v>15635</v>
      </c>
    </row>
    <row r="732" spans="1:5">
      <c r="A732" s="9" t="s">
        <v>1479</v>
      </c>
      <c r="B732" s="10" t="s">
        <v>740</v>
      </c>
      <c r="C732" s="11">
        <v>55</v>
      </c>
      <c r="D732" s="12">
        <v>652</v>
      </c>
      <c r="E732" s="13">
        <f>productTable[[#This Row],[個数]]*productTable[[#This Row],[原価]]</f>
        <v>35860</v>
      </c>
    </row>
    <row r="733" spans="1:5">
      <c r="A733" s="9" t="s">
        <v>1480</v>
      </c>
      <c r="B733" s="10" t="s">
        <v>741</v>
      </c>
      <c r="C733" s="11">
        <v>99</v>
      </c>
      <c r="D733" s="12">
        <v>48</v>
      </c>
      <c r="E733" s="13">
        <f>productTable[[#This Row],[個数]]*productTable[[#This Row],[原価]]</f>
        <v>4752</v>
      </c>
    </row>
    <row r="734" spans="1:5">
      <c r="A734" s="9" t="s">
        <v>1481</v>
      </c>
      <c r="B734" s="10" t="s">
        <v>742</v>
      </c>
      <c r="C734" s="11">
        <v>225</v>
      </c>
      <c r="D734" s="12">
        <v>95</v>
      </c>
      <c r="E734" s="13">
        <f>productTable[[#This Row],[個数]]*productTable[[#This Row],[原価]]</f>
        <v>21375</v>
      </c>
    </row>
    <row r="735" spans="1:5">
      <c r="A735" s="9" t="s">
        <v>1482</v>
      </c>
      <c r="B735" s="10" t="s">
        <v>743</v>
      </c>
      <c r="C735" s="11">
        <v>230</v>
      </c>
      <c r="D735" s="12">
        <v>15</v>
      </c>
      <c r="E735" s="13">
        <f>productTable[[#This Row],[個数]]*productTable[[#This Row],[原価]]</f>
        <v>3450</v>
      </c>
    </row>
    <row r="736" spans="1:5">
      <c r="A736" s="9" t="s">
        <v>1483</v>
      </c>
      <c r="B736" s="10" t="s">
        <v>744</v>
      </c>
      <c r="C736" s="11">
        <v>600</v>
      </c>
      <c r="D736" s="12">
        <v>54</v>
      </c>
      <c r="E736" s="13">
        <f>productTable[[#This Row],[個数]]*productTable[[#This Row],[原価]]</f>
        <v>32400</v>
      </c>
    </row>
    <row r="737" spans="1:5">
      <c r="A737" s="9" t="s">
        <v>1484</v>
      </c>
      <c r="B737" s="10" t="s">
        <v>745</v>
      </c>
      <c r="C737" s="11">
        <v>455</v>
      </c>
      <c r="D737" s="12">
        <v>240</v>
      </c>
      <c r="E737" s="13">
        <f>productTable[[#This Row],[個数]]*productTable[[#This Row],[原価]]</f>
        <v>109200</v>
      </c>
    </row>
    <row r="738" spans="1:5">
      <c r="A738" s="9" t="s">
        <v>1485</v>
      </c>
      <c r="B738" s="10" t="s">
        <v>746</v>
      </c>
      <c r="C738" s="11">
        <v>312.38</v>
      </c>
      <c r="D738" s="12">
        <v>280</v>
      </c>
      <c r="E738" s="13">
        <f>productTable[[#This Row],[個数]]*productTable[[#This Row],[原価]]</f>
        <v>87466.4</v>
      </c>
    </row>
    <row r="739" spans="1:5">
      <c r="A739" s="9" t="s">
        <v>1486</v>
      </c>
      <c r="B739" s="10" t="s">
        <v>747</v>
      </c>
      <c r="C739" s="11">
        <v>60</v>
      </c>
      <c r="D739" s="12">
        <v>22</v>
      </c>
      <c r="E739" s="13">
        <f>productTable[[#This Row],[個数]]*productTable[[#This Row],[原価]]</f>
        <v>1320</v>
      </c>
    </row>
    <row r="740" spans="1:5">
      <c r="A740" s="9" t="s">
        <v>1487</v>
      </c>
      <c r="B740" s="10" t="s">
        <v>137</v>
      </c>
      <c r="C740" s="11">
        <v>383</v>
      </c>
      <c r="D740" s="12">
        <v>60</v>
      </c>
      <c r="E740" s="13">
        <f>productTable[[#This Row],[個数]]*productTable[[#This Row],[原価]]</f>
        <v>22980</v>
      </c>
    </row>
    <row r="741" spans="1:5">
      <c r="A741" s="9" t="s">
        <v>1488</v>
      </c>
      <c r="B741" s="10" t="s">
        <v>748</v>
      </c>
      <c r="C741" s="11">
        <v>180</v>
      </c>
      <c r="D741" s="12">
        <v>67</v>
      </c>
      <c r="E741" s="13">
        <f>productTable[[#This Row],[個数]]*productTable[[#This Row],[原価]]</f>
        <v>12060</v>
      </c>
    </row>
    <row r="742" spans="1:5">
      <c r="A742" s="9" t="s">
        <v>1489</v>
      </c>
      <c r="B742" s="10" t="s">
        <v>749</v>
      </c>
      <c r="C742" s="11">
        <v>157</v>
      </c>
      <c r="D742" s="12">
        <v>68</v>
      </c>
      <c r="E742" s="13">
        <f>productTable[[#This Row],[個数]]*productTable[[#This Row],[原価]]</f>
        <v>10676</v>
      </c>
    </row>
    <row r="743" spans="1:5">
      <c r="A743" s="9" t="s">
        <v>1490</v>
      </c>
      <c r="B743" s="10" t="s">
        <v>750</v>
      </c>
      <c r="C743" s="11">
        <v>620</v>
      </c>
      <c r="D743" s="12">
        <v>4</v>
      </c>
      <c r="E743" s="13">
        <f>productTable[[#This Row],[個数]]*productTable[[#This Row],[原価]]</f>
        <v>2480</v>
      </c>
    </row>
    <row r="744" spans="1:5">
      <c r="A744" s="9" t="s">
        <v>1491</v>
      </c>
      <c r="B744" s="10" t="s">
        <v>751</v>
      </c>
      <c r="C744" s="11">
        <v>874</v>
      </c>
      <c r="D744" s="12">
        <v>22</v>
      </c>
      <c r="E744" s="13">
        <f>productTable[[#This Row],[個数]]*productTable[[#This Row],[原価]]</f>
        <v>19228</v>
      </c>
    </row>
    <row r="745" spans="1:5">
      <c r="A745" s="9" t="s">
        <v>1492</v>
      </c>
      <c r="B745" s="10" t="s">
        <v>752</v>
      </c>
      <c r="C745" s="11">
        <v>100</v>
      </c>
      <c r="D745" s="12">
        <v>80</v>
      </c>
      <c r="E745" s="13">
        <f>productTable[[#This Row],[個数]]*productTable[[#This Row],[原価]]</f>
        <v>8000</v>
      </c>
    </row>
    <row r="746" spans="1:5">
      <c r="A746" s="9" t="s">
        <v>1493</v>
      </c>
      <c r="B746" s="10" t="s">
        <v>753</v>
      </c>
      <c r="C746" s="11">
        <v>100</v>
      </c>
      <c r="D746" s="12">
        <v>23</v>
      </c>
      <c r="E746" s="13">
        <f>productTable[[#This Row],[個数]]*productTable[[#This Row],[原価]]</f>
        <v>2300</v>
      </c>
    </row>
    <row r="747" spans="1:5">
      <c r="A747" s="9" t="s">
        <v>1494</v>
      </c>
      <c r="B747" s="10" t="s">
        <v>754</v>
      </c>
      <c r="C747" s="11">
        <v>100</v>
      </c>
      <c r="D747" s="12">
        <v>61</v>
      </c>
      <c r="E747" s="13">
        <f>productTable[[#This Row],[個数]]*productTable[[#This Row],[原価]]</f>
        <v>6100</v>
      </c>
    </row>
    <row r="748" spans="1:5">
      <c r="A748" s="9" t="s">
        <v>1495</v>
      </c>
      <c r="B748" s="10" t="s">
        <v>755</v>
      </c>
      <c r="C748" s="11">
        <v>220</v>
      </c>
      <c r="D748" s="12">
        <v>40</v>
      </c>
      <c r="E748" s="13">
        <f>productTable[[#This Row],[個数]]*productTable[[#This Row],[原価]]</f>
        <v>8800</v>
      </c>
    </row>
    <row r="749" spans="1:5">
      <c r="A749" s="9" t="s">
        <v>1496</v>
      </c>
      <c r="B749" s="10" t="s">
        <v>756</v>
      </c>
      <c r="C749" s="11">
        <v>100</v>
      </c>
      <c r="D749" s="12">
        <v>32</v>
      </c>
      <c r="E749" s="13">
        <f>productTable[[#This Row],[個数]]*productTable[[#This Row],[原価]]</f>
        <v>3200</v>
      </c>
    </row>
    <row r="750" spans="1:5">
      <c r="A750" s="9" t="s">
        <v>1497</v>
      </c>
      <c r="B750" s="10" t="s">
        <v>757</v>
      </c>
      <c r="C750" s="11">
        <v>320</v>
      </c>
      <c r="D750" s="12">
        <v>20</v>
      </c>
      <c r="E750" s="13">
        <f>productTable[[#This Row],[個数]]*productTable[[#This Row],[原価]]</f>
        <v>6400</v>
      </c>
    </row>
    <row r="751" spans="1:5" ht="14.4" thickBot="1">
      <c r="A751" s="14" t="s">
        <v>1498</v>
      </c>
      <c r="B751" s="15" t="s">
        <v>758</v>
      </c>
      <c r="C751" s="16">
        <v>633</v>
      </c>
      <c r="D751" s="17">
        <v>13</v>
      </c>
      <c r="E751" s="18">
        <f>productTable[[#This Row],[個数]]*productTable[[#This Row],[原価]]</f>
        <v>8229</v>
      </c>
    </row>
    <row r="752" spans="1:5" ht="38.4" thickTop="1" thickBot="1">
      <c r="A752" s="27" t="s">
        <v>152</v>
      </c>
      <c r="B752" s="27"/>
      <c r="C752" s="19"/>
      <c r="D752" s="43">
        <f>SUM(D11:D751)</f>
        <v>30215.5</v>
      </c>
      <c r="E752" s="20">
        <f>SUM(E11:E751)</f>
        <v>7236375.5899999999</v>
      </c>
    </row>
    <row r="753" ht="14.4" thickTop="1"/>
  </sheetData>
  <mergeCells count="9">
    <mergeCell ref="A7:E7"/>
    <mergeCell ref="A8:E8"/>
    <mergeCell ref="A752:B752"/>
    <mergeCell ref="A1:E1"/>
    <mergeCell ref="A2:E2"/>
    <mergeCell ref="A3:E3"/>
    <mergeCell ref="A4:E4"/>
    <mergeCell ref="A5:E5"/>
    <mergeCell ref="A6:E6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kho_2026_03_31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2026-05-29T03:22:31Z</dcterms:modified>
</cp:coreProperties>
</file>