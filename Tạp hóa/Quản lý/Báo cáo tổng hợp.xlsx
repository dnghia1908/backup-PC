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Quản lý\"/>
    </mc:Choice>
  </mc:AlternateContent>
  <xr:revisionPtr revIDLastSave="0" documentId="13_ncr:1_{152AB2A5-6C81-4B90-B431-B1F058132D0E}" xr6:coauthVersionLast="47" xr6:coauthVersionMax="47" xr10:uidLastSave="{00000000-0000-0000-0000-000000000000}"/>
  <bookViews>
    <workbookView xWindow="-108" yWindow="-108" windowWidth="30936" windowHeight="16776" xr2:uid="{674D1E28-FB82-4C16-8259-F0848217418F}"/>
  </bookViews>
  <sheets>
    <sheet name="Chi phí tháng" sheetId="2" r:id="rId1"/>
    <sheet name="2024" sheetId="4" r:id="rId2"/>
    <sheet name="2025" sheetId="5" r:id="rId3"/>
    <sheet name="2026" sheetId="6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4" i="2" l="1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C75" i="2"/>
  <c r="L75" i="2" s="1"/>
  <c r="L74" i="2"/>
  <c r="C74" i="2"/>
  <c r="L73" i="2"/>
  <c r="C73" i="2"/>
  <c r="C72" i="2"/>
  <c r="L72" i="2" s="1"/>
  <c r="C71" i="2"/>
  <c r="L71" i="2" s="1"/>
  <c r="C70" i="2"/>
  <c r="L70" i="2" s="1"/>
  <c r="C69" i="2"/>
  <c r="L69" i="2" s="1"/>
  <c r="L68" i="2"/>
  <c r="C68" i="2"/>
  <c r="L67" i="2"/>
  <c r="C67" i="2"/>
  <c r="C66" i="2"/>
  <c r="L66" i="2" s="1"/>
  <c r="C65" i="2"/>
  <c r="L65" i="2" s="1"/>
  <c r="C64" i="2"/>
  <c r="L64" i="2" s="1"/>
  <c r="C63" i="2"/>
  <c r="L63" i="2" s="1"/>
  <c r="L62" i="2"/>
  <c r="C62" i="2"/>
  <c r="L61" i="2"/>
  <c r="C61" i="2"/>
  <c r="C60" i="2"/>
  <c r="L60" i="2" s="1"/>
  <c r="C59" i="2"/>
  <c r="L59" i="2" s="1"/>
  <c r="C58" i="2"/>
  <c r="L58" i="2" s="1"/>
  <c r="C57" i="2"/>
  <c r="L57" i="2" s="1"/>
  <c r="L56" i="2"/>
  <c r="C56" i="2"/>
  <c r="L55" i="2"/>
  <c r="C55" i="2"/>
  <c r="C54" i="2"/>
  <c r="L54" i="2" s="1"/>
  <c r="C53" i="2"/>
  <c r="L53" i="2" s="1"/>
  <c r="C52" i="2"/>
  <c r="L52" i="2" s="1"/>
  <c r="C51" i="2"/>
  <c r="L51" i="2" s="1"/>
  <c r="L50" i="2"/>
  <c r="C50" i="2"/>
  <c r="L49" i="2"/>
  <c r="C49" i="2"/>
  <c r="C48" i="2"/>
  <c r="L48" i="2" s="1"/>
  <c r="C47" i="2"/>
  <c r="L47" i="2" s="1"/>
  <c r="C46" i="2"/>
  <c r="L46" i="2" s="1"/>
  <c r="C45" i="2"/>
  <c r="L45" i="2" s="1"/>
  <c r="L44" i="2"/>
  <c r="C44" i="2"/>
  <c r="L43" i="2"/>
  <c r="C43" i="2"/>
  <c r="C42" i="2"/>
  <c r="L42" i="2" s="1"/>
  <c r="C41" i="2"/>
  <c r="L41" i="2" s="1"/>
  <c r="C40" i="2"/>
  <c r="L40" i="2" s="1"/>
  <c r="C39" i="2"/>
  <c r="L39" i="2" s="1"/>
  <c r="I38" i="2"/>
  <c r="G38" i="2"/>
  <c r="D38" i="2"/>
  <c r="E38" i="2" s="1"/>
  <c r="C38" i="2"/>
  <c r="L37" i="2"/>
  <c r="M37" i="2" s="1"/>
  <c r="K37" i="2"/>
  <c r="I37" i="2"/>
  <c r="G37" i="2"/>
  <c r="E37" i="2"/>
  <c r="C37" i="2"/>
  <c r="K36" i="2"/>
  <c r="I36" i="2"/>
  <c r="G36" i="2"/>
  <c r="E36" i="2"/>
  <c r="C36" i="2"/>
  <c r="L36" i="2" s="1"/>
  <c r="M36" i="2" s="1"/>
  <c r="M35" i="2"/>
  <c r="L35" i="2"/>
  <c r="K35" i="2"/>
  <c r="I35" i="2"/>
  <c r="G35" i="2"/>
  <c r="E35" i="2"/>
  <c r="C35" i="2"/>
  <c r="L34" i="2"/>
  <c r="M34" i="2" s="1"/>
  <c r="J34" i="2"/>
  <c r="K34" i="2" s="1"/>
  <c r="I34" i="2"/>
  <c r="G34" i="2"/>
  <c r="E34" i="2"/>
  <c r="D34" i="2"/>
  <c r="J33" i="2"/>
  <c r="K33" i="2" s="1"/>
  <c r="I33" i="2"/>
  <c r="G33" i="2"/>
  <c r="D33" i="2"/>
  <c r="L33" i="2" s="1"/>
  <c r="M33" i="2" s="1"/>
  <c r="L32" i="2"/>
  <c r="M32" i="2" s="1"/>
  <c r="K32" i="2"/>
  <c r="J32" i="2"/>
  <c r="I32" i="2"/>
  <c r="G32" i="2"/>
  <c r="D32" i="2"/>
  <c r="E32" i="2" s="1"/>
  <c r="J31" i="2"/>
  <c r="K31" i="2" s="1"/>
  <c r="I31" i="2"/>
  <c r="G31" i="2"/>
  <c r="E31" i="2"/>
  <c r="D31" i="2"/>
  <c r="L31" i="2" s="1"/>
  <c r="M31" i="2" s="1"/>
  <c r="J30" i="2"/>
  <c r="K30" i="2" s="1"/>
  <c r="I30" i="2"/>
  <c r="G30" i="2"/>
  <c r="D30" i="2"/>
  <c r="L30" i="2" s="1"/>
  <c r="M30" i="2" s="1"/>
  <c r="L29" i="2"/>
  <c r="M29" i="2" s="1"/>
  <c r="K29" i="2"/>
  <c r="J29" i="2"/>
  <c r="I29" i="2"/>
  <c r="G29" i="2"/>
  <c r="D29" i="2"/>
  <c r="E29" i="2" s="1"/>
  <c r="J28" i="2"/>
  <c r="K28" i="2" s="1"/>
  <c r="I28" i="2"/>
  <c r="G28" i="2"/>
  <c r="E28" i="2"/>
  <c r="D28" i="2"/>
  <c r="L28" i="2" s="1"/>
  <c r="M28" i="2" s="1"/>
  <c r="J27" i="2"/>
  <c r="K27" i="2" s="1"/>
  <c r="I27" i="2"/>
  <c r="G27" i="2"/>
  <c r="F27" i="2"/>
  <c r="D27" i="2"/>
  <c r="L27" i="2" s="1"/>
  <c r="M27" i="2" s="1"/>
  <c r="L26" i="2"/>
  <c r="J26" i="2"/>
  <c r="K26" i="2" s="1"/>
  <c r="I26" i="2"/>
  <c r="F26" i="2"/>
  <c r="G26" i="2" s="1"/>
  <c r="D26" i="2"/>
  <c r="E26" i="2" s="1"/>
  <c r="J25" i="2"/>
  <c r="K25" i="2" s="1"/>
  <c r="I25" i="2"/>
  <c r="F25" i="2"/>
  <c r="L25" i="2" s="1"/>
  <c r="M25" i="2" s="1"/>
  <c r="E25" i="2"/>
  <c r="D25" i="2"/>
  <c r="K24" i="2"/>
  <c r="J24" i="2"/>
  <c r="I24" i="2"/>
  <c r="F24" i="2"/>
  <c r="G24" i="2" s="1"/>
  <c r="E24" i="2"/>
  <c r="D24" i="2"/>
  <c r="L24" i="2" s="1"/>
  <c r="M24" i="2" s="1"/>
  <c r="J23" i="2"/>
  <c r="K23" i="2" s="1"/>
  <c r="I23" i="2"/>
  <c r="G23" i="2"/>
  <c r="F23" i="2"/>
  <c r="D23" i="2"/>
  <c r="L23" i="2" s="1"/>
  <c r="M23" i="2" s="1"/>
  <c r="L22" i="2"/>
  <c r="J22" i="2"/>
  <c r="K22" i="2" s="1"/>
  <c r="I22" i="2"/>
  <c r="H22" i="2"/>
  <c r="G22" i="2"/>
  <c r="D22" i="2"/>
  <c r="E22" i="2" s="1"/>
  <c r="L21" i="2"/>
  <c r="M21" i="2" s="1"/>
  <c r="K21" i="2"/>
  <c r="I21" i="2"/>
  <c r="G21" i="2"/>
  <c r="E21" i="2"/>
  <c r="L20" i="2"/>
  <c r="K20" i="2"/>
  <c r="I20" i="2"/>
  <c r="G20" i="2"/>
  <c r="E20" i="2"/>
  <c r="L19" i="2"/>
  <c r="M19" i="2" s="1"/>
  <c r="K19" i="2"/>
  <c r="I19" i="2"/>
  <c r="G19" i="2"/>
  <c r="E19" i="2"/>
  <c r="L18" i="2"/>
  <c r="K18" i="2"/>
  <c r="I18" i="2"/>
  <c r="G18" i="2"/>
  <c r="E18" i="2"/>
  <c r="L17" i="2"/>
  <c r="M17" i="2" s="1"/>
  <c r="K17" i="2"/>
  <c r="I17" i="2"/>
  <c r="G17" i="2"/>
  <c r="E17" i="2"/>
  <c r="L16" i="2"/>
  <c r="K16" i="2"/>
  <c r="I16" i="2"/>
  <c r="G16" i="2"/>
  <c r="E16" i="2"/>
  <c r="L15" i="2"/>
  <c r="M15" i="2" s="1"/>
  <c r="K15" i="2"/>
  <c r="I15" i="2"/>
  <c r="G15" i="2"/>
  <c r="E15" i="2"/>
  <c r="L14" i="2"/>
  <c r="K14" i="2"/>
  <c r="I14" i="2"/>
  <c r="G14" i="2"/>
  <c r="E14" i="2"/>
  <c r="L13" i="2"/>
  <c r="M13" i="2" s="1"/>
  <c r="K13" i="2"/>
  <c r="I13" i="2"/>
  <c r="G13" i="2"/>
  <c r="E13" i="2"/>
  <c r="L12" i="2"/>
  <c r="K12" i="2"/>
  <c r="I12" i="2"/>
  <c r="G12" i="2"/>
  <c r="E12" i="2"/>
  <c r="E9" i="2"/>
  <c r="D9" i="2"/>
  <c r="C9" i="2"/>
  <c r="M26" i="2" s="1"/>
  <c r="F3" i="2"/>
  <c r="F9" i="2" s="1"/>
  <c r="E3" i="2"/>
  <c r="M16" i="2" l="1"/>
  <c r="M12" i="2"/>
  <c r="M14" i="2"/>
  <c r="M18" i="2"/>
  <c r="M20" i="2"/>
  <c r="G25" i="2"/>
  <c r="M22" i="2"/>
  <c r="E30" i="2"/>
  <c r="E33" i="2"/>
  <c r="E23" i="2"/>
  <c r="E27" i="2"/>
  <c r="J38" i="2" l="1"/>
  <c r="K38" i="2" l="1"/>
  <c r="L38" i="2"/>
  <c r="M38" i="2" s="1"/>
</calcChain>
</file>

<file path=xl/sharedStrings.xml><?xml version="1.0" encoding="utf-8"?>
<sst xmlns="http://schemas.openxmlformats.org/spreadsheetml/2006/main" count="23" uniqueCount="20">
  <si>
    <t>CHI PHÍ CỐ ĐỊNH THÁNG</t>
    <phoneticPr fontId="0"/>
  </si>
  <si>
    <t>NGÀY TT</t>
  </si>
  <si>
    <t>DANH MỤC</t>
  </si>
  <si>
    <t>T10/2022</t>
  </si>
  <si>
    <t>T7/2025</t>
  </si>
  <si>
    <t>T3/2026</t>
  </si>
  <si>
    <t>T5/2026</t>
  </si>
  <si>
    <t xml:space="preserve">TIỀN NHÀ </t>
  </si>
  <si>
    <t>TIỀN BÃI XE</t>
  </si>
  <si>
    <t>TIỀN ĐIỆN</t>
    <phoneticPr fontId="0"/>
  </si>
  <si>
    <t>TIỀN NƯỚC</t>
    <phoneticPr fontId="0"/>
  </si>
  <si>
    <t>TIỀN WIFI</t>
    <phoneticPr fontId="0"/>
  </si>
  <si>
    <t>TIỀN LƯƠNG</t>
    <phoneticPr fontId="0"/>
  </si>
  <si>
    <t>TỔNG</t>
    <phoneticPr fontId="0"/>
  </si>
  <si>
    <t>THÁNG</t>
  </si>
  <si>
    <t>BÃI XE</t>
  </si>
  <si>
    <t>TIỀN NHÀ</t>
    <phoneticPr fontId="0"/>
  </si>
  <si>
    <t>WIFI</t>
    <phoneticPr fontId="0"/>
  </si>
  <si>
    <t>LƯƠNG</t>
    <phoneticPr fontId="0"/>
  </si>
  <si>
    <t>CHÊNH LỆCH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</si>
</sst>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¥-411]* #,##0_-;\-[$¥-411]* #,##0_-;_-[$¥-411]* &quot;-&quot;_-;_-@_-"/>
    <numFmt numFmtId="165" formatCode="mm/yyyy"/>
    <numFmt numFmtId="166" formatCode="[$¥-411]#,##0"/>
  </numFmts>
  <fonts count="15">
    <font>
      <sz val="11"/>
      <color theme="1"/>
      <name val="Arial"/>
      <family val="2"/>
      <charset val="163"/>
      <scheme val="minor"/>
    </font>
    <font>
      <sz val="12"/>
      <color theme="1"/>
      <name val="Arial"/>
      <family val="2"/>
      <charset val="128"/>
      <scheme val="minor"/>
    </font>
    <font>
      <b/>
      <sz val="15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rgb="FFFF0000"/>
      <name val="Times New Roman"/>
      <family val="1"/>
    </font>
    <font>
      <b/>
      <sz val="22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7030A0"/>
      <name val="Times New Roman"/>
      <family val="1"/>
    </font>
    <font>
      <b/>
      <sz val="18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4"/>
      <color theme="1"/>
      <name val="Times New Roman"/>
      <family val="1"/>
      <scheme val="major"/>
    </font>
    <font>
      <b/>
      <sz val="24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double">
        <color indexed="64"/>
      </right>
      <top style="medium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auto="1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3" fillId="0" borderId="0" xfId="1" applyFont="1" applyAlignment="1">
      <alignment vertical="center" shrinkToFit="1"/>
    </xf>
    <xf numFmtId="0" fontId="4" fillId="2" borderId="3" xfId="1" applyFont="1" applyFill="1" applyBorder="1" applyAlignment="1">
      <alignment horizontal="center" vertical="center" shrinkToFit="1"/>
    </xf>
    <xf numFmtId="0" fontId="2" fillId="3" borderId="4" xfId="1" applyFont="1" applyFill="1" applyBorder="1" applyAlignment="1">
      <alignment horizontal="center" vertical="center" shrinkToFit="1"/>
    </xf>
    <xf numFmtId="0" fontId="2" fillId="3" borderId="5" xfId="1" applyFont="1" applyFill="1" applyBorder="1" applyAlignment="1">
      <alignment horizontal="center" vertical="center" shrinkToFit="1"/>
    </xf>
    <xf numFmtId="0" fontId="5" fillId="2" borderId="3" xfId="1" applyFont="1" applyFill="1" applyBorder="1" applyAlignment="1">
      <alignment horizontal="center" vertical="center" shrinkToFit="1"/>
    </xf>
    <xf numFmtId="0" fontId="6" fillId="3" borderId="4" xfId="1" applyFont="1" applyFill="1" applyBorder="1" applyAlignment="1">
      <alignment vertical="center" shrinkToFit="1"/>
    </xf>
    <xf numFmtId="164" fontId="6" fillId="0" borderId="4" xfId="1" applyNumberFormat="1" applyFont="1" applyBorder="1" applyAlignment="1">
      <alignment vertical="center" shrinkToFit="1"/>
    </xf>
    <xf numFmtId="164" fontId="7" fillId="0" borderId="4" xfId="1" applyNumberFormat="1" applyFont="1" applyBorder="1" applyAlignment="1">
      <alignment vertical="center" shrinkToFit="1"/>
    </xf>
    <xf numFmtId="0" fontId="5" fillId="2" borderId="6" xfId="1" applyFont="1" applyFill="1" applyBorder="1" applyAlignment="1">
      <alignment horizontal="center" vertical="center" shrinkToFit="1"/>
    </xf>
    <xf numFmtId="0" fontId="6" fillId="3" borderId="7" xfId="1" applyFont="1" applyFill="1" applyBorder="1" applyAlignment="1">
      <alignment vertical="center" shrinkToFit="1"/>
    </xf>
    <xf numFmtId="164" fontId="6" fillId="0" borderId="7" xfId="1" applyNumberFormat="1" applyFont="1" applyBorder="1" applyAlignment="1">
      <alignment vertical="center" shrinkToFit="1"/>
    </xf>
    <xf numFmtId="164" fontId="7" fillId="0" borderId="7" xfId="1" applyNumberFormat="1" applyFont="1" applyBorder="1" applyAlignment="1">
      <alignment vertical="center" shrinkToFit="1"/>
    </xf>
    <xf numFmtId="0" fontId="8" fillId="2" borderId="8" xfId="1" applyFont="1" applyFill="1" applyBorder="1" applyAlignment="1">
      <alignment horizontal="center" vertical="center" shrinkToFit="1"/>
    </xf>
    <xf numFmtId="0" fontId="8" fillId="2" borderId="9" xfId="1" applyFont="1" applyFill="1" applyBorder="1" applyAlignment="1">
      <alignment horizontal="center" vertical="center" shrinkToFit="1"/>
    </xf>
    <xf numFmtId="164" fontId="9" fillId="2" borderId="9" xfId="1" applyNumberFormat="1" applyFont="1" applyFill="1" applyBorder="1" applyAlignment="1">
      <alignment vertical="center" shrinkToFit="1"/>
    </xf>
    <xf numFmtId="0" fontId="10" fillId="0" borderId="4" xfId="1" applyFont="1" applyBorder="1" applyAlignment="1">
      <alignment horizontal="center" vertical="center" shrinkToFit="1"/>
    </xf>
    <xf numFmtId="0" fontId="10" fillId="4" borderId="4" xfId="1" applyFont="1" applyFill="1" applyBorder="1" applyAlignment="1">
      <alignment horizontal="center" vertical="center" shrinkToFit="1"/>
    </xf>
    <xf numFmtId="0" fontId="10" fillId="5" borderId="10" xfId="1" applyFont="1" applyFill="1" applyBorder="1" applyAlignment="1">
      <alignment horizontal="center" vertical="center" shrinkToFit="1"/>
    </xf>
    <xf numFmtId="0" fontId="10" fillId="5" borderId="11" xfId="1" applyFont="1" applyFill="1" applyBorder="1" applyAlignment="1">
      <alignment horizontal="center" vertical="center" shrinkToFit="1"/>
    </xf>
    <xf numFmtId="0" fontId="10" fillId="6" borderId="10" xfId="1" applyFont="1" applyFill="1" applyBorder="1" applyAlignment="1">
      <alignment horizontal="center" vertical="center" shrinkToFit="1"/>
    </xf>
    <xf numFmtId="0" fontId="10" fillId="6" borderId="11" xfId="1" applyFont="1" applyFill="1" applyBorder="1" applyAlignment="1">
      <alignment horizontal="center" vertical="center" shrinkToFit="1"/>
    </xf>
    <xf numFmtId="0" fontId="10" fillId="7" borderId="10" xfId="1" applyFont="1" applyFill="1" applyBorder="1" applyAlignment="1">
      <alignment horizontal="center" vertical="center" shrinkToFit="1"/>
    </xf>
    <xf numFmtId="0" fontId="10" fillId="7" borderId="11" xfId="1" applyFont="1" applyFill="1" applyBorder="1" applyAlignment="1">
      <alignment horizontal="center" vertical="center" shrinkToFit="1"/>
    </xf>
    <xf numFmtId="0" fontId="10" fillId="0" borderId="10" xfId="1" applyFont="1" applyBorder="1" applyAlignment="1">
      <alignment horizontal="center" vertical="center" shrinkToFit="1"/>
    </xf>
    <xf numFmtId="0" fontId="10" fillId="0" borderId="11" xfId="1" applyFont="1" applyBorder="1" applyAlignment="1">
      <alignment horizontal="center" vertical="center" shrinkToFit="1"/>
    </xf>
    <xf numFmtId="0" fontId="11" fillId="0" borderId="4" xfId="1" applyFont="1" applyBorder="1" applyAlignment="1">
      <alignment horizontal="center" vertical="center" shrinkToFit="1"/>
    </xf>
    <xf numFmtId="0" fontId="3" fillId="0" borderId="0" xfId="1" applyFont="1" applyAlignment="1">
      <alignment horizontal="center" vertical="center" shrinkToFit="1"/>
    </xf>
    <xf numFmtId="165" fontId="3" fillId="0" borderId="4" xfId="1" applyNumberFormat="1" applyFont="1" applyBorder="1" applyAlignment="1">
      <alignment horizontal="center" vertical="center" shrinkToFit="1"/>
    </xf>
    <xf numFmtId="166" fontId="12" fillId="4" borderId="4" xfId="1" applyNumberFormat="1" applyFont="1" applyFill="1" applyBorder="1" applyAlignment="1">
      <alignment vertical="center" shrinkToFit="1"/>
    </xf>
    <xf numFmtId="166" fontId="12" fillId="5" borderId="4" xfId="1" applyNumberFormat="1" applyFont="1" applyFill="1" applyBorder="1" applyAlignment="1">
      <alignment vertical="center" shrinkToFit="1"/>
    </xf>
    <xf numFmtId="9" fontId="12" fillId="5" borderId="4" xfId="2" applyFont="1" applyFill="1" applyBorder="1" applyAlignment="1">
      <alignment vertical="center" shrinkToFit="1"/>
    </xf>
    <xf numFmtId="166" fontId="12" fillId="6" borderId="4" xfId="1" applyNumberFormat="1" applyFont="1" applyFill="1" applyBorder="1" applyAlignment="1">
      <alignment vertical="center" shrinkToFit="1"/>
    </xf>
    <xf numFmtId="9" fontId="12" fillId="6" borderId="4" xfId="2" applyFont="1" applyFill="1" applyBorder="1" applyAlignment="1">
      <alignment vertical="center" shrinkToFit="1"/>
    </xf>
    <xf numFmtId="166" fontId="12" fillId="7" borderId="4" xfId="1" applyNumberFormat="1" applyFont="1" applyFill="1" applyBorder="1" applyAlignment="1">
      <alignment vertical="center" shrinkToFit="1"/>
    </xf>
    <xf numFmtId="9" fontId="12" fillId="7" borderId="4" xfId="2" applyFont="1" applyFill="1" applyBorder="1" applyAlignment="1">
      <alignment vertical="center" shrinkToFit="1"/>
    </xf>
    <xf numFmtId="166" fontId="12" fillId="0" borderId="4" xfId="1" applyNumberFormat="1" applyFont="1" applyBorder="1" applyAlignment="1">
      <alignment vertical="center" shrinkToFit="1"/>
    </xf>
    <xf numFmtId="9" fontId="12" fillId="0" borderId="4" xfId="2" applyFont="1" applyBorder="1" applyAlignment="1">
      <alignment vertical="center" shrinkToFit="1"/>
    </xf>
    <xf numFmtId="166" fontId="6" fillId="0" borderId="4" xfId="1" applyNumberFormat="1" applyFont="1" applyBorder="1" applyAlignment="1">
      <alignment vertical="center" shrinkToFit="1"/>
    </xf>
    <xf numFmtId="9" fontId="9" fillId="0" borderId="4" xfId="2" applyFont="1" applyFill="1" applyBorder="1" applyAlignment="1">
      <alignment vertical="center" shrinkToFit="1"/>
    </xf>
    <xf numFmtId="165" fontId="3" fillId="8" borderId="4" xfId="1" applyNumberFormat="1" applyFont="1" applyFill="1" applyBorder="1" applyAlignment="1">
      <alignment horizontal="center" vertical="center" shrinkToFit="1"/>
    </xf>
    <xf numFmtId="166" fontId="12" fillId="8" borderId="4" xfId="1" applyNumberFormat="1" applyFont="1" applyFill="1" applyBorder="1" applyAlignment="1">
      <alignment vertical="center" shrinkToFit="1"/>
    </xf>
    <xf numFmtId="9" fontId="12" fillId="8" borderId="4" xfId="2" applyFont="1" applyFill="1" applyBorder="1" applyAlignment="1">
      <alignment vertical="center" shrinkToFit="1"/>
    </xf>
    <xf numFmtId="166" fontId="6" fillId="8" borderId="4" xfId="1" applyNumberFormat="1" applyFont="1" applyFill="1" applyBorder="1" applyAlignment="1">
      <alignment vertical="center" shrinkToFit="1"/>
    </xf>
    <xf numFmtId="9" fontId="9" fillId="8" borderId="4" xfId="2" applyFont="1" applyFill="1" applyBorder="1" applyAlignment="1">
      <alignment vertical="center" shrinkToFit="1"/>
    </xf>
    <xf numFmtId="166" fontId="9" fillId="0" borderId="4" xfId="1" applyNumberFormat="1" applyFont="1" applyBorder="1" applyAlignment="1">
      <alignment vertical="center" shrinkToFit="1"/>
    </xf>
    <xf numFmtId="0" fontId="13" fillId="0" borderId="0" xfId="0" applyFont="1"/>
    <xf numFmtId="0" fontId="14" fillId="9" borderId="1" xfId="1" applyFont="1" applyFill="1" applyBorder="1" applyAlignment="1">
      <alignment horizontal="center" vertical="center" shrinkToFit="1"/>
    </xf>
    <xf numFmtId="0" fontId="14" fillId="9" borderId="2" xfId="1" applyFont="1" applyFill="1" applyBorder="1" applyAlignment="1">
      <alignment horizontal="center" vertical="center" shrinkToFit="1"/>
    </xf>
  </cellXfs>
  <cellStyles count="3">
    <cellStyle name="Normal" xfId="0" builtinId="0"/>
    <cellStyle name="Normal 2" xfId="1" xr:uid="{3D61987A-A3C6-4B79-8AD7-4BE8DDEA2081}"/>
    <cellStyle name="Percent 2" xfId="2" xr:uid="{408C3530-8FF3-407B-82C6-737C415D7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VeL%20infinity\Desktop\T&#7841;p%20h&#243;a\Qu&#7843;n%20l&#253;\Thu_chi.xlsx" TargetMode="External"/><Relationship Id="rId1" Type="http://schemas.openxmlformats.org/officeDocument/2006/relationships/externalLinkPath" Target="Thu_ch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iểm toán trong ngày"/>
      <sheetName val="Chi tiết_2023_Mẫu"/>
      <sheetName val="Báo cáo tháng_Mẫu"/>
      <sheetName val="Mẫu 売り上げ"/>
      <sheetName val="Hoá đơn_2023_5"/>
      <sheetName val="2022_11"/>
      <sheetName val="2023_2"/>
      <sheetName val="2023_3"/>
      <sheetName val="2023_4"/>
      <sheetName val="2023_5"/>
      <sheetName val="2023_6"/>
      <sheetName val="2023_7"/>
      <sheetName val="2023_8"/>
      <sheetName val="2023_9"/>
      <sheetName val="2023_10"/>
      <sheetName val="Chi tiết_2023_1１"/>
      <sheetName val="2023_11"/>
      <sheetName val="Chi tiết_2023_12"/>
      <sheetName val="2023_12"/>
      <sheetName val="2024_1"/>
      <sheetName val="2024_2"/>
      <sheetName val="2024_3"/>
      <sheetName val="2024_4"/>
      <sheetName val="2024_5"/>
      <sheetName val="2024_6"/>
      <sheetName val="2024_7"/>
      <sheetName val="2024_8"/>
      <sheetName val="2024_9"/>
      <sheetName val="2024_10"/>
      <sheetName val="2024_11"/>
      <sheetName val="2024_12"/>
      <sheetName val="2025_1"/>
      <sheetName val="2025_2"/>
      <sheetName val="2025_3"/>
      <sheetName val="2025_4"/>
      <sheetName val="2025_5"/>
      <sheetName val="2025_6"/>
      <sheetName val="2025_7"/>
      <sheetName val="2025_8"/>
      <sheetName val="2025_9"/>
      <sheetName val="2025_10"/>
      <sheetName val="2025_11"/>
      <sheetName val="2025_12"/>
      <sheetName val="2026_1"/>
      <sheetName val="2026_2"/>
      <sheetName val="2026_3"/>
      <sheetName val="2026_4"/>
      <sheetName val="Chi phí quán mới"/>
      <sheetName val="2026_5"/>
      <sheetName val="2026_6"/>
      <sheetName val="Chi phí tháng"/>
      <sheetName val="Bảng lợi nhuậ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6">
          <cell r="L16">
            <v>963800</v>
          </cell>
        </row>
      </sheetData>
      <sheetData sheetId="33">
        <row r="16">
          <cell r="L16">
            <v>976776</v>
          </cell>
        </row>
      </sheetData>
      <sheetData sheetId="34">
        <row r="9">
          <cell r="J9">
            <v>954902</v>
          </cell>
        </row>
      </sheetData>
      <sheetData sheetId="35">
        <row r="16">
          <cell r="T16">
            <v>999600</v>
          </cell>
        </row>
      </sheetData>
      <sheetData sheetId="36">
        <row r="16">
          <cell r="T16">
            <v>968900</v>
          </cell>
        </row>
      </sheetData>
      <sheetData sheetId="37">
        <row r="16">
          <cell r="T16">
            <v>1003700</v>
          </cell>
        </row>
        <row r="19">
          <cell r="S19">
            <v>60000</v>
          </cell>
        </row>
      </sheetData>
      <sheetData sheetId="38">
        <row r="16">
          <cell r="T16">
            <v>1060000</v>
          </cell>
        </row>
        <row r="19">
          <cell r="S19">
            <v>70000</v>
          </cell>
        </row>
      </sheetData>
      <sheetData sheetId="39">
        <row r="8">
          <cell r="R8">
            <v>924450</v>
          </cell>
        </row>
      </sheetData>
      <sheetData sheetId="40">
        <row r="8">
          <cell r="R8">
            <v>949050</v>
          </cell>
        </row>
      </sheetData>
      <sheetData sheetId="41">
        <row r="16">
          <cell r="T16">
            <v>885150</v>
          </cell>
        </row>
        <row r="19">
          <cell r="S19">
            <v>52000</v>
          </cell>
        </row>
      </sheetData>
      <sheetData sheetId="42">
        <row r="16">
          <cell r="T16">
            <v>969600</v>
          </cell>
        </row>
        <row r="19">
          <cell r="S19">
            <v>65000</v>
          </cell>
        </row>
      </sheetData>
      <sheetData sheetId="43">
        <row r="16">
          <cell r="S16">
            <v>934375</v>
          </cell>
        </row>
        <row r="19">
          <cell r="R19">
            <v>45500</v>
          </cell>
        </row>
      </sheetData>
      <sheetData sheetId="44">
        <row r="16">
          <cell r="S16">
            <v>927050</v>
          </cell>
        </row>
        <row r="19">
          <cell r="R19">
            <v>65000</v>
          </cell>
        </row>
      </sheetData>
      <sheetData sheetId="45"/>
      <sheetData sheetId="46"/>
      <sheetData sheetId="47"/>
      <sheetData sheetId="48"/>
      <sheetData sheetId="49">
        <row r="8">
          <cell r="T8">
            <v>1402400</v>
          </cell>
        </row>
      </sheetData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C69D-B60C-433C-83D2-BD7C1B7B0F44}">
  <dimension ref="A1:M95"/>
  <sheetViews>
    <sheetView tabSelected="1" workbookViewId="0">
      <pane xSplit="8" ySplit="12" topLeftCell="I13" activePane="bottomRight" state="frozen"/>
      <selection pane="topRight" activeCell="H1" sqref="H1"/>
      <selection pane="bottomLeft" activeCell="A13" sqref="A13"/>
      <selection pane="bottomRight" activeCell="H5" sqref="H5"/>
    </sheetView>
  </sheetViews>
  <sheetFormatPr defaultColWidth="17" defaultRowHeight="26.1" customHeight="1"/>
  <cols>
    <col min="1" max="1" width="12.296875" style="1" customWidth="1"/>
    <col min="2" max="16384" width="17" style="1"/>
  </cols>
  <sheetData>
    <row r="1" spans="1:13" ht="35.4" customHeight="1" thickBot="1">
      <c r="A1" s="47" t="s">
        <v>0</v>
      </c>
      <c r="B1" s="48"/>
      <c r="C1" s="48"/>
      <c r="D1" s="48"/>
      <c r="E1" s="48"/>
      <c r="F1" s="48"/>
    </row>
    <row r="2" spans="1:13" ht="26.1" customHeight="1" thickTop="1" thickBot="1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</row>
    <row r="3" spans="1:13" ht="26.1" customHeight="1" thickTop="1" thickBot="1">
      <c r="A3" s="5">
        <v>29</v>
      </c>
      <c r="B3" s="6" t="s">
        <v>7</v>
      </c>
      <c r="C3" s="7">
        <v>132000</v>
      </c>
      <c r="D3" s="8">
        <v>192000</v>
      </c>
      <c r="E3" s="8">
        <f>192000+60000</f>
        <v>252000</v>
      </c>
      <c r="F3" s="7">
        <f>192000+60000</f>
        <v>252000</v>
      </c>
    </row>
    <row r="4" spans="1:13" ht="26.1" customHeight="1" thickTop="1" thickBot="1">
      <c r="A4" s="5">
        <v>29</v>
      </c>
      <c r="B4" s="6" t="s">
        <v>8</v>
      </c>
      <c r="C4" s="7">
        <v>13000</v>
      </c>
      <c r="D4" s="8">
        <v>26000</v>
      </c>
      <c r="E4" s="7">
        <v>26000</v>
      </c>
      <c r="F4" s="7">
        <v>26000</v>
      </c>
    </row>
    <row r="5" spans="1:13" ht="30" customHeight="1" thickTop="1" thickBot="1">
      <c r="A5" s="5">
        <v>17</v>
      </c>
      <c r="B5" s="6" t="s">
        <v>9</v>
      </c>
      <c r="C5" s="7">
        <v>60000</v>
      </c>
      <c r="D5" s="8">
        <v>70000</v>
      </c>
      <c r="E5" s="8">
        <v>90000</v>
      </c>
      <c r="F5" s="7">
        <v>90000</v>
      </c>
    </row>
    <row r="6" spans="1:13" ht="26.1" customHeight="1" thickTop="1" thickBot="1">
      <c r="A6" s="5">
        <v>17</v>
      </c>
      <c r="B6" s="6" t="s">
        <v>10</v>
      </c>
      <c r="C6" s="7">
        <v>6000</v>
      </c>
      <c r="D6" s="7">
        <v>5000</v>
      </c>
      <c r="E6" s="7">
        <v>4500</v>
      </c>
      <c r="F6" s="7">
        <v>4500</v>
      </c>
    </row>
    <row r="7" spans="1:13" ht="26.1" customHeight="1" thickTop="1" thickBot="1">
      <c r="A7" s="5">
        <v>25</v>
      </c>
      <c r="B7" s="6" t="s">
        <v>11</v>
      </c>
      <c r="C7" s="7">
        <v>6080</v>
      </c>
      <c r="D7" s="7">
        <v>6080</v>
      </c>
      <c r="E7" s="7">
        <v>6080</v>
      </c>
      <c r="F7" s="7">
        <v>6080</v>
      </c>
    </row>
    <row r="8" spans="1:13" ht="26.1" customHeight="1" thickTop="1" thickBot="1">
      <c r="A8" s="9">
        <v>10</v>
      </c>
      <c r="B8" s="10" t="s">
        <v>12</v>
      </c>
      <c r="C8" s="11">
        <v>800000</v>
      </c>
      <c r="D8" s="12">
        <v>900000</v>
      </c>
      <c r="E8" s="12">
        <v>1100000</v>
      </c>
      <c r="F8" s="12">
        <v>1400000</v>
      </c>
    </row>
    <row r="9" spans="1:13" ht="26.1" customHeight="1" thickBot="1">
      <c r="A9" s="13" t="s">
        <v>13</v>
      </c>
      <c r="B9" s="14"/>
      <c r="C9" s="15">
        <f>SUM(C3:C8)</f>
        <v>1017080</v>
      </c>
      <c r="D9" s="15">
        <f>SUM(D3:D8)</f>
        <v>1199080</v>
      </c>
      <c r="E9" s="15">
        <f>SUM(E3:E8)</f>
        <v>1478580</v>
      </c>
      <c r="F9" s="15">
        <f>SUM(F3:F8)</f>
        <v>1778580</v>
      </c>
    </row>
    <row r="10" spans="1:13" ht="26.1" customHeight="1" thickBot="1"/>
    <row r="11" spans="1:13" s="27" customFormat="1" ht="26.1" customHeight="1" thickTop="1" thickBot="1">
      <c r="A11" s="16" t="s">
        <v>14</v>
      </c>
      <c r="B11" s="17" t="s">
        <v>15</v>
      </c>
      <c r="C11" s="17" t="s">
        <v>16</v>
      </c>
      <c r="D11" s="18" t="s">
        <v>9</v>
      </c>
      <c r="E11" s="19"/>
      <c r="F11" s="20" t="s">
        <v>10</v>
      </c>
      <c r="G11" s="21"/>
      <c r="H11" s="22" t="s">
        <v>17</v>
      </c>
      <c r="I11" s="23"/>
      <c r="J11" s="24" t="s">
        <v>18</v>
      </c>
      <c r="K11" s="25"/>
      <c r="L11" s="16" t="s">
        <v>13</v>
      </c>
      <c r="M11" s="26" t="s">
        <v>19</v>
      </c>
    </row>
    <row r="12" spans="1:13" ht="26.1" customHeight="1" thickTop="1" thickBot="1">
      <c r="A12" s="28">
        <v>45383</v>
      </c>
      <c r="B12" s="29">
        <v>13000</v>
      </c>
      <c r="C12" s="29">
        <v>132000</v>
      </c>
      <c r="D12" s="30">
        <v>76953</v>
      </c>
      <c r="E12" s="31">
        <f>D12/$C$5</f>
        <v>1.2825500000000001</v>
      </c>
      <c r="F12" s="32">
        <v>6319</v>
      </c>
      <c r="G12" s="33">
        <f>F12/$C$6</f>
        <v>1.0531666666666666</v>
      </c>
      <c r="H12" s="34">
        <v>11000</v>
      </c>
      <c r="I12" s="35">
        <f>H12/$C$7</f>
        <v>1.8092105263157894</v>
      </c>
      <c r="J12" s="36">
        <v>810750</v>
      </c>
      <c r="K12" s="37">
        <f>J12/$C$8</f>
        <v>1.0134375</v>
      </c>
      <c r="L12" s="38">
        <f>SUM(B12,C12,D12,F12,H12,J12)</f>
        <v>1050022</v>
      </c>
      <c r="M12" s="39">
        <f>L12/$C$9</f>
        <v>1.0323887993078225</v>
      </c>
    </row>
    <row r="13" spans="1:13" ht="26.1" customHeight="1" thickTop="1" thickBot="1">
      <c r="A13" s="28">
        <v>45413</v>
      </c>
      <c r="B13" s="29">
        <v>13000</v>
      </c>
      <c r="C13" s="29">
        <v>132000</v>
      </c>
      <c r="D13" s="30">
        <v>83514</v>
      </c>
      <c r="E13" s="31">
        <f>D13/$C$5</f>
        <v>1.3918999999999999</v>
      </c>
      <c r="F13" s="32">
        <v>6300</v>
      </c>
      <c r="G13" s="33">
        <f>F13/$C$6</f>
        <v>1.05</v>
      </c>
      <c r="H13" s="34">
        <v>10698</v>
      </c>
      <c r="I13" s="35">
        <f>H13/$C$7</f>
        <v>1.7595394736842105</v>
      </c>
      <c r="J13" s="36">
        <v>790950</v>
      </c>
      <c r="K13" s="37">
        <f>J13/$C$8</f>
        <v>0.98868750000000005</v>
      </c>
      <c r="L13" s="38">
        <f t="shared" ref="L13:L76" si="0">SUM(B13,C13,D13,F13,H13,J13)</f>
        <v>1036462</v>
      </c>
      <c r="M13" s="39">
        <f>L13/$C$9</f>
        <v>1.0190565147284383</v>
      </c>
    </row>
    <row r="14" spans="1:13" ht="26.1" customHeight="1" thickTop="1" thickBot="1">
      <c r="A14" s="28">
        <v>45444</v>
      </c>
      <c r="B14" s="29">
        <v>13000</v>
      </c>
      <c r="C14" s="29">
        <v>132000</v>
      </c>
      <c r="D14" s="30">
        <v>121017</v>
      </c>
      <c r="E14" s="31">
        <f>D14/$C$5</f>
        <v>2.01695</v>
      </c>
      <c r="F14" s="32">
        <v>6308</v>
      </c>
      <c r="G14" s="33">
        <f>F14/$C$6</f>
        <v>1.0513333333333332</v>
      </c>
      <c r="H14" s="34">
        <v>10698</v>
      </c>
      <c r="I14" s="35">
        <f>H14/$C$7</f>
        <v>1.7595394736842105</v>
      </c>
      <c r="J14" s="36">
        <v>776600</v>
      </c>
      <c r="K14" s="37">
        <f>J14/$C$8</f>
        <v>0.97075</v>
      </c>
      <c r="L14" s="38">
        <f t="shared" si="0"/>
        <v>1059623</v>
      </c>
      <c r="M14" s="39">
        <f>L14/$C$9</f>
        <v>1.0418285680575765</v>
      </c>
    </row>
    <row r="15" spans="1:13" ht="26.1" customHeight="1" thickTop="1" thickBot="1">
      <c r="A15" s="28">
        <v>45474</v>
      </c>
      <c r="B15" s="29">
        <v>13000</v>
      </c>
      <c r="C15" s="29">
        <v>132000</v>
      </c>
      <c r="D15" s="30">
        <v>160840</v>
      </c>
      <c r="E15" s="31">
        <f>D15/$C$5</f>
        <v>2.6806666666666668</v>
      </c>
      <c r="F15" s="32">
        <v>6308</v>
      </c>
      <c r="G15" s="33">
        <f>F15/$C$6</f>
        <v>1.0513333333333332</v>
      </c>
      <c r="H15" s="34">
        <v>10698</v>
      </c>
      <c r="I15" s="35">
        <f>H15/$C$7</f>
        <v>1.7595394736842105</v>
      </c>
      <c r="J15" s="36">
        <v>858800</v>
      </c>
      <c r="K15" s="37">
        <f>J15/$C$8</f>
        <v>1.0734999999999999</v>
      </c>
      <c r="L15" s="38">
        <f t="shared" si="0"/>
        <v>1181646</v>
      </c>
      <c r="M15" s="39">
        <f>L15/$C$9</f>
        <v>1.161802414755968</v>
      </c>
    </row>
    <row r="16" spans="1:13" ht="26.1" customHeight="1" thickTop="1" thickBot="1">
      <c r="A16" s="28">
        <v>45505</v>
      </c>
      <c r="B16" s="29">
        <v>13000</v>
      </c>
      <c r="C16" s="29">
        <v>132000</v>
      </c>
      <c r="D16" s="30">
        <v>120441</v>
      </c>
      <c r="E16" s="31">
        <f>D16/$C$5</f>
        <v>2.0073500000000002</v>
      </c>
      <c r="F16" s="32">
        <v>6308</v>
      </c>
      <c r="G16" s="33">
        <f>F16/$C$6</f>
        <v>1.0513333333333332</v>
      </c>
      <c r="H16" s="34">
        <v>10698</v>
      </c>
      <c r="I16" s="35">
        <f>H16/$C$7</f>
        <v>1.7595394736842105</v>
      </c>
      <c r="J16" s="36">
        <v>847500</v>
      </c>
      <c r="K16" s="37">
        <f>J16/$C$8</f>
        <v>1.059375</v>
      </c>
      <c r="L16" s="38">
        <f t="shared" si="0"/>
        <v>1129947</v>
      </c>
      <c r="M16" s="39">
        <f>L16/$C$9</f>
        <v>1.110971604986825</v>
      </c>
    </row>
    <row r="17" spans="1:13" ht="26.1" customHeight="1" thickTop="1" thickBot="1">
      <c r="A17" s="28">
        <v>45536</v>
      </c>
      <c r="B17" s="29">
        <v>13000</v>
      </c>
      <c r="C17" s="29">
        <v>132000</v>
      </c>
      <c r="D17" s="30">
        <v>140141</v>
      </c>
      <c r="E17" s="31">
        <f>D17/$C$5</f>
        <v>2.3356833333333333</v>
      </c>
      <c r="F17" s="32">
        <v>6308</v>
      </c>
      <c r="G17" s="33">
        <f>F17/$C$6</f>
        <v>1.0513333333333332</v>
      </c>
      <c r="H17" s="34">
        <v>10698</v>
      </c>
      <c r="I17" s="35">
        <f>H17/$C$7</f>
        <v>1.7595394736842105</v>
      </c>
      <c r="J17" s="36">
        <v>957500</v>
      </c>
      <c r="K17" s="37">
        <f>J17/$C$8</f>
        <v>1.1968749999999999</v>
      </c>
      <c r="L17" s="38">
        <f t="shared" si="0"/>
        <v>1259647</v>
      </c>
      <c r="M17" s="39">
        <f>L17/$C$9</f>
        <v>1.2384935304990758</v>
      </c>
    </row>
    <row r="18" spans="1:13" ht="26.1" customHeight="1" thickTop="1" thickBot="1">
      <c r="A18" s="28">
        <v>45566</v>
      </c>
      <c r="B18" s="29">
        <v>13000</v>
      </c>
      <c r="C18" s="29">
        <v>132000</v>
      </c>
      <c r="D18" s="30">
        <v>98451</v>
      </c>
      <c r="E18" s="31">
        <f>D18/$C$5</f>
        <v>1.6408499999999999</v>
      </c>
      <c r="F18" s="32">
        <v>6308</v>
      </c>
      <c r="G18" s="33">
        <f>F18/$C$6</f>
        <v>1.0513333333333332</v>
      </c>
      <c r="H18" s="34">
        <v>10698</v>
      </c>
      <c r="I18" s="35">
        <f>H18/$C$7</f>
        <v>1.7595394736842105</v>
      </c>
      <c r="J18" s="36">
        <v>986930</v>
      </c>
      <c r="K18" s="37">
        <f>J18/$C$8</f>
        <v>1.2336625000000001</v>
      </c>
      <c r="L18" s="38">
        <f t="shared" si="0"/>
        <v>1247387</v>
      </c>
      <c r="M18" s="39">
        <f>L18/$C$9</f>
        <v>1.2264394147952964</v>
      </c>
    </row>
    <row r="19" spans="1:13" ht="26.1" customHeight="1" thickTop="1" thickBot="1">
      <c r="A19" s="28">
        <v>45597</v>
      </c>
      <c r="B19" s="29">
        <v>13000</v>
      </c>
      <c r="C19" s="29">
        <v>132000</v>
      </c>
      <c r="D19" s="30">
        <v>90451</v>
      </c>
      <c r="E19" s="31">
        <f>D19/$C$5</f>
        <v>1.5075166666666666</v>
      </c>
      <c r="F19" s="32">
        <v>6308</v>
      </c>
      <c r="G19" s="33">
        <f>F19/$C$6</f>
        <v>1.0513333333333332</v>
      </c>
      <c r="H19" s="34">
        <v>10698</v>
      </c>
      <c r="I19" s="35">
        <f>H19/$C$7</f>
        <v>1.7595394736842105</v>
      </c>
      <c r="J19" s="36">
        <v>1093110</v>
      </c>
      <c r="K19" s="37">
        <f>J19/$C$8</f>
        <v>1.3663875000000001</v>
      </c>
      <c r="L19" s="38">
        <f t="shared" si="0"/>
        <v>1345567</v>
      </c>
      <c r="M19" s="39">
        <f>L19/$C$9</f>
        <v>1.3229706611082708</v>
      </c>
    </row>
    <row r="20" spans="1:13" ht="26.1" customHeight="1" thickTop="1" thickBot="1">
      <c r="A20" s="28">
        <v>45627</v>
      </c>
      <c r="B20" s="29">
        <v>13000</v>
      </c>
      <c r="C20" s="29">
        <v>132000</v>
      </c>
      <c r="D20" s="30">
        <v>70641</v>
      </c>
      <c r="E20" s="31">
        <f>D20/$C$5</f>
        <v>1.1773499999999999</v>
      </c>
      <c r="F20" s="32">
        <v>6308</v>
      </c>
      <c r="G20" s="33">
        <f>F20/$C$6</f>
        <v>1.0513333333333332</v>
      </c>
      <c r="H20" s="34">
        <v>10698</v>
      </c>
      <c r="I20" s="35">
        <f>H20/$C$7</f>
        <v>1.7595394736842105</v>
      </c>
      <c r="J20" s="36">
        <v>980050</v>
      </c>
      <c r="K20" s="37">
        <f>J20/$C$8</f>
        <v>1.2250624999999999</v>
      </c>
      <c r="L20" s="38">
        <f t="shared" si="0"/>
        <v>1212697</v>
      </c>
      <c r="M20" s="39">
        <f>L20/$C$9</f>
        <v>1.1923319699531993</v>
      </c>
    </row>
    <row r="21" spans="1:13" ht="26.1" customHeight="1" thickTop="1" thickBot="1">
      <c r="A21" s="28">
        <v>45658</v>
      </c>
      <c r="B21" s="29">
        <v>13000</v>
      </c>
      <c r="C21" s="29">
        <v>132000</v>
      </c>
      <c r="D21" s="30">
        <v>68488</v>
      </c>
      <c r="E21" s="31">
        <f>D21/$C$5</f>
        <v>1.1414666666666666</v>
      </c>
      <c r="F21" s="32">
        <v>6308</v>
      </c>
      <c r="G21" s="33">
        <f>F21/$C$6</f>
        <v>1.0513333333333332</v>
      </c>
      <c r="H21" s="34">
        <v>10698</v>
      </c>
      <c r="I21" s="35">
        <f>H21/$C$7</f>
        <v>1.7595394736842105</v>
      </c>
      <c r="J21" s="36">
        <v>1008000</v>
      </c>
      <c r="K21" s="37">
        <f>J21/$C$8</f>
        <v>1.26</v>
      </c>
      <c r="L21" s="38">
        <f t="shared" si="0"/>
        <v>1238494</v>
      </c>
      <c r="M21" s="39">
        <f>L21/$C$9</f>
        <v>1.2176957564793329</v>
      </c>
    </row>
    <row r="22" spans="1:13" ht="26.1" customHeight="1" thickTop="1" thickBot="1">
      <c r="A22" s="28">
        <v>45689</v>
      </c>
      <c r="B22" s="29">
        <v>13000</v>
      </c>
      <c r="C22" s="29">
        <v>132000</v>
      </c>
      <c r="D22" s="30">
        <f>23466+26297</f>
        <v>49763</v>
      </c>
      <c r="E22" s="31">
        <f>D22/$C$5</f>
        <v>0.82938333333333336</v>
      </c>
      <c r="F22" s="32">
        <v>6308</v>
      </c>
      <c r="G22" s="33">
        <f>F22/$C$6</f>
        <v>1.0513333333333332</v>
      </c>
      <c r="H22" s="34">
        <f>6080</f>
        <v>6080</v>
      </c>
      <c r="I22" s="35">
        <f>H22/$C$7</f>
        <v>1</v>
      </c>
      <c r="J22" s="36">
        <f>'[1]2025_2'!L16</f>
        <v>963800</v>
      </c>
      <c r="K22" s="37">
        <f>J22/$C$8</f>
        <v>1.20475</v>
      </c>
      <c r="L22" s="38">
        <f t="shared" si="0"/>
        <v>1170951</v>
      </c>
      <c r="M22" s="39">
        <f>L22/$C$9</f>
        <v>1.1512870177370511</v>
      </c>
    </row>
    <row r="23" spans="1:13" ht="26.1" customHeight="1" thickTop="1" thickBot="1">
      <c r="A23" s="28">
        <v>45717</v>
      </c>
      <c r="B23" s="29">
        <v>13000</v>
      </c>
      <c r="C23" s="29">
        <v>132000</v>
      </c>
      <c r="D23" s="30">
        <f>21714+26683</f>
        <v>48397</v>
      </c>
      <c r="E23" s="31">
        <f>D23/$C$5</f>
        <v>0.80661666666666665</v>
      </c>
      <c r="F23" s="32">
        <f>2890+3396</f>
        <v>6286</v>
      </c>
      <c r="G23" s="33">
        <f>F23/$C$6</f>
        <v>1.0476666666666667</v>
      </c>
      <c r="H23" s="34">
        <v>6080</v>
      </c>
      <c r="I23" s="35">
        <f>H23/$C$7</f>
        <v>1</v>
      </c>
      <c r="J23" s="36">
        <f>'[1]2025_3'!L16</f>
        <v>976776</v>
      </c>
      <c r="K23" s="37">
        <f>J23/$C$8</f>
        <v>1.2209700000000001</v>
      </c>
      <c r="L23" s="38">
        <f t="shared" si="0"/>
        <v>1182539</v>
      </c>
      <c r="M23" s="39">
        <f>L23/$C$9</f>
        <v>1.1626804184528257</v>
      </c>
    </row>
    <row r="24" spans="1:13" ht="26.1" customHeight="1" thickTop="1" thickBot="1">
      <c r="A24" s="28">
        <v>45748</v>
      </c>
      <c r="B24" s="29">
        <v>13000</v>
      </c>
      <c r="C24" s="29">
        <v>132000</v>
      </c>
      <c r="D24" s="30">
        <f>38673+29311</f>
        <v>67984</v>
      </c>
      <c r="E24" s="31">
        <f>D24/$C$5</f>
        <v>1.1330666666666667</v>
      </c>
      <c r="F24" s="32">
        <f>2890+3396</f>
        <v>6286</v>
      </c>
      <c r="G24" s="33">
        <f>F24/$C$6</f>
        <v>1.0476666666666667</v>
      </c>
      <c r="H24" s="34">
        <v>6080</v>
      </c>
      <c r="I24" s="35">
        <f>H24/$C$7</f>
        <v>1</v>
      </c>
      <c r="J24" s="36">
        <f>'[1]2025_4'!J9</f>
        <v>954902</v>
      </c>
      <c r="K24" s="37">
        <f>J24/$C$8</f>
        <v>1.1936275000000001</v>
      </c>
      <c r="L24" s="38">
        <f t="shared" si="0"/>
        <v>1180252</v>
      </c>
      <c r="M24" s="39">
        <f>L24/$C$9</f>
        <v>1.1604318244385889</v>
      </c>
    </row>
    <row r="25" spans="1:13" ht="26.1" customHeight="1" thickTop="1" thickBot="1">
      <c r="A25" s="28">
        <v>45778</v>
      </c>
      <c r="B25" s="29">
        <v>13000</v>
      </c>
      <c r="C25" s="29">
        <v>132000</v>
      </c>
      <c r="D25" s="30">
        <f>36798+47376</f>
        <v>84174</v>
      </c>
      <c r="E25" s="31">
        <f>D25/$C$5</f>
        <v>1.4029</v>
      </c>
      <c r="F25" s="32">
        <f t="shared" ref="F25:F27" si="1">2890+3396</f>
        <v>6286</v>
      </c>
      <c r="G25" s="33">
        <f>F25/$C$6</f>
        <v>1.0476666666666667</v>
      </c>
      <c r="H25" s="34">
        <v>6080</v>
      </c>
      <c r="I25" s="35">
        <f>H25/$C$7</f>
        <v>1</v>
      </c>
      <c r="J25" s="36">
        <f>'[1]2025_5'!T16</f>
        <v>999600</v>
      </c>
      <c r="K25" s="37">
        <f>J25/$C$8</f>
        <v>1.2495000000000001</v>
      </c>
      <c r="L25" s="38">
        <f t="shared" si="0"/>
        <v>1241140</v>
      </c>
      <c r="M25" s="39">
        <f>L25/$C$9</f>
        <v>1.2202973217446023</v>
      </c>
    </row>
    <row r="26" spans="1:13" ht="26.1" customHeight="1" thickTop="1" thickBot="1">
      <c r="A26" s="28">
        <v>45809</v>
      </c>
      <c r="B26" s="29">
        <v>13000</v>
      </c>
      <c r="C26" s="29">
        <v>132000</v>
      </c>
      <c r="D26" s="30">
        <f>46537+45857</f>
        <v>92394</v>
      </c>
      <c r="E26" s="31">
        <f>D26/$C$5</f>
        <v>1.5399</v>
      </c>
      <c r="F26" s="32">
        <f t="shared" si="1"/>
        <v>6286</v>
      </c>
      <c r="G26" s="33">
        <f>F26/$C$6</f>
        <v>1.0476666666666667</v>
      </c>
      <c r="H26" s="34">
        <v>6080</v>
      </c>
      <c r="I26" s="35">
        <f>H26/$C$7</f>
        <v>1</v>
      </c>
      <c r="J26" s="36">
        <f>'[1]2025_6'!T16</f>
        <v>968900</v>
      </c>
      <c r="K26" s="37">
        <f>J26/$C$8</f>
        <v>1.211125</v>
      </c>
      <c r="L26" s="38">
        <f t="shared" si="0"/>
        <v>1218660</v>
      </c>
      <c r="M26" s="39">
        <f>L26/$C$9</f>
        <v>1.1981948322649152</v>
      </c>
    </row>
    <row r="27" spans="1:13" ht="26.1" customHeight="1" thickTop="1" thickBot="1">
      <c r="A27" s="40">
        <v>45839</v>
      </c>
      <c r="B27" s="41">
        <v>26000</v>
      </c>
      <c r="C27" s="41">
        <v>192000</v>
      </c>
      <c r="D27" s="41">
        <f>60876+76936</f>
        <v>137812</v>
      </c>
      <c r="E27" s="42">
        <f>D27/$D$5</f>
        <v>1.9687428571428571</v>
      </c>
      <c r="F27" s="41">
        <f t="shared" si="1"/>
        <v>6286</v>
      </c>
      <c r="G27" s="42">
        <f>F27/$D$6</f>
        <v>1.2572000000000001</v>
      </c>
      <c r="H27" s="41">
        <v>6080</v>
      </c>
      <c r="I27" s="42">
        <f>H27/$D$7</f>
        <v>1</v>
      </c>
      <c r="J27" s="41">
        <f>'[1]2025_7'!T16+'[1]2025_7'!S19</f>
        <v>1063700</v>
      </c>
      <c r="K27" s="42">
        <f>J27/$D$8</f>
        <v>1.181888888888889</v>
      </c>
      <c r="L27" s="43">
        <f t="shared" si="0"/>
        <v>1431878</v>
      </c>
      <c r="M27" s="44">
        <f>L27/$D$9</f>
        <v>1.1941471795042866</v>
      </c>
    </row>
    <row r="28" spans="1:13" ht="26.1" customHeight="1" thickTop="1" thickBot="1">
      <c r="A28" s="28">
        <v>45870</v>
      </c>
      <c r="B28" s="29">
        <v>26000</v>
      </c>
      <c r="C28" s="29">
        <v>192000</v>
      </c>
      <c r="D28" s="30">
        <f>79626+58727</f>
        <v>138353</v>
      </c>
      <c r="E28" s="31">
        <f t="shared" ref="E28:E34" si="2">D28/$D$5</f>
        <v>1.9764714285714287</v>
      </c>
      <c r="F28" s="32">
        <v>3143</v>
      </c>
      <c r="G28" s="33">
        <f t="shared" ref="G28:G33" si="3">F28/$D$6</f>
        <v>0.62860000000000005</v>
      </c>
      <c r="H28" s="34">
        <v>6080</v>
      </c>
      <c r="I28" s="35">
        <f t="shared" ref="I28:I37" si="4">H28/$D$7</f>
        <v>1</v>
      </c>
      <c r="J28" s="36">
        <f>'[1]2025_8'!T16+'[1]2025_8'!S19</f>
        <v>1130000</v>
      </c>
      <c r="K28" s="37">
        <f t="shared" ref="K28:K34" si="5">J28/$D$8</f>
        <v>1.2555555555555555</v>
      </c>
      <c r="L28" s="38">
        <f t="shared" si="0"/>
        <v>1495576</v>
      </c>
      <c r="M28" s="39">
        <f t="shared" ref="M28:M34" si="6">L28/$D$9</f>
        <v>1.2472695733395602</v>
      </c>
    </row>
    <row r="29" spans="1:13" ht="26.1" customHeight="1" thickTop="1" thickBot="1">
      <c r="A29" s="28">
        <v>45901</v>
      </c>
      <c r="B29" s="29">
        <v>26000</v>
      </c>
      <c r="C29" s="29">
        <v>192000</v>
      </c>
      <c r="D29" s="30">
        <f>79626+58727</f>
        <v>138353</v>
      </c>
      <c r="E29" s="31">
        <f t="shared" si="2"/>
        <v>1.9764714285714287</v>
      </c>
      <c r="F29" s="32">
        <v>3143</v>
      </c>
      <c r="G29" s="33">
        <f t="shared" si="3"/>
        <v>0.62860000000000005</v>
      </c>
      <c r="H29" s="34">
        <v>6080</v>
      </c>
      <c r="I29" s="35">
        <f t="shared" si="4"/>
        <v>1</v>
      </c>
      <c r="J29" s="36">
        <f>'[1]2025_9'!R8</f>
        <v>924450</v>
      </c>
      <c r="K29" s="37">
        <f t="shared" si="5"/>
        <v>1.0271666666666666</v>
      </c>
      <c r="L29" s="38">
        <f t="shared" si="0"/>
        <v>1290026</v>
      </c>
      <c r="M29" s="39">
        <f t="shared" si="6"/>
        <v>1.0758464823030991</v>
      </c>
    </row>
    <row r="30" spans="1:13" ht="26.1" customHeight="1" thickTop="1" thickBot="1">
      <c r="A30" s="28">
        <v>45931</v>
      </c>
      <c r="B30" s="29">
        <v>26000</v>
      </c>
      <c r="C30" s="29">
        <v>192000</v>
      </c>
      <c r="D30" s="30">
        <f>46075+38086</f>
        <v>84161</v>
      </c>
      <c r="E30" s="31">
        <f t="shared" si="2"/>
        <v>1.2022999999999999</v>
      </c>
      <c r="F30" s="32">
        <v>3143</v>
      </c>
      <c r="G30" s="33">
        <f t="shared" si="3"/>
        <v>0.62860000000000005</v>
      </c>
      <c r="H30" s="34">
        <v>6080</v>
      </c>
      <c r="I30" s="35">
        <f t="shared" si="4"/>
        <v>1</v>
      </c>
      <c r="J30" s="36">
        <f>'[1]2025_10'!R8</f>
        <v>949050</v>
      </c>
      <c r="K30" s="37">
        <f t="shared" si="5"/>
        <v>1.0545</v>
      </c>
      <c r="L30" s="38">
        <f t="shared" si="0"/>
        <v>1260434</v>
      </c>
      <c r="M30" s="39">
        <f t="shared" si="6"/>
        <v>1.0511675617973779</v>
      </c>
    </row>
    <row r="31" spans="1:13" ht="26.1" customHeight="1" thickTop="1" thickBot="1">
      <c r="A31" s="28">
        <v>45962</v>
      </c>
      <c r="B31" s="29">
        <v>26000</v>
      </c>
      <c r="C31" s="29">
        <v>192000</v>
      </c>
      <c r="D31" s="30">
        <f t="shared" ref="D31:D34" si="7">46075+38086</f>
        <v>84161</v>
      </c>
      <c r="E31" s="31">
        <f t="shared" si="2"/>
        <v>1.2022999999999999</v>
      </c>
      <c r="F31" s="32">
        <v>3143</v>
      </c>
      <c r="G31" s="33">
        <f t="shared" si="3"/>
        <v>0.62860000000000005</v>
      </c>
      <c r="H31" s="34">
        <v>6080</v>
      </c>
      <c r="I31" s="35">
        <f t="shared" si="4"/>
        <v>1</v>
      </c>
      <c r="J31" s="36">
        <f>'[1]2025_11'!T16+'[1]2025_11'!S19</f>
        <v>937150</v>
      </c>
      <c r="K31" s="37">
        <f t="shared" si="5"/>
        <v>1.0412777777777777</v>
      </c>
      <c r="L31" s="38">
        <f t="shared" si="0"/>
        <v>1248534</v>
      </c>
      <c r="M31" s="39">
        <f t="shared" si="6"/>
        <v>1.041243286519665</v>
      </c>
    </row>
    <row r="32" spans="1:13" ht="26.1" customHeight="1" thickTop="1" thickBot="1">
      <c r="A32" s="28">
        <v>45992</v>
      </c>
      <c r="B32" s="29">
        <v>26000</v>
      </c>
      <c r="C32" s="29">
        <v>192000</v>
      </c>
      <c r="D32" s="30">
        <f t="shared" si="7"/>
        <v>84161</v>
      </c>
      <c r="E32" s="31">
        <f t="shared" si="2"/>
        <v>1.2022999999999999</v>
      </c>
      <c r="F32" s="32">
        <v>3143</v>
      </c>
      <c r="G32" s="33">
        <f t="shared" si="3"/>
        <v>0.62860000000000005</v>
      </c>
      <c r="H32" s="34">
        <v>6080</v>
      </c>
      <c r="I32" s="35">
        <f t="shared" si="4"/>
        <v>1</v>
      </c>
      <c r="J32" s="36">
        <f>'[1]2025_12'!T16+'[1]2025_12'!S19</f>
        <v>1034600</v>
      </c>
      <c r="K32" s="37">
        <f t="shared" si="5"/>
        <v>1.1495555555555557</v>
      </c>
      <c r="L32" s="38">
        <f t="shared" si="0"/>
        <v>1345984</v>
      </c>
      <c r="M32" s="39">
        <f t="shared" si="6"/>
        <v>1.1225139273442972</v>
      </c>
    </row>
    <row r="33" spans="1:13" ht="26.1" customHeight="1" thickTop="1" thickBot="1">
      <c r="A33" s="28">
        <v>46023</v>
      </c>
      <c r="B33" s="29">
        <v>26000</v>
      </c>
      <c r="C33" s="29">
        <v>192000</v>
      </c>
      <c r="D33" s="30">
        <f t="shared" si="7"/>
        <v>84161</v>
      </c>
      <c r="E33" s="31">
        <f t="shared" si="2"/>
        <v>1.2022999999999999</v>
      </c>
      <c r="F33" s="32">
        <v>3143</v>
      </c>
      <c r="G33" s="33">
        <f t="shared" si="3"/>
        <v>0.62860000000000005</v>
      </c>
      <c r="H33" s="34">
        <v>6080</v>
      </c>
      <c r="I33" s="35">
        <f t="shared" si="4"/>
        <v>1</v>
      </c>
      <c r="J33" s="36">
        <f>'[1]2026_1'!S16+'[1]2026_1'!R19</f>
        <v>979875</v>
      </c>
      <c r="K33" s="37">
        <f t="shared" si="5"/>
        <v>1.0887500000000001</v>
      </c>
      <c r="L33" s="38">
        <f t="shared" si="0"/>
        <v>1291259</v>
      </c>
      <c r="M33" s="39">
        <f t="shared" si="6"/>
        <v>1.0768747706575041</v>
      </c>
    </row>
    <row r="34" spans="1:13" ht="26.1" customHeight="1" thickTop="1" thickBot="1">
      <c r="A34" s="28">
        <v>46054</v>
      </c>
      <c r="B34" s="29">
        <v>26000</v>
      </c>
      <c r="C34" s="29">
        <v>192000</v>
      </c>
      <c r="D34" s="30">
        <f t="shared" si="7"/>
        <v>84161</v>
      </c>
      <c r="E34" s="31">
        <f t="shared" si="2"/>
        <v>1.2022999999999999</v>
      </c>
      <c r="F34" s="32">
        <v>3143</v>
      </c>
      <c r="G34" s="33">
        <f>F34/$D$6</f>
        <v>0.62860000000000005</v>
      </c>
      <c r="H34" s="34">
        <v>6080</v>
      </c>
      <c r="I34" s="35">
        <f t="shared" si="4"/>
        <v>1</v>
      </c>
      <c r="J34" s="36">
        <f>'[1]2026_2'!S16+'[1]2026_2'!R19</f>
        <v>992050</v>
      </c>
      <c r="K34" s="37">
        <f t="shared" si="5"/>
        <v>1.1022777777777777</v>
      </c>
      <c r="L34" s="38">
        <f t="shared" si="0"/>
        <v>1303434</v>
      </c>
      <c r="M34" s="39">
        <f t="shared" si="6"/>
        <v>1.0870283884311305</v>
      </c>
    </row>
    <row r="35" spans="1:13" ht="26.1" customHeight="1" thickTop="1" thickBot="1">
      <c r="A35" s="40">
        <v>46082</v>
      </c>
      <c r="B35" s="41">
        <v>26000</v>
      </c>
      <c r="C35" s="41">
        <f>192000+60000</f>
        <v>252000</v>
      </c>
      <c r="D35" s="41">
        <v>56000</v>
      </c>
      <c r="E35" s="42">
        <f>D35/$E$5</f>
        <v>0.62222222222222223</v>
      </c>
      <c r="F35" s="41">
        <v>3145</v>
      </c>
      <c r="G35" s="42">
        <f>F35/$E$6</f>
        <v>0.69888888888888889</v>
      </c>
      <c r="H35" s="41">
        <v>6080</v>
      </c>
      <c r="I35" s="42">
        <f t="shared" si="4"/>
        <v>1</v>
      </c>
      <c r="J35" s="41">
        <v>1050000</v>
      </c>
      <c r="K35" s="42">
        <f>J35/$E$8</f>
        <v>0.95454545454545459</v>
      </c>
      <c r="L35" s="43">
        <f t="shared" si="0"/>
        <v>1393225</v>
      </c>
      <c r="M35" s="44">
        <f>L35/$E$9</f>
        <v>0.94227231532957301</v>
      </c>
    </row>
    <row r="36" spans="1:13" ht="26.1" customHeight="1" thickTop="1" thickBot="1">
      <c r="A36" s="28">
        <v>46113</v>
      </c>
      <c r="B36" s="29">
        <v>26000</v>
      </c>
      <c r="C36" s="29">
        <f t="shared" ref="C36:D75" si="8">192000+60000</f>
        <v>252000</v>
      </c>
      <c r="D36" s="30">
        <v>67200</v>
      </c>
      <c r="E36" s="31">
        <f t="shared" ref="E36" si="9">D36/$E$5</f>
        <v>0.7466666666666667</v>
      </c>
      <c r="F36" s="32">
        <v>3145</v>
      </c>
      <c r="G36" s="33">
        <f t="shared" ref="G36:G37" si="10">F36/$E$6</f>
        <v>0.69888888888888889</v>
      </c>
      <c r="H36" s="34">
        <v>6080</v>
      </c>
      <c r="I36" s="35">
        <f t="shared" si="4"/>
        <v>1</v>
      </c>
      <c r="J36" s="36">
        <v>1084900</v>
      </c>
      <c r="K36" s="37">
        <f t="shared" ref="K36" si="11">J36/$E$8</f>
        <v>0.9862727272727273</v>
      </c>
      <c r="L36" s="38">
        <f t="shared" si="0"/>
        <v>1439325</v>
      </c>
      <c r="M36" s="39">
        <f>L36/$E$9</f>
        <v>0.97345087854563161</v>
      </c>
    </row>
    <row r="37" spans="1:13" ht="26.1" customHeight="1" thickTop="1" thickBot="1">
      <c r="A37" s="40">
        <v>46143</v>
      </c>
      <c r="B37" s="41">
        <v>26000</v>
      </c>
      <c r="C37" s="41">
        <f t="shared" si="8"/>
        <v>252000</v>
      </c>
      <c r="D37" s="41">
        <v>58410</v>
      </c>
      <c r="E37" s="42">
        <f>D37/$E$5</f>
        <v>0.64900000000000002</v>
      </c>
      <c r="F37" s="41">
        <v>3145</v>
      </c>
      <c r="G37" s="42">
        <f t="shared" si="10"/>
        <v>0.69888888888888889</v>
      </c>
      <c r="H37" s="41">
        <v>6080</v>
      </c>
      <c r="I37" s="42">
        <f t="shared" si="4"/>
        <v>1</v>
      </c>
      <c r="J37" s="41">
        <v>1387900</v>
      </c>
      <c r="K37" s="42">
        <f>J37/$F$8</f>
        <v>0.99135714285714283</v>
      </c>
      <c r="L37" s="43">
        <f t="shared" si="0"/>
        <v>1733535</v>
      </c>
      <c r="M37" s="44">
        <f>L37/$F$9</f>
        <v>0.97467361603076608</v>
      </c>
    </row>
    <row r="38" spans="1:13" ht="26.1" customHeight="1" thickTop="1" thickBot="1">
      <c r="A38" s="28">
        <v>46174</v>
      </c>
      <c r="B38" s="29">
        <v>26000</v>
      </c>
      <c r="C38" s="29">
        <f t="shared" si="8"/>
        <v>252000</v>
      </c>
      <c r="D38" s="30">
        <f>44116+52888+10000</f>
        <v>107004</v>
      </c>
      <c r="E38" s="31">
        <f>D38/$F$5</f>
        <v>1.1889333333333334</v>
      </c>
      <c r="F38" s="32"/>
      <c r="G38" s="33">
        <f>F38/$F$6</f>
        <v>0</v>
      </c>
      <c r="H38" s="34">
        <v>6080</v>
      </c>
      <c r="I38" s="35">
        <f>H38/$F$7</f>
        <v>1</v>
      </c>
      <c r="J38" s="36">
        <f>'[1]2026_6'!T8</f>
        <v>1402400</v>
      </c>
      <c r="K38" s="37">
        <f>J38/$F$8</f>
        <v>1.0017142857142858</v>
      </c>
      <c r="L38" s="38">
        <f>SUM(B38,C38,D38,F38,H38,J38)</f>
        <v>1793484</v>
      </c>
      <c r="M38" s="39">
        <f>L38/$F$9</f>
        <v>1.0083797186519583</v>
      </c>
    </row>
    <row r="39" spans="1:13" ht="26.1" customHeight="1" thickTop="1" thickBot="1">
      <c r="A39" s="28">
        <v>46204</v>
      </c>
      <c r="B39" s="29">
        <v>26000</v>
      </c>
      <c r="C39" s="29">
        <f t="shared" si="8"/>
        <v>252000</v>
      </c>
      <c r="D39" s="30"/>
      <c r="E39" s="30"/>
      <c r="F39" s="32"/>
      <c r="G39" s="32"/>
      <c r="H39" s="34"/>
      <c r="I39" s="34"/>
      <c r="J39" s="36"/>
      <c r="K39" s="36"/>
      <c r="L39" s="38">
        <f t="shared" si="0"/>
        <v>278000</v>
      </c>
      <c r="M39" s="45"/>
    </row>
    <row r="40" spans="1:13" ht="26.1" customHeight="1" thickTop="1" thickBot="1">
      <c r="A40" s="28">
        <v>46235</v>
      </c>
      <c r="B40" s="29">
        <v>26000</v>
      </c>
      <c r="C40" s="29">
        <f t="shared" si="8"/>
        <v>252000</v>
      </c>
      <c r="D40" s="30"/>
      <c r="E40" s="30"/>
      <c r="F40" s="32"/>
      <c r="G40" s="32"/>
      <c r="H40" s="34"/>
      <c r="I40" s="34"/>
      <c r="J40" s="36"/>
      <c r="K40" s="36"/>
      <c r="L40" s="38">
        <f t="shared" si="0"/>
        <v>278000</v>
      </c>
      <c r="M40" s="45"/>
    </row>
    <row r="41" spans="1:13" ht="26.1" customHeight="1" thickTop="1" thickBot="1">
      <c r="A41" s="28">
        <v>46266</v>
      </c>
      <c r="B41" s="29">
        <v>26000</v>
      </c>
      <c r="C41" s="29">
        <f t="shared" si="8"/>
        <v>252000</v>
      </c>
      <c r="D41" s="30"/>
      <c r="E41" s="30"/>
      <c r="F41" s="32"/>
      <c r="G41" s="32"/>
      <c r="H41" s="34"/>
      <c r="I41" s="34"/>
      <c r="J41" s="36"/>
      <c r="K41" s="36"/>
      <c r="L41" s="38">
        <f t="shared" si="0"/>
        <v>278000</v>
      </c>
      <c r="M41" s="45"/>
    </row>
    <row r="42" spans="1:13" ht="26.1" customHeight="1" thickTop="1" thickBot="1">
      <c r="A42" s="28">
        <v>46296</v>
      </c>
      <c r="B42" s="29">
        <v>26000</v>
      </c>
      <c r="C42" s="29">
        <f t="shared" si="8"/>
        <v>252000</v>
      </c>
      <c r="D42" s="30"/>
      <c r="E42" s="30"/>
      <c r="F42" s="32"/>
      <c r="G42" s="32"/>
      <c r="H42" s="34"/>
      <c r="I42" s="34"/>
      <c r="J42" s="36"/>
      <c r="K42" s="36"/>
      <c r="L42" s="38">
        <f t="shared" si="0"/>
        <v>278000</v>
      </c>
      <c r="M42" s="45"/>
    </row>
    <row r="43" spans="1:13" ht="26.1" customHeight="1" thickTop="1" thickBot="1">
      <c r="A43" s="28">
        <v>46327</v>
      </c>
      <c r="B43" s="29">
        <v>26000</v>
      </c>
      <c r="C43" s="29">
        <f t="shared" si="8"/>
        <v>252000</v>
      </c>
      <c r="D43" s="30"/>
      <c r="E43" s="30"/>
      <c r="F43" s="32"/>
      <c r="G43" s="32"/>
      <c r="H43" s="34"/>
      <c r="I43" s="34"/>
      <c r="J43" s="36"/>
      <c r="K43" s="36"/>
      <c r="L43" s="38">
        <f t="shared" si="0"/>
        <v>278000</v>
      </c>
      <c r="M43" s="45"/>
    </row>
    <row r="44" spans="1:13" ht="26.1" customHeight="1" thickTop="1" thickBot="1">
      <c r="A44" s="28">
        <v>46357</v>
      </c>
      <c r="B44" s="29">
        <v>26000</v>
      </c>
      <c r="C44" s="29">
        <f t="shared" si="8"/>
        <v>252000</v>
      </c>
      <c r="D44" s="30"/>
      <c r="E44" s="30"/>
      <c r="F44" s="32"/>
      <c r="G44" s="32"/>
      <c r="H44" s="34"/>
      <c r="I44" s="34"/>
      <c r="J44" s="36"/>
      <c r="K44" s="36"/>
      <c r="L44" s="38">
        <f t="shared" si="0"/>
        <v>278000</v>
      </c>
      <c r="M44" s="45"/>
    </row>
    <row r="45" spans="1:13" ht="26.1" customHeight="1" thickTop="1" thickBot="1">
      <c r="A45" s="28">
        <v>46388</v>
      </c>
      <c r="B45" s="29">
        <v>26000</v>
      </c>
      <c r="C45" s="29">
        <f t="shared" si="8"/>
        <v>252000</v>
      </c>
      <c r="D45" s="30"/>
      <c r="E45" s="30"/>
      <c r="F45" s="32"/>
      <c r="G45" s="32"/>
      <c r="H45" s="34"/>
      <c r="I45" s="34"/>
      <c r="J45" s="36"/>
      <c r="K45" s="36"/>
      <c r="L45" s="38">
        <f t="shared" si="0"/>
        <v>278000</v>
      </c>
      <c r="M45" s="45"/>
    </row>
    <row r="46" spans="1:13" ht="26.1" customHeight="1" thickTop="1" thickBot="1">
      <c r="A46" s="28">
        <v>46419</v>
      </c>
      <c r="B46" s="29">
        <v>26000</v>
      </c>
      <c r="C46" s="29">
        <f t="shared" si="8"/>
        <v>252000</v>
      </c>
      <c r="D46" s="30"/>
      <c r="E46" s="30"/>
      <c r="F46" s="32"/>
      <c r="G46" s="32"/>
      <c r="H46" s="34"/>
      <c r="I46" s="34"/>
      <c r="J46" s="36"/>
      <c r="K46" s="36"/>
      <c r="L46" s="38">
        <f t="shared" si="0"/>
        <v>278000</v>
      </c>
      <c r="M46" s="45"/>
    </row>
    <row r="47" spans="1:13" ht="26.1" customHeight="1" thickTop="1" thickBot="1">
      <c r="A47" s="28">
        <v>46447</v>
      </c>
      <c r="B47" s="29">
        <v>26000</v>
      </c>
      <c r="C47" s="29">
        <f t="shared" si="8"/>
        <v>252000</v>
      </c>
      <c r="D47" s="30"/>
      <c r="E47" s="30"/>
      <c r="F47" s="32"/>
      <c r="G47" s="32"/>
      <c r="H47" s="34"/>
      <c r="I47" s="34"/>
      <c r="J47" s="36"/>
      <c r="K47" s="36"/>
      <c r="L47" s="38">
        <f t="shared" si="0"/>
        <v>278000</v>
      </c>
      <c r="M47" s="45"/>
    </row>
    <row r="48" spans="1:13" ht="26.1" customHeight="1" thickTop="1" thickBot="1">
      <c r="A48" s="28">
        <v>46478</v>
      </c>
      <c r="B48" s="29">
        <v>26000</v>
      </c>
      <c r="C48" s="29">
        <f t="shared" si="8"/>
        <v>252000</v>
      </c>
      <c r="D48" s="30"/>
      <c r="E48" s="30"/>
      <c r="F48" s="32"/>
      <c r="G48" s="32"/>
      <c r="H48" s="34"/>
      <c r="I48" s="34"/>
      <c r="J48" s="36"/>
      <c r="K48" s="36"/>
      <c r="L48" s="38">
        <f t="shared" si="0"/>
        <v>278000</v>
      </c>
      <c r="M48" s="45"/>
    </row>
    <row r="49" spans="1:13" ht="26.1" customHeight="1" thickTop="1" thickBot="1">
      <c r="A49" s="28">
        <v>46508</v>
      </c>
      <c r="B49" s="29">
        <v>26000</v>
      </c>
      <c r="C49" s="29">
        <f t="shared" si="8"/>
        <v>252000</v>
      </c>
      <c r="D49" s="30"/>
      <c r="E49" s="30"/>
      <c r="F49" s="32"/>
      <c r="G49" s="32"/>
      <c r="H49" s="34"/>
      <c r="I49" s="34"/>
      <c r="J49" s="36"/>
      <c r="K49" s="36"/>
      <c r="L49" s="38">
        <f t="shared" si="0"/>
        <v>278000</v>
      </c>
      <c r="M49" s="45"/>
    </row>
    <row r="50" spans="1:13" ht="26.1" customHeight="1" thickTop="1" thickBot="1">
      <c r="A50" s="28">
        <v>46539</v>
      </c>
      <c r="B50" s="29">
        <v>26000</v>
      </c>
      <c r="C50" s="29">
        <f t="shared" si="8"/>
        <v>252000</v>
      </c>
      <c r="D50" s="30"/>
      <c r="E50" s="30"/>
      <c r="F50" s="32"/>
      <c r="G50" s="32"/>
      <c r="H50" s="34"/>
      <c r="I50" s="34"/>
      <c r="J50" s="36"/>
      <c r="K50" s="36"/>
      <c r="L50" s="38">
        <f t="shared" si="0"/>
        <v>278000</v>
      </c>
      <c r="M50" s="45"/>
    </row>
    <row r="51" spans="1:13" ht="26.1" customHeight="1" thickTop="1" thickBot="1">
      <c r="A51" s="28">
        <v>46569</v>
      </c>
      <c r="B51" s="29">
        <v>26000</v>
      </c>
      <c r="C51" s="29">
        <f t="shared" si="8"/>
        <v>252000</v>
      </c>
      <c r="D51" s="30"/>
      <c r="E51" s="30"/>
      <c r="F51" s="32"/>
      <c r="G51" s="32"/>
      <c r="H51" s="34"/>
      <c r="I51" s="34"/>
      <c r="J51" s="36"/>
      <c r="K51" s="36"/>
      <c r="L51" s="38">
        <f t="shared" si="0"/>
        <v>278000</v>
      </c>
      <c r="M51" s="45"/>
    </row>
    <row r="52" spans="1:13" ht="26.1" customHeight="1" thickTop="1" thickBot="1">
      <c r="A52" s="28">
        <v>46600</v>
      </c>
      <c r="B52" s="29">
        <v>26000</v>
      </c>
      <c r="C52" s="29">
        <f t="shared" si="8"/>
        <v>252000</v>
      </c>
      <c r="D52" s="30"/>
      <c r="E52" s="30"/>
      <c r="F52" s="32"/>
      <c r="G52" s="32"/>
      <c r="H52" s="34"/>
      <c r="I52" s="34"/>
      <c r="J52" s="36"/>
      <c r="K52" s="36"/>
      <c r="L52" s="38">
        <f t="shared" si="0"/>
        <v>278000</v>
      </c>
      <c r="M52" s="45"/>
    </row>
    <row r="53" spans="1:13" ht="26.1" customHeight="1" thickTop="1" thickBot="1">
      <c r="A53" s="28">
        <v>46631</v>
      </c>
      <c r="B53" s="29">
        <v>26000</v>
      </c>
      <c r="C53" s="29">
        <f t="shared" si="8"/>
        <v>252000</v>
      </c>
      <c r="D53" s="30"/>
      <c r="E53" s="30"/>
      <c r="F53" s="32"/>
      <c r="G53" s="32"/>
      <c r="H53" s="34"/>
      <c r="I53" s="34"/>
      <c r="J53" s="36"/>
      <c r="K53" s="36"/>
      <c r="L53" s="38">
        <f t="shared" si="0"/>
        <v>278000</v>
      </c>
      <c r="M53" s="45"/>
    </row>
    <row r="54" spans="1:13" ht="26.1" customHeight="1" thickTop="1" thickBot="1">
      <c r="A54" s="28">
        <v>46661</v>
      </c>
      <c r="B54" s="29">
        <v>26000</v>
      </c>
      <c r="C54" s="29">
        <f t="shared" si="8"/>
        <v>252000</v>
      </c>
      <c r="D54" s="30"/>
      <c r="E54" s="30"/>
      <c r="F54" s="32"/>
      <c r="G54" s="32"/>
      <c r="H54" s="34"/>
      <c r="I54" s="34"/>
      <c r="J54" s="36"/>
      <c r="K54" s="36"/>
      <c r="L54" s="38">
        <f t="shared" si="0"/>
        <v>278000</v>
      </c>
      <c r="M54" s="45"/>
    </row>
    <row r="55" spans="1:13" ht="26.1" customHeight="1" thickTop="1" thickBot="1">
      <c r="A55" s="28">
        <v>46692</v>
      </c>
      <c r="B55" s="29">
        <v>26000</v>
      </c>
      <c r="C55" s="29">
        <f t="shared" si="8"/>
        <v>252000</v>
      </c>
      <c r="D55" s="30"/>
      <c r="E55" s="30"/>
      <c r="F55" s="32"/>
      <c r="G55" s="32"/>
      <c r="H55" s="34"/>
      <c r="I55" s="34"/>
      <c r="J55" s="36"/>
      <c r="K55" s="36"/>
      <c r="L55" s="38">
        <f t="shared" si="0"/>
        <v>278000</v>
      </c>
      <c r="M55" s="45"/>
    </row>
    <row r="56" spans="1:13" ht="26.1" customHeight="1" thickTop="1" thickBot="1">
      <c r="A56" s="28">
        <v>46722</v>
      </c>
      <c r="B56" s="29">
        <v>26000</v>
      </c>
      <c r="C56" s="29">
        <f t="shared" si="8"/>
        <v>252000</v>
      </c>
      <c r="D56" s="30"/>
      <c r="E56" s="30"/>
      <c r="F56" s="32"/>
      <c r="G56" s="32"/>
      <c r="H56" s="34"/>
      <c r="I56" s="34"/>
      <c r="J56" s="36"/>
      <c r="K56" s="36"/>
      <c r="L56" s="38">
        <f t="shared" si="0"/>
        <v>278000</v>
      </c>
      <c r="M56" s="45"/>
    </row>
    <row r="57" spans="1:13" ht="26.1" customHeight="1" thickTop="1" thickBot="1">
      <c r="A57" s="28">
        <v>46753</v>
      </c>
      <c r="B57" s="29">
        <v>26000</v>
      </c>
      <c r="C57" s="29">
        <f t="shared" si="8"/>
        <v>252000</v>
      </c>
      <c r="D57" s="30"/>
      <c r="E57" s="30"/>
      <c r="F57" s="32"/>
      <c r="G57" s="32"/>
      <c r="H57" s="34"/>
      <c r="I57" s="34"/>
      <c r="J57" s="36"/>
      <c r="K57" s="36"/>
      <c r="L57" s="38">
        <f t="shared" si="0"/>
        <v>278000</v>
      </c>
      <c r="M57" s="45"/>
    </row>
    <row r="58" spans="1:13" ht="26.1" customHeight="1" thickTop="1" thickBot="1">
      <c r="A58" s="28">
        <v>46784</v>
      </c>
      <c r="B58" s="29">
        <v>26000</v>
      </c>
      <c r="C58" s="29">
        <f t="shared" si="8"/>
        <v>252000</v>
      </c>
      <c r="D58" s="30"/>
      <c r="E58" s="30"/>
      <c r="F58" s="32"/>
      <c r="G58" s="32"/>
      <c r="H58" s="34"/>
      <c r="I58" s="34"/>
      <c r="J58" s="36"/>
      <c r="K58" s="36"/>
      <c r="L58" s="38">
        <f t="shared" si="0"/>
        <v>278000</v>
      </c>
      <c r="M58" s="45"/>
    </row>
    <row r="59" spans="1:13" ht="26.1" customHeight="1" thickTop="1" thickBot="1">
      <c r="A59" s="28">
        <v>46813</v>
      </c>
      <c r="B59" s="29">
        <v>26000</v>
      </c>
      <c r="C59" s="29">
        <f t="shared" si="8"/>
        <v>252000</v>
      </c>
      <c r="D59" s="30"/>
      <c r="E59" s="30"/>
      <c r="F59" s="32"/>
      <c r="G59" s="32"/>
      <c r="H59" s="34"/>
      <c r="I59" s="34"/>
      <c r="J59" s="36"/>
      <c r="K59" s="36"/>
      <c r="L59" s="38">
        <f t="shared" si="0"/>
        <v>278000</v>
      </c>
      <c r="M59" s="45"/>
    </row>
    <row r="60" spans="1:13" ht="26.1" customHeight="1" thickTop="1" thickBot="1">
      <c r="A60" s="28">
        <v>46844</v>
      </c>
      <c r="B60" s="29">
        <v>26000</v>
      </c>
      <c r="C60" s="29">
        <f t="shared" si="8"/>
        <v>252000</v>
      </c>
      <c r="D60" s="30"/>
      <c r="E60" s="30"/>
      <c r="F60" s="32"/>
      <c r="G60" s="32"/>
      <c r="H60" s="34"/>
      <c r="I60" s="34"/>
      <c r="J60" s="36"/>
      <c r="K60" s="36"/>
      <c r="L60" s="38">
        <f t="shared" si="0"/>
        <v>278000</v>
      </c>
      <c r="M60" s="45"/>
    </row>
    <row r="61" spans="1:13" ht="26.1" customHeight="1" thickTop="1" thickBot="1">
      <c r="A61" s="28">
        <v>46874</v>
      </c>
      <c r="B61" s="29">
        <v>26000</v>
      </c>
      <c r="C61" s="29">
        <f t="shared" si="8"/>
        <v>252000</v>
      </c>
      <c r="D61" s="30"/>
      <c r="E61" s="30"/>
      <c r="F61" s="32"/>
      <c r="G61" s="32"/>
      <c r="H61" s="34"/>
      <c r="I61" s="34"/>
      <c r="J61" s="36"/>
      <c r="K61" s="36"/>
      <c r="L61" s="38">
        <f t="shared" si="0"/>
        <v>278000</v>
      </c>
      <c r="M61" s="45"/>
    </row>
    <row r="62" spans="1:13" ht="26.1" customHeight="1" thickTop="1" thickBot="1">
      <c r="A62" s="28">
        <v>46905</v>
      </c>
      <c r="B62" s="29">
        <v>26000</v>
      </c>
      <c r="C62" s="29">
        <f t="shared" si="8"/>
        <v>252000</v>
      </c>
      <c r="D62" s="30"/>
      <c r="E62" s="30"/>
      <c r="F62" s="32"/>
      <c r="G62" s="32"/>
      <c r="H62" s="34"/>
      <c r="I62" s="34"/>
      <c r="J62" s="36"/>
      <c r="K62" s="36"/>
      <c r="L62" s="38">
        <f t="shared" si="0"/>
        <v>278000</v>
      </c>
      <c r="M62" s="45"/>
    </row>
    <row r="63" spans="1:13" ht="26.1" customHeight="1" thickTop="1" thickBot="1">
      <c r="A63" s="28">
        <v>46935</v>
      </c>
      <c r="B63" s="29">
        <v>26000</v>
      </c>
      <c r="C63" s="29">
        <f t="shared" si="8"/>
        <v>252000</v>
      </c>
      <c r="D63" s="30"/>
      <c r="E63" s="30"/>
      <c r="F63" s="32"/>
      <c r="G63" s="32"/>
      <c r="H63" s="34"/>
      <c r="I63" s="34"/>
      <c r="J63" s="36"/>
      <c r="K63" s="36"/>
      <c r="L63" s="38">
        <f t="shared" si="0"/>
        <v>278000</v>
      </c>
      <c r="M63" s="45"/>
    </row>
    <row r="64" spans="1:13" ht="26.1" customHeight="1" thickTop="1" thickBot="1">
      <c r="A64" s="28">
        <v>46966</v>
      </c>
      <c r="B64" s="29">
        <v>26000</v>
      </c>
      <c r="C64" s="29">
        <f t="shared" si="8"/>
        <v>252000</v>
      </c>
      <c r="D64" s="30"/>
      <c r="E64" s="30"/>
      <c r="F64" s="32"/>
      <c r="G64" s="32"/>
      <c r="H64" s="34"/>
      <c r="I64" s="34"/>
      <c r="J64" s="36"/>
      <c r="K64" s="36"/>
      <c r="L64" s="38">
        <f t="shared" si="0"/>
        <v>278000</v>
      </c>
      <c r="M64" s="45"/>
    </row>
    <row r="65" spans="1:13" ht="26.1" customHeight="1" thickTop="1" thickBot="1">
      <c r="A65" s="28">
        <v>46997</v>
      </c>
      <c r="B65" s="29">
        <v>26000</v>
      </c>
      <c r="C65" s="29">
        <f t="shared" si="8"/>
        <v>252000</v>
      </c>
      <c r="D65" s="30"/>
      <c r="E65" s="30"/>
      <c r="F65" s="32"/>
      <c r="G65" s="32"/>
      <c r="H65" s="34"/>
      <c r="I65" s="34"/>
      <c r="J65" s="36"/>
      <c r="K65" s="36"/>
      <c r="L65" s="38">
        <f t="shared" si="0"/>
        <v>278000</v>
      </c>
      <c r="M65" s="45"/>
    </row>
    <row r="66" spans="1:13" ht="26.1" customHeight="1" thickTop="1" thickBot="1">
      <c r="A66" s="28">
        <v>47027</v>
      </c>
      <c r="B66" s="29">
        <v>26000</v>
      </c>
      <c r="C66" s="29">
        <f t="shared" si="8"/>
        <v>252000</v>
      </c>
      <c r="D66" s="30"/>
      <c r="E66" s="30"/>
      <c r="F66" s="32"/>
      <c r="G66" s="32"/>
      <c r="H66" s="34"/>
      <c r="I66" s="34"/>
      <c r="J66" s="36"/>
      <c r="K66" s="36"/>
      <c r="L66" s="38">
        <f t="shared" si="0"/>
        <v>278000</v>
      </c>
      <c r="M66" s="45"/>
    </row>
    <row r="67" spans="1:13" ht="26.1" customHeight="1" thickTop="1" thickBot="1">
      <c r="A67" s="28">
        <v>47058</v>
      </c>
      <c r="B67" s="29">
        <v>26000</v>
      </c>
      <c r="C67" s="29">
        <f t="shared" si="8"/>
        <v>252000</v>
      </c>
      <c r="D67" s="30"/>
      <c r="E67" s="30"/>
      <c r="F67" s="32"/>
      <c r="G67" s="32"/>
      <c r="H67" s="34"/>
      <c r="I67" s="34"/>
      <c r="J67" s="36"/>
      <c r="K67" s="36"/>
      <c r="L67" s="38">
        <f t="shared" si="0"/>
        <v>278000</v>
      </c>
      <c r="M67" s="45"/>
    </row>
    <row r="68" spans="1:13" ht="26.1" customHeight="1" thickTop="1" thickBot="1">
      <c r="A68" s="28">
        <v>47088</v>
      </c>
      <c r="B68" s="29">
        <v>26000</v>
      </c>
      <c r="C68" s="29">
        <f t="shared" si="8"/>
        <v>252000</v>
      </c>
      <c r="D68" s="30"/>
      <c r="E68" s="30"/>
      <c r="F68" s="32"/>
      <c r="G68" s="32"/>
      <c r="H68" s="34"/>
      <c r="I68" s="34"/>
      <c r="J68" s="36"/>
      <c r="K68" s="36"/>
      <c r="L68" s="38">
        <f t="shared" si="0"/>
        <v>278000</v>
      </c>
      <c r="M68" s="45"/>
    </row>
    <row r="69" spans="1:13" ht="26.1" customHeight="1" thickTop="1" thickBot="1">
      <c r="A69" s="28">
        <v>47119</v>
      </c>
      <c r="B69" s="29">
        <v>26000</v>
      </c>
      <c r="C69" s="29">
        <f t="shared" si="8"/>
        <v>252000</v>
      </c>
      <c r="D69" s="30"/>
      <c r="E69" s="30"/>
      <c r="F69" s="32"/>
      <c r="G69" s="32"/>
      <c r="H69" s="34"/>
      <c r="I69" s="34"/>
      <c r="J69" s="36"/>
      <c r="K69" s="36"/>
      <c r="L69" s="38">
        <f t="shared" si="0"/>
        <v>278000</v>
      </c>
      <c r="M69" s="45"/>
    </row>
    <row r="70" spans="1:13" ht="26.1" customHeight="1" thickTop="1" thickBot="1">
      <c r="A70" s="28">
        <v>47150</v>
      </c>
      <c r="B70" s="29">
        <v>26000</v>
      </c>
      <c r="C70" s="29">
        <f t="shared" si="8"/>
        <v>252000</v>
      </c>
      <c r="D70" s="30"/>
      <c r="E70" s="30"/>
      <c r="F70" s="32"/>
      <c r="G70" s="32"/>
      <c r="H70" s="34"/>
      <c r="I70" s="34"/>
      <c r="J70" s="36"/>
      <c r="K70" s="36"/>
      <c r="L70" s="38">
        <f t="shared" si="0"/>
        <v>278000</v>
      </c>
      <c r="M70" s="45"/>
    </row>
    <row r="71" spans="1:13" ht="26.1" customHeight="1" thickTop="1" thickBot="1">
      <c r="A71" s="28">
        <v>47178</v>
      </c>
      <c r="B71" s="29">
        <v>26000</v>
      </c>
      <c r="C71" s="29">
        <f t="shared" si="8"/>
        <v>252000</v>
      </c>
      <c r="D71" s="30"/>
      <c r="E71" s="30"/>
      <c r="F71" s="32"/>
      <c r="G71" s="32"/>
      <c r="H71" s="34"/>
      <c r="I71" s="34"/>
      <c r="J71" s="36"/>
      <c r="K71" s="36"/>
      <c r="L71" s="38">
        <f t="shared" si="0"/>
        <v>278000</v>
      </c>
      <c r="M71" s="45"/>
    </row>
    <row r="72" spans="1:13" ht="26.1" customHeight="1" thickTop="1" thickBot="1">
      <c r="A72" s="28">
        <v>47209</v>
      </c>
      <c r="B72" s="29">
        <v>26000</v>
      </c>
      <c r="C72" s="29">
        <f t="shared" si="8"/>
        <v>252000</v>
      </c>
      <c r="D72" s="30"/>
      <c r="E72" s="30"/>
      <c r="F72" s="32"/>
      <c r="G72" s="32"/>
      <c r="H72" s="34"/>
      <c r="I72" s="34"/>
      <c r="J72" s="36"/>
      <c r="K72" s="36"/>
      <c r="L72" s="38">
        <f t="shared" si="0"/>
        <v>278000</v>
      </c>
      <c r="M72" s="45"/>
    </row>
    <row r="73" spans="1:13" ht="26.1" customHeight="1" thickTop="1" thickBot="1">
      <c r="A73" s="28">
        <v>47239</v>
      </c>
      <c r="B73" s="29">
        <v>26000</v>
      </c>
      <c r="C73" s="29">
        <f t="shared" si="8"/>
        <v>252000</v>
      </c>
      <c r="D73" s="30"/>
      <c r="E73" s="30"/>
      <c r="F73" s="32"/>
      <c r="G73" s="32"/>
      <c r="H73" s="34"/>
      <c r="I73" s="34"/>
      <c r="J73" s="36"/>
      <c r="K73" s="36"/>
      <c r="L73" s="38">
        <f t="shared" si="0"/>
        <v>278000</v>
      </c>
      <c r="M73" s="45"/>
    </row>
    <row r="74" spans="1:13" ht="26.1" customHeight="1" thickTop="1" thickBot="1">
      <c r="A74" s="28">
        <v>47270</v>
      </c>
      <c r="B74" s="29">
        <v>26000</v>
      </c>
      <c r="C74" s="29">
        <f t="shared" si="8"/>
        <v>252000</v>
      </c>
      <c r="D74" s="30"/>
      <c r="E74" s="30"/>
      <c r="F74" s="32"/>
      <c r="G74" s="32"/>
      <c r="H74" s="34"/>
      <c r="I74" s="34"/>
      <c r="J74" s="36"/>
      <c r="K74" s="36"/>
      <c r="L74" s="38">
        <f t="shared" si="0"/>
        <v>278000</v>
      </c>
      <c r="M74" s="45"/>
    </row>
    <row r="75" spans="1:13" ht="26.1" customHeight="1" thickTop="1" thickBot="1">
      <c r="A75" s="28">
        <v>47300</v>
      </c>
      <c r="B75" s="29">
        <v>26000</v>
      </c>
      <c r="C75" s="29">
        <f t="shared" si="8"/>
        <v>252000</v>
      </c>
      <c r="D75" s="30"/>
      <c r="E75" s="30"/>
      <c r="F75" s="32"/>
      <c r="G75" s="32"/>
      <c r="H75" s="34"/>
      <c r="I75" s="34"/>
      <c r="J75" s="36"/>
      <c r="K75" s="36"/>
      <c r="L75" s="38">
        <f t="shared" si="0"/>
        <v>278000</v>
      </c>
      <c r="M75" s="45"/>
    </row>
    <row r="76" spans="1:13" ht="26.1" customHeight="1" thickTop="1" thickBot="1">
      <c r="A76" s="28">
        <v>47331</v>
      </c>
      <c r="B76" s="29">
        <v>26000</v>
      </c>
      <c r="C76" s="29">
        <v>192000</v>
      </c>
      <c r="D76" s="30"/>
      <c r="E76" s="30"/>
      <c r="F76" s="32"/>
      <c r="G76" s="32"/>
      <c r="H76" s="34"/>
      <c r="I76" s="34"/>
      <c r="J76" s="36"/>
      <c r="K76" s="36"/>
      <c r="L76" s="38">
        <f t="shared" si="0"/>
        <v>218000</v>
      </c>
      <c r="M76" s="45"/>
    </row>
    <row r="77" spans="1:13" ht="26.1" customHeight="1" thickTop="1" thickBot="1">
      <c r="A77" s="28">
        <v>47362</v>
      </c>
      <c r="B77" s="29">
        <v>26000</v>
      </c>
      <c r="C77" s="29">
        <v>192000</v>
      </c>
      <c r="D77" s="30"/>
      <c r="E77" s="30"/>
      <c r="F77" s="32"/>
      <c r="G77" s="32"/>
      <c r="H77" s="34"/>
      <c r="I77" s="34"/>
      <c r="J77" s="36"/>
      <c r="K77" s="36"/>
      <c r="L77" s="38">
        <f t="shared" ref="L77:L94" si="12">SUM(B77,C77,D77,F77,H77,J77)</f>
        <v>218000</v>
      </c>
      <c r="M77" s="45"/>
    </row>
    <row r="78" spans="1:13" ht="26.1" customHeight="1" thickTop="1" thickBot="1">
      <c r="A78" s="28">
        <v>47392</v>
      </c>
      <c r="B78" s="29">
        <v>26000</v>
      </c>
      <c r="C78" s="29">
        <v>192000</v>
      </c>
      <c r="D78" s="30"/>
      <c r="E78" s="30"/>
      <c r="F78" s="32"/>
      <c r="G78" s="32"/>
      <c r="H78" s="34"/>
      <c r="I78" s="34"/>
      <c r="J78" s="36"/>
      <c r="K78" s="36"/>
      <c r="L78" s="38">
        <f t="shared" si="12"/>
        <v>218000</v>
      </c>
      <c r="M78" s="45"/>
    </row>
    <row r="79" spans="1:13" ht="26.1" customHeight="1" thickTop="1" thickBot="1">
      <c r="A79" s="28">
        <v>47423</v>
      </c>
      <c r="B79" s="29">
        <v>26000</v>
      </c>
      <c r="C79" s="29">
        <v>192000</v>
      </c>
      <c r="D79" s="30"/>
      <c r="E79" s="30"/>
      <c r="F79" s="32"/>
      <c r="G79" s="32"/>
      <c r="H79" s="34"/>
      <c r="I79" s="34"/>
      <c r="J79" s="36"/>
      <c r="K79" s="36"/>
      <c r="L79" s="38">
        <f t="shared" si="12"/>
        <v>218000</v>
      </c>
      <c r="M79" s="45"/>
    </row>
    <row r="80" spans="1:13" ht="26.1" customHeight="1" thickTop="1" thickBot="1">
      <c r="A80" s="28">
        <v>47453</v>
      </c>
      <c r="B80" s="29">
        <v>26000</v>
      </c>
      <c r="C80" s="29">
        <v>192000</v>
      </c>
      <c r="D80" s="30"/>
      <c r="E80" s="30"/>
      <c r="F80" s="32"/>
      <c r="G80" s="32"/>
      <c r="H80" s="34"/>
      <c r="I80" s="34"/>
      <c r="J80" s="36"/>
      <c r="K80" s="36"/>
      <c r="L80" s="38">
        <f t="shared" si="12"/>
        <v>218000</v>
      </c>
      <c r="M80" s="45"/>
    </row>
    <row r="81" spans="1:13" ht="26.1" customHeight="1" thickTop="1" thickBot="1">
      <c r="A81" s="28">
        <v>47484</v>
      </c>
      <c r="B81" s="29">
        <v>26000</v>
      </c>
      <c r="C81" s="29">
        <v>192000</v>
      </c>
      <c r="D81" s="30"/>
      <c r="E81" s="30"/>
      <c r="F81" s="32"/>
      <c r="G81" s="32"/>
      <c r="H81" s="34"/>
      <c r="I81" s="34"/>
      <c r="J81" s="36"/>
      <c r="K81" s="36"/>
      <c r="L81" s="38">
        <f t="shared" si="12"/>
        <v>218000</v>
      </c>
      <c r="M81" s="45"/>
    </row>
    <row r="82" spans="1:13" ht="26.1" customHeight="1" thickTop="1" thickBot="1">
      <c r="A82" s="28">
        <v>47515</v>
      </c>
      <c r="B82" s="29">
        <v>26000</v>
      </c>
      <c r="C82" s="29">
        <v>192000</v>
      </c>
      <c r="D82" s="30"/>
      <c r="E82" s="30"/>
      <c r="F82" s="32"/>
      <c r="G82" s="32"/>
      <c r="H82" s="34"/>
      <c r="I82" s="34"/>
      <c r="J82" s="36"/>
      <c r="K82" s="36"/>
      <c r="L82" s="38">
        <f t="shared" si="12"/>
        <v>218000</v>
      </c>
      <c r="M82" s="45"/>
    </row>
    <row r="83" spans="1:13" ht="26.1" customHeight="1" thickTop="1" thickBot="1">
      <c r="A83" s="28">
        <v>47543</v>
      </c>
      <c r="B83" s="29">
        <v>26000</v>
      </c>
      <c r="C83" s="29">
        <v>192000</v>
      </c>
      <c r="D83" s="30"/>
      <c r="E83" s="30"/>
      <c r="F83" s="32"/>
      <c r="G83" s="32"/>
      <c r="H83" s="34"/>
      <c r="I83" s="34"/>
      <c r="J83" s="36"/>
      <c r="K83" s="36"/>
      <c r="L83" s="38">
        <f t="shared" si="12"/>
        <v>218000</v>
      </c>
      <c r="M83" s="45"/>
    </row>
    <row r="84" spans="1:13" ht="26.1" customHeight="1" thickTop="1" thickBot="1">
      <c r="A84" s="28">
        <v>47574</v>
      </c>
      <c r="B84" s="29">
        <v>26000</v>
      </c>
      <c r="C84" s="29">
        <v>192000</v>
      </c>
      <c r="D84" s="30"/>
      <c r="E84" s="30"/>
      <c r="F84" s="32"/>
      <c r="G84" s="32"/>
      <c r="H84" s="34"/>
      <c r="I84" s="34"/>
      <c r="J84" s="36"/>
      <c r="K84" s="36"/>
      <c r="L84" s="38">
        <f t="shared" si="12"/>
        <v>218000</v>
      </c>
      <c r="M84" s="45"/>
    </row>
    <row r="85" spans="1:13" ht="26.1" customHeight="1" thickTop="1" thickBot="1">
      <c r="A85" s="28">
        <v>47604</v>
      </c>
      <c r="B85" s="29">
        <v>26000</v>
      </c>
      <c r="C85" s="29">
        <v>192000</v>
      </c>
      <c r="D85" s="30"/>
      <c r="E85" s="30"/>
      <c r="F85" s="32"/>
      <c r="G85" s="32"/>
      <c r="H85" s="34"/>
      <c r="I85" s="34"/>
      <c r="J85" s="36"/>
      <c r="K85" s="36"/>
      <c r="L85" s="38">
        <f t="shared" si="12"/>
        <v>218000</v>
      </c>
      <c r="M85" s="45"/>
    </row>
    <row r="86" spans="1:13" ht="26.1" customHeight="1" thickTop="1" thickBot="1">
      <c r="A86" s="28">
        <v>47635</v>
      </c>
      <c r="B86" s="29">
        <v>26000</v>
      </c>
      <c r="C86" s="29">
        <v>192000</v>
      </c>
      <c r="D86" s="30"/>
      <c r="E86" s="30"/>
      <c r="F86" s="32"/>
      <c r="G86" s="32"/>
      <c r="H86" s="34"/>
      <c r="I86" s="34"/>
      <c r="J86" s="36"/>
      <c r="K86" s="36"/>
      <c r="L86" s="38">
        <f t="shared" si="12"/>
        <v>218000</v>
      </c>
      <c r="M86" s="45"/>
    </row>
    <row r="87" spans="1:13" ht="26.1" customHeight="1" thickTop="1" thickBot="1">
      <c r="A87" s="28">
        <v>47665</v>
      </c>
      <c r="B87" s="29">
        <v>26000</v>
      </c>
      <c r="C87" s="29">
        <v>192000</v>
      </c>
      <c r="D87" s="30"/>
      <c r="E87" s="30"/>
      <c r="F87" s="32"/>
      <c r="G87" s="32"/>
      <c r="H87" s="34"/>
      <c r="I87" s="34"/>
      <c r="J87" s="36"/>
      <c r="K87" s="36"/>
      <c r="L87" s="38">
        <f t="shared" si="12"/>
        <v>218000</v>
      </c>
      <c r="M87" s="45"/>
    </row>
    <row r="88" spans="1:13" ht="26.1" customHeight="1" thickTop="1" thickBot="1">
      <c r="A88" s="28">
        <v>47696</v>
      </c>
      <c r="B88" s="29">
        <v>26000</v>
      </c>
      <c r="C88" s="29">
        <v>192000</v>
      </c>
      <c r="D88" s="30"/>
      <c r="E88" s="30"/>
      <c r="F88" s="32"/>
      <c r="G88" s="32"/>
      <c r="H88" s="34"/>
      <c r="I88" s="34"/>
      <c r="J88" s="36"/>
      <c r="K88" s="36"/>
      <c r="L88" s="38">
        <f t="shared" si="12"/>
        <v>218000</v>
      </c>
      <c r="M88" s="45"/>
    </row>
    <row r="89" spans="1:13" ht="26.1" customHeight="1" thickTop="1" thickBot="1">
      <c r="A89" s="28">
        <v>47727</v>
      </c>
      <c r="B89" s="29">
        <v>26000</v>
      </c>
      <c r="C89" s="29">
        <v>192000</v>
      </c>
      <c r="D89" s="30"/>
      <c r="E89" s="30"/>
      <c r="F89" s="32"/>
      <c r="G89" s="32"/>
      <c r="H89" s="34"/>
      <c r="I89" s="34"/>
      <c r="J89" s="36"/>
      <c r="K89" s="36"/>
      <c r="L89" s="38">
        <f t="shared" si="12"/>
        <v>218000</v>
      </c>
      <c r="M89" s="45"/>
    </row>
    <row r="90" spans="1:13" ht="26.1" customHeight="1" thickTop="1" thickBot="1">
      <c r="A90" s="28">
        <v>47757</v>
      </c>
      <c r="B90" s="29">
        <v>26000</v>
      </c>
      <c r="C90" s="29">
        <v>192000</v>
      </c>
      <c r="D90" s="30"/>
      <c r="E90" s="30"/>
      <c r="F90" s="32"/>
      <c r="G90" s="32"/>
      <c r="H90" s="34"/>
      <c r="I90" s="34"/>
      <c r="J90" s="36"/>
      <c r="K90" s="36"/>
      <c r="L90" s="38">
        <f t="shared" si="12"/>
        <v>218000</v>
      </c>
      <c r="M90" s="45"/>
    </row>
    <row r="91" spans="1:13" ht="26.1" customHeight="1" thickTop="1" thickBot="1">
      <c r="A91" s="28">
        <v>47788</v>
      </c>
      <c r="B91" s="29">
        <v>26000</v>
      </c>
      <c r="C91" s="29">
        <v>192000</v>
      </c>
      <c r="D91" s="30"/>
      <c r="E91" s="30"/>
      <c r="F91" s="32"/>
      <c r="G91" s="32"/>
      <c r="H91" s="34"/>
      <c r="I91" s="34"/>
      <c r="J91" s="36"/>
      <c r="K91" s="36"/>
      <c r="L91" s="38">
        <f t="shared" si="12"/>
        <v>218000</v>
      </c>
      <c r="M91" s="45"/>
    </row>
    <row r="92" spans="1:13" ht="26.1" customHeight="1" thickTop="1" thickBot="1">
      <c r="A92" s="28">
        <v>47818</v>
      </c>
      <c r="B92" s="29">
        <v>26000</v>
      </c>
      <c r="C92" s="29">
        <v>192000</v>
      </c>
      <c r="D92" s="30"/>
      <c r="E92" s="30"/>
      <c r="F92" s="32"/>
      <c r="G92" s="32"/>
      <c r="H92" s="34"/>
      <c r="I92" s="34"/>
      <c r="J92" s="36"/>
      <c r="K92" s="36"/>
      <c r="L92" s="38">
        <f t="shared" si="12"/>
        <v>218000</v>
      </c>
      <c r="M92" s="45"/>
    </row>
    <row r="93" spans="1:13" ht="26.1" customHeight="1" thickTop="1" thickBot="1">
      <c r="A93" s="28">
        <v>47849</v>
      </c>
      <c r="B93" s="29">
        <v>26000</v>
      </c>
      <c r="C93" s="29">
        <v>192000</v>
      </c>
      <c r="D93" s="30"/>
      <c r="E93" s="30"/>
      <c r="F93" s="32"/>
      <c r="G93" s="32"/>
      <c r="H93" s="34"/>
      <c r="I93" s="34"/>
      <c r="J93" s="36"/>
      <c r="K93" s="36"/>
      <c r="L93" s="38">
        <f t="shared" si="12"/>
        <v>218000</v>
      </c>
      <c r="M93" s="45"/>
    </row>
    <row r="94" spans="1:13" ht="26.1" customHeight="1" thickTop="1" thickBot="1">
      <c r="A94" s="28">
        <v>47880</v>
      </c>
      <c r="B94" s="29">
        <v>26000</v>
      </c>
      <c r="C94" s="29">
        <v>192000</v>
      </c>
      <c r="D94" s="30"/>
      <c r="E94" s="30"/>
      <c r="F94" s="32"/>
      <c r="G94" s="32"/>
      <c r="H94" s="34"/>
      <c r="I94" s="34"/>
      <c r="J94" s="36"/>
      <c r="K94" s="36"/>
      <c r="L94" s="38">
        <f t="shared" si="12"/>
        <v>218000</v>
      </c>
      <c r="M94" s="45"/>
    </row>
    <row r="95" spans="1:13" ht="26.1" customHeight="1" thickTop="1"/>
  </sheetData>
  <mergeCells count="6">
    <mergeCell ref="A9:B9"/>
    <mergeCell ref="D11:E11"/>
    <mergeCell ref="F11:G11"/>
    <mergeCell ref="H11:I11"/>
    <mergeCell ref="J11:K11"/>
    <mergeCell ref="A1:F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CC7E-07A2-40C1-9136-F7CC920334E5}">
  <dimension ref="A1"/>
  <sheetViews>
    <sheetView workbookViewId="0">
      <selection activeCell="D26" sqref="A1:XFD1048576"/>
    </sheetView>
  </sheetViews>
  <sheetFormatPr defaultRowHeight="18"/>
  <cols>
    <col min="1" max="16384" width="8.796875" style="46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8786D-3F9D-43BD-B87D-EE3D30D04089}">
  <dimension ref="A1"/>
  <sheetViews>
    <sheetView workbookViewId="0">
      <selection activeCell="D32" sqref="A1:XFD1048576"/>
    </sheetView>
  </sheetViews>
  <sheetFormatPr defaultRowHeight="18"/>
  <cols>
    <col min="1" max="16384" width="8.796875" style="46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5B55-76D5-4A9D-BB8C-1226507C0D76}">
  <dimension ref="A1"/>
  <sheetViews>
    <sheetView workbookViewId="0">
      <selection activeCell="G6" sqref="G6"/>
    </sheetView>
  </sheetViews>
  <sheetFormatPr defaultRowHeight="18"/>
  <cols>
    <col min="1" max="16384" width="8.796875" style="46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 phí tháng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LeVeL infinity</dc:creator>
  <cp:lastModifiedBy>LeVeL infinity</cp:lastModifiedBy>
  <cp:lastPrinted>2026-06-09T05:19:17Z</cp:lastPrinted>
  <dcterms:created xsi:type="dcterms:W3CDTF">2026-06-09T04:56:34Z</dcterms:created>
  <dcterms:modified xsi:type="dcterms:W3CDTF">2026-06-09T06:09:44Z</dcterms:modified>
</cp:coreProperties>
</file>