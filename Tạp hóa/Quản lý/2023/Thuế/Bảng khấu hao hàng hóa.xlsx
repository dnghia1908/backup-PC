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Tạp hóa\Quản lý\2023\"/>
    </mc:Choice>
  </mc:AlternateContent>
  <xr:revisionPtr revIDLastSave="0" documentId="13_ncr:1_{DE840C54-DC9F-4ED6-B4F5-65DF1417261F}" xr6:coauthVersionLast="47" xr6:coauthVersionMax="47" xr10:uidLastSave="{00000000-0000-0000-0000-000000000000}"/>
  <bookViews>
    <workbookView xWindow="390" yWindow="390" windowWidth="14850" windowHeight="15480" xr2:uid="{07C52F2B-D9C6-4FAF-BCBC-E4740D184D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7" i="1" l="1"/>
  <c r="D30" i="1"/>
  <c r="D94" i="1"/>
  <c r="D17" i="1"/>
  <c r="D18" i="1"/>
  <c r="D63" i="1"/>
  <c r="D65" i="1"/>
  <c r="D134" i="1"/>
  <c r="D133" i="1"/>
  <c r="D85" i="1"/>
  <c r="D75" i="1"/>
  <c r="D55" i="1"/>
  <c r="D132" i="1"/>
  <c r="D135" i="1"/>
  <c r="D136" i="1"/>
  <c r="D137" i="1"/>
  <c r="D123" i="1"/>
  <c r="D124" i="1"/>
  <c r="D125" i="1"/>
  <c r="D126" i="1"/>
  <c r="D127" i="1"/>
  <c r="D114" i="1"/>
  <c r="D115" i="1"/>
  <c r="D116" i="1"/>
  <c r="D117" i="1"/>
  <c r="D118" i="1"/>
  <c r="D108" i="1"/>
  <c r="D109" i="1"/>
  <c r="D107" i="1"/>
  <c r="D105" i="1"/>
  <c r="D103" i="1"/>
  <c r="D104" i="1"/>
  <c r="D106" i="1"/>
  <c r="D93" i="1"/>
  <c r="D95" i="1"/>
  <c r="D97" i="1"/>
  <c r="D98" i="1"/>
  <c r="D88" i="1"/>
  <c r="D82" i="1"/>
  <c r="D83" i="1"/>
  <c r="D84" i="1"/>
  <c r="D86" i="1"/>
  <c r="D87" i="1"/>
  <c r="D73" i="1"/>
  <c r="D74" i="1"/>
  <c r="D76" i="1"/>
  <c r="D77" i="1"/>
  <c r="D72" i="1"/>
  <c r="D66" i="1"/>
  <c r="D62" i="1"/>
  <c r="D64" i="1"/>
  <c r="D67" i="1"/>
  <c r="D57" i="1"/>
  <c r="D56" i="1"/>
  <c r="D54" i="1"/>
  <c r="D46" i="1"/>
  <c r="D45" i="1"/>
  <c r="D39" i="1"/>
  <c r="D40" i="1"/>
  <c r="D41" i="1"/>
  <c r="D42" i="1"/>
  <c r="D43" i="1"/>
  <c r="D44" i="1"/>
  <c r="D48" i="1"/>
  <c r="D49" i="1"/>
  <c r="D37" i="1"/>
  <c r="D38" i="1"/>
  <c r="D31" i="1"/>
  <c r="D27" i="1"/>
  <c r="D28" i="1"/>
  <c r="D26" i="1"/>
  <c r="D29" i="1"/>
  <c r="D32" i="1"/>
  <c r="D21" i="1"/>
  <c r="D19" i="1"/>
  <c r="D20" i="1"/>
  <c r="D16" i="1"/>
  <c r="D138" i="1" l="1"/>
  <c r="D128" i="1"/>
  <c r="D119" i="1"/>
  <c r="D89" i="1"/>
  <c r="D110" i="1"/>
  <c r="D99" i="1"/>
  <c r="D78" i="1"/>
  <c r="D68" i="1"/>
  <c r="D58" i="1"/>
  <c r="D22" i="1"/>
  <c r="D50" i="1"/>
  <c r="D33" i="1"/>
  <c r="E10" i="1" l="1"/>
</calcChain>
</file>

<file path=xl/sharedStrings.xml><?xml version="1.0" encoding="utf-8"?>
<sst xmlns="http://schemas.openxmlformats.org/spreadsheetml/2006/main" count="330" uniqueCount="94">
  <si>
    <r>
      <rPr>
        <sz val="18"/>
        <color theme="1"/>
        <rFont val="游ゴシック"/>
        <family val="2"/>
        <charset val="128"/>
      </rPr>
      <t>住所：</t>
    </r>
    <r>
      <rPr>
        <sz val="18"/>
        <color theme="1"/>
        <rFont val="Times New Roman"/>
        <family val="1"/>
      </rPr>
      <t>福岡県北九州市小倉北区浅野2丁目18番29号</t>
    </r>
    <rPh sb="0" eb="2">
      <t>ジュウショ</t>
    </rPh>
    <rPh sb="3" eb="6">
      <t>フクオカ</t>
    </rPh>
    <rPh sb="6" eb="10">
      <t>キタキュウシュウ</t>
    </rPh>
    <rPh sb="10" eb="14">
      <t>コク</t>
    </rPh>
    <rPh sb="14" eb="16">
      <t>アサノ</t>
    </rPh>
    <phoneticPr fontId="2"/>
  </si>
  <si>
    <r>
      <rPr>
        <sz val="18"/>
        <color theme="1"/>
        <rFont val="游ゴシック"/>
        <family val="2"/>
        <charset val="128"/>
      </rPr>
      <t>担当</t>
    </r>
    <r>
      <rPr>
        <sz val="18"/>
        <color theme="1"/>
        <rFont val="Times New Roman"/>
        <family val="1"/>
      </rPr>
      <t xml:space="preserve"> : Nguyen Van Giang</t>
    </r>
    <rPh sb="0" eb="2">
      <t>タントウ</t>
    </rPh>
    <phoneticPr fontId="2"/>
  </si>
  <si>
    <t>2023/04</t>
    <phoneticPr fontId="2"/>
  </si>
  <si>
    <t>Ngày ghi</t>
    <phoneticPr fontId="2"/>
  </si>
  <si>
    <t>Ghi chú</t>
    <phoneticPr fontId="2"/>
  </si>
  <si>
    <t>賞味期限切れ</t>
    <rPh sb="0" eb="5">
      <t>ショウミキゲンキ</t>
    </rPh>
    <phoneticPr fontId="2"/>
  </si>
  <si>
    <t>Tên sản phẩm</t>
    <phoneticPr fontId="2"/>
  </si>
  <si>
    <t>Giá vốn</t>
    <phoneticPr fontId="2"/>
  </si>
  <si>
    <t>Số lượng</t>
    <phoneticPr fontId="2"/>
  </si>
  <si>
    <t>Thành tiền</t>
    <phoneticPr fontId="2"/>
  </si>
  <si>
    <t>Rau muống</t>
    <phoneticPr fontId="2"/>
  </si>
  <si>
    <r>
      <rPr>
        <sz val="11"/>
        <color theme="1"/>
        <rFont val="游ゴシック"/>
        <family val="2"/>
        <charset val="128"/>
      </rPr>
      <t>賞味期限切れ</t>
    </r>
    <rPh sb="0" eb="5">
      <t>ショウミキゲンキ</t>
    </rPh>
    <phoneticPr fontId="2"/>
  </si>
  <si>
    <t>Gà lộn</t>
    <phoneticPr fontId="2"/>
  </si>
  <si>
    <r>
      <rPr>
        <b/>
        <sz val="13"/>
        <color theme="1"/>
        <rFont val="游ゴシック"/>
        <family val="2"/>
        <charset val="128"/>
      </rPr>
      <t>品名</t>
    </r>
    <rPh sb="0" eb="2">
      <t>ヒンメイ</t>
    </rPh>
    <phoneticPr fontId="2"/>
  </si>
  <si>
    <r>
      <rPr>
        <b/>
        <sz val="13"/>
        <color theme="1"/>
        <rFont val="游ゴシック"/>
        <family val="2"/>
        <charset val="128"/>
      </rPr>
      <t>原価</t>
    </r>
    <rPh sb="0" eb="2">
      <t>ゲンカ</t>
    </rPh>
    <phoneticPr fontId="2"/>
  </si>
  <si>
    <r>
      <rPr>
        <b/>
        <sz val="13"/>
        <color theme="1"/>
        <rFont val="游ゴシック"/>
        <family val="2"/>
        <charset val="128"/>
      </rPr>
      <t>数量</t>
    </r>
    <rPh sb="0" eb="2">
      <t>スウリョウ</t>
    </rPh>
    <phoneticPr fontId="2"/>
  </si>
  <si>
    <r>
      <rPr>
        <b/>
        <sz val="13"/>
        <color theme="1"/>
        <rFont val="游ゴシック"/>
        <family val="2"/>
        <charset val="128"/>
      </rPr>
      <t>金額</t>
    </r>
    <rPh sb="0" eb="2">
      <t>キンガク</t>
    </rPh>
    <phoneticPr fontId="2"/>
  </si>
  <si>
    <r>
      <rPr>
        <b/>
        <sz val="13"/>
        <color theme="1"/>
        <rFont val="游ゴシック"/>
        <family val="2"/>
        <charset val="128"/>
      </rPr>
      <t>日付</t>
    </r>
    <rPh sb="0" eb="2">
      <t>ヒヅケ</t>
    </rPh>
    <phoneticPr fontId="2"/>
  </si>
  <si>
    <t>Bánh đậu xanh</t>
    <phoneticPr fontId="2"/>
  </si>
  <si>
    <r>
      <rPr>
        <b/>
        <sz val="24"/>
        <color theme="1"/>
        <rFont val="游ゴシック"/>
        <family val="3"/>
        <charset val="128"/>
      </rPr>
      <t>合同会社</t>
    </r>
    <r>
      <rPr>
        <b/>
        <sz val="24"/>
        <color theme="1"/>
        <rFont val="Times New Roman"/>
        <family val="1"/>
      </rPr>
      <t xml:space="preserve"> TRUONG GIANG</t>
    </r>
    <rPh sb="0" eb="4">
      <t>ゴウド</t>
    </rPh>
    <phoneticPr fontId="2"/>
  </si>
  <si>
    <r>
      <rPr>
        <sz val="18"/>
        <color theme="1"/>
        <rFont val="游ゴシック"/>
        <family val="2"/>
        <charset val="128"/>
      </rPr>
      <t>店名：</t>
    </r>
    <r>
      <rPr>
        <sz val="18"/>
        <color theme="1"/>
        <rFont val="Times New Roman"/>
        <family val="1"/>
      </rPr>
      <t>Kokura Xuân Shop Việt Nhật</t>
    </r>
    <rPh sb="0" eb="2">
      <t>テンメイ</t>
    </rPh>
    <phoneticPr fontId="2"/>
  </si>
  <si>
    <r>
      <rPr>
        <sz val="18"/>
        <color theme="1"/>
        <rFont val="游ゴシック"/>
        <family val="2"/>
        <charset val="128"/>
      </rPr>
      <t>電話番号：</t>
    </r>
    <r>
      <rPr>
        <sz val="18"/>
        <color theme="1"/>
        <rFont val="Times New Roman"/>
        <family val="1"/>
      </rPr>
      <t>080-2372-6019</t>
    </r>
    <rPh sb="0" eb="3">
      <t>デンワバンゴ</t>
    </rPh>
    <rPh sb="3" eb="4">
      <t>ゴウ</t>
    </rPh>
    <phoneticPr fontId="2"/>
  </si>
  <si>
    <r>
      <rPr>
        <b/>
        <sz val="28"/>
        <color theme="1"/>
        <rFont val="游ゴシック"/>
        <family val="3"/>
        <charset val="128"/>
      </rPr>
      <t>損失管理</t>
    </r>
    <r>
      <rPr>
        <b/>
        <sz val="28"/>
        <color theme="1"/>
        <rFont val="Times New Roman"/>
        <family val="1"/>
      </rPr>
      <t xml:space="preserve"> -</t>
    </r>
    <r>
      <rPr>
        <b/>
        <sz val="28"/>
        <color theme="1"/>
        <rFont val="游ゴシック"/>
        <family val="3"/>
        <charset val="128"/>
      </rPr>
      <t>廃棄物表</t>
    </r>
    <rPh sb="0" eb="2">
      <t>ソンシツ</t>
    </rPh>
    <rPh sb="2" eb="4">
      <t>カンリ</t>
    </rPh>
    <rPh sb="6" eb="8">
      <t>ハイキ</t>
    </rPh>
    <rPh sb="9" eb="10">
      <t>ヒョウ</t>
    </rPh>
    <phoneticPr fontId="6"/>
  </si>
  <si>
    <r>
      <rPr>
        <sz val="18"/>
        <color theme="1"/>
        <rFont val="游ゴシック"/>
        <family val="2"/>
        <charset val="128"/>
      </rPr>
      <t>作成日：</t>
    </r>
    <r>
      <rPr>
        <sz val="18"/>
        <color theme="1"/>
        <rFont val="Times New Roman"/>
        <family val="1"/>
      </rPr>
      <t>2024</t>
    </r>
    <r>
      <rPr>
        <sz val="18"/>
        <color theme="1"/>
        <rFont val="游ゴシック"/>
        <family val="2"/>
        <charset val="128"/>
      </rPr>
      <t>年</t>
    </r>
    <r>
      <rPr>
        <sz val="18"/>
        <color theme="1"/>
        <rFont val="Times New Roman"/>
        <family val="1"/>
      </rPr>
      <t>03</t>
    </r>
    <r>
      <rPr>
        <sz val="18"/>
        <color theme="1"/>
        <rFont val="游ゴシック"/>
        <family val="2"/>
        <charset val="128"/>
      </rPr>
      <t>月</t>
    </r>
    <r>
      <rPr>
        <sz val="18"/>
        <color theme="1"/>
        <rFont val="Times New Roman"/>
        <family val="1"/>
      </rPr>
      <t>31</t>
    </r>
    <r>
      <rPr>
        <sz val="18"/>
        <color theme="1"/>
        <rFont val="游ゴシック"/>
        <family val="2"/>
        <charset val="128"/>
      </rPr>
      <t>日</t>
    </r>
    <rPh sb="0" eb="3">
      <t>SAKUSE</t>
    </rPh>
    <phoneticPr fontId="6"/>
  </si>
  <si>
    <r>
      <t>2024</t>
    </r>
    <r>
      <rPr>
        <sz val="11"/>
        <color theme="1"/>
        <rFont val="游ゴシック"/>
        <family val="2"/>
        <charset val="128"/>
      </rPr>
      <t>年</t>
    </r>
    <r>
      <rPr>
        <sz val="11"/>
        <color theme="1"/>
        <rFont val="Times New Roman"/>
        <family val="1"/>
      </rPr>
      <t>03</t>
    </r>
    <r>
      <rPr>
        <sz val="11"/>
        <color theme="1"/>
        <rFont val="游ゴシック"/>
        <family val="2"/>
        <charset val="128"/>
      </rPr>
      <t>月</t>
    </r>
    <r>
      <rPr>
        <sz val="11"/>
        <color theme="1"/>
        <rFont val="Times New Roman"/>
        <family val="1"/>
      </rPr>
      <t>31</t>
    </r>
    <r>
      <rPr>
        <sz val="11"/>
        <color theme="1"/>
        <rFont val="游ゴシック"/>
        <family val="2"/>
        <charset val="128"/>
      </rPr>
      <t>日時点</t>
    </r>
    <rPh sb="4" eb="5">
      <t>ネn</t>
    </rPh>
    <rPh sb="11" eb="13">
      <t>ジテn</t>
    </rPh>
    <phoneticPr fontId="6"/>
  </si>
  <si>
    <t>Mì hảo hảo</t>
    <phoneticPr fontId="2"/>
  </si>
  <si>
    <t>小計金額</t>
    <rPh sb="0" eb="4">
      <t>ショウケイキンガク</t>
    </rPh>
    <phoneticPr fontId="2"/>
  </si>
  <si>
    <t>2023/05</t>
  </si>
  <si>
    <t>詳細</t>
    <rPh sb="0" eb="2">
      <t>ショウサイ</t>
    </rPh>
    <phoneticPr fontId="2"/>
  </si>
  <si>
    <t>Bánh mì dừa</t>
    <phoneticPr fontId="2"/>
  </si>
  <si>
    <t>Dừa quả</t>
    <phoneticPr fontId="2"/>
  </si>
  <si>
    <t>Tương bần</t>
    <phoneticPr fontId="2"/>
  </si>
  <si>
    <t>Rau mùi</t>
    <phoneticPr fontId="2"/>
  </si>
  <si>
    <t>Lá lốt</t>
    <phoneticPr fontId="2"/>
  </si>
  <si>
    <t>Trà xanh</t>
    <phoneticPr fontId="2"/>
  </si>
  <si>
    <t>2023/06</t>
  </si>
  <si>
    <t>Ba chỉ</t>
    <phoneticPr fontId="2"/>
  </si>
  <si>
    <t>Bắp bò</t>
    <phoneticPr fontId="2"/>
  </si>
  <si>
    <t>Vịt</t>
    <phoneticPr fontId="2"/>
  </si>
  <si>
    <t xml:space="preserve">Gà </t>
    <phoneticPr fontId="2"/>
  </si>
  <si>
    <t>Cá basa</t>
    <phoneticPr fontId="2"/>
  </si>
  <si>
    <t>Cá lóc</t>
    <phoneticPr fontId="2"/>
  </si>
  <si>
    <t>Chả cá basa</t>
    <phoneticPr fontId="2"/>
  </si>
  <si>
    <t>Đuôi heo</t>
    <phoneticPr fontId="2"/>
  </si>
  <si>
    <t>Móng heo</t>
    <phoneticPr fontId="2"/>
  </si>
  <si>
    <t>冷凍庫壊れ</t>
    <rPh sb="0" eb="3">
      <t>レイトウコ</t>
    </rPh>
    <rPh sb="3" eb="4">
      <t>コワ</t>
    </rPh>
    <phoneticPr fontId="2"/>
  </si>
  <si>
    <t>Lá chanh 400G</t>
    <phoneticPr fontId="2"/>
  </si>
  <si>
    <t>Đùi ếch</t>
    <phoneticPr fontId="2"/>
  </si>
  <si>
    <t>2023/07</t>
    <phoneticPr fontId="2"/>
  </si>
  <si>
    <t>Chè cốc</t>
    <phoneticPr fontId="2"/>
  </si>
  <si>
    <t>Cải canh</t>
    <phoneticPr fontId="2"/>
  </si>
  <si>
    <t>Bánh pía kim sa</t>
    <phoneticPr fontId="2"/>
  </si>
  <si>
    <t>2023/08</t>
    <phoneticPr fontId="2"/>
  </si>
  <si>
    <t>Rau</t>
    <phoneticPr fontId="2"/>
  </si>
  <si>
    <t>Chè sầu</t>
    <phoneticPr fontId="2"/>
  </si>
  <si>
    <t>Chè dừa dầm</t>
    <phoneticPr fontId="2"/>
  </si>
  <si>
    <t>2023/09</t>
  </si>
  <si>
    <t>Mì xào</t>
    <phoneticPr fontId="2"/>
  </si>
  <si>
    <t>Mì omachi trộn</t>
    <phoneticPr fontId="2"/>
  </si>
  <si>
    <t>Giò lụa</t>
    <phoneticPr fontId="2"/>
  </si>
  <si>
    <t>Bánh cosy</t>
    <phoneticPr fontId="2"/>
  </si>
  <si>
    <t>Ngũ cốc</t>
    <phoneticPr fontId="2"/>
  </si>
  <si>
    <t>2023/10</t>
  </si>
  <si>
    <t>Xoài cát chu</t>
    <phoneticPr fontId="2"/>
  </si>
  <si>
    <t>Sả tươi</t>
    <phoneticPr fontId="2"/>
  </si>
  <si>
    <t>Hành tím</t>
    <phoneticPr fontId="2"/>
  </si>
  <si>
    <t>Riềng củ</t>
    <phoneticPr fontId="2"/>
  </si>
  <si>
    <t>Quẩy hành</t>
    <phoneticPr fontId="2"/>
  </si>
  <si>
    <t>Mỳ gạo chũ</t>
    <phoneticPr fontId="2"/>
  </si>
  <si>
    <t>2023/11</t>
  </si>
  <si>
    <t>Mắm nêm ngon</t>
    <phoneticPr fontId="2"/>
  </si>
  <si>
    <t>Ruốc huế</t>
    <phoneticPr fontId="2"/>
  </si>
  <si>
    <t>Sting dâu</t>
    <phoneticPr fontId="2"/>
  </si>
  <si>
    <t>2023/12</t>
  </si>
  <si>
    <t>Giò bò</t>
    <phoneticPr fontId="2"/>
  </si>
  <si>
    <t>Sữa đặc</t>
    <phoneticPr fontId="2"/>
  </si>
  <si>
    <t>Muối hảo hảo</t>
    <phoneticPr fontId="2"/>
  </si>
  <si>
    <t>2024/01</t>
    <phoneticPr fontId="2"/>
  </si>
  <si>
    <t>Gia vị bb huế</t>
    <phoneticPr fontId="2"/>
  </si>
  <si>
    <t>Bột chiên giòn</t>
    <phoneticPr fontId="2"/>
  </si>
  <si>
    <t>2024/02</t>
    <phoneticPr fontId="2"/>
  </si>
  <si>
    <t>Ngò gai</t>
    <phoneticPr fontId="2"/>
  </si>
  <si>
    <t>Su hào</t>
    <phoneticPr fontId="2"/>
  </si>
  <si>
    <t>Chuối xanh</t>
    <phoneticPr fontId="2"/>
  </si>
  <si>
    <t>Mướp</t>
    <phoneticPr fontId="2"/>
  </si>
  <si>
    <t>2024/03</t>
    <phoneticPr fontId="2"/>
  </si>
  <si>
    <t>Sữa kun dâu</t>
    <phoneticPr fontId="2"/>
  </si>
  <si>
    <t>Sữa kun cam</t>
    <phoneticPr fontId="2"/>
  </si>
  <si>
    <t>合計金額</t>
    <rPh sb="0" eb="4">
      <t>ゴウケイキンガク</t>
    </rPh>
    <phoneticPr fontId="2"/>
  </si>
  <si>
    <t>Tăm cay</t>
    <phoneticPr fontId="2"/>
  </si>
  <si>
    <t>Cà pháo</t>
    <phoneticPr fontId="2"/>
  </si>
  <si>
    <t>Mì thái</t>
    <phoneticPr fontId="2"/>
  </si>
  <si>
    <t>Táo xanh</t>
    <phoneticPr fontId="2"/>
  </si>
  <si>
    <t>Còi ốc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</si>
</sst>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¥-411]#,##0"/>
  </numFmts>
  <fonts count="2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</font>
    <font>
      <sz val="6"/>
      <name val="游ゴシック"/>
      <family val="2"/>
      <charset val="128"/>
      <scheme val="minor"/>
    </font>
    <font>
      <sz val="18"/>
      <color theme="1"/>
      <name val="游ゴシック"/>
      <family val="2"/>
      <charset val="128"/>
    </font>
    <font>
      <sz val="18"/>
      <color theme="1"/>
      <name val="Times New Roman"/>
      <family val="1"/>
    </font>
    <font>
      <b/>
      <sz val="28"/>
      <color theme="1"/>
      <name val="游ゴシック"/>
      <family val="3"/>
      <charset val="128"/>
    </font>
    <font>
      <sz val="6"/>
      <name val="游ゴシック"/>
      <family val="3"/>
      <charset val="128"/>
      <scheme val="minor"/>
    </font>
    <font>
      <sz val="11"/>
      <color theme="1"/>
      <name val="Times New Roman"/>
      <family val="1"/>
    </font>
    <font>
      <b/>
      <sz val="25"/>
      <color theme="1"/>
      <name val="Times New Roman"/>
      <family val="1"/>
    </font>
    <font>
      <b/>
      <sz val="13"/>
      <color theme="1"/>
      <name val="Times New Roman"/>
      <family val="1"/>
    </font>
    <font>
      <b/>
      <sz val="13"/>
      <color theme="1"/>
      <name val="游ゴシック"/>
      <family val="2"/>
      <charset val="128"/>
    </font>
    <font>
      <b/>
      <sz val="24"/>
      <color theme="1"/>
      <name val="Times New Roman"/>
      <family val="1"/>
    </font>
    <font>
      <b/>
      <sz val="24"/>
      <color theme="1"/>
      <name val="游ゴシック"/>
      <family val="3"/>
      <charset val="128"/>
    </font>
    <font>
      <b/>
      <sz val="28"/>
      <color theme="1"/>
      <name val="Times New Roman"/>
      <family val="1"/>
    </font>
    <font>
      <b/>
      <sz val="18"/>
      <color theme="1"/>
      <name val="ＭＳ Ｐ明朝"/>
      <family val="1"/>
      <charset val="128"/>
    </font>
    <font>
      <b/>
      <sz val="18"/>
      <color theme="1"/>
      <name val="Times New Roman"/>
      <family val="1"/>
    </font>
    <font>
      <b/>
      <sz val="13"/>
      <color theme="1"/>
      <name val="ＭＳ Ｐ明朝"/>
      <family val="1"/>
      <charset val="128"/>
    </font>
    <font>
      <b/>
      <sz val="20"/>
      <color rgb="FFFF0000"/>
      <name val="ＭＳ Ｐ明朝"/>
      <family val="1"/>
      <charset val="128"/>
    </font>
    <font>
      <b/>
      <sz val="20"/>
      <color rgb="FFFF0000"/>
      <name val="Times New Roman"/>
      <family val="1"/>
    </font>
    <font>
      <b/>
      <sz val="18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7" fillId="0" borderId="9" xfId="0" applyFont="1" applyBorder="1">
      <alignment vertical="center"/>
    </xf>
    <xf numFmtId="176" fontId="7" fillId="0" borderId="9" xfId="0" applyNumberFormat="1" applyFont="1" applyBorder="1">
      <alignment vertical="center"/>
    </xf>
    <xf numFmtId="0" fontId="7" fillId="0" borderId="9" xfId="0" applyFont="1" applyBorder="1" applyAlignment="1">
      <alignment horizontal="center" vertical="center"/>
    </xf>
    <xf numFmtId="176" fontId="7" fillId="0" borderId="9" xfId="0" applyNumberFormat="1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176" fontId="9" fillId="0" borderId="9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176" fontId="7" fillId="0" borderId="0" xfId="0" applyNumberFormat="1" applyFont="1">
      <alignment vertical="center"/>
    </xf>
    <xf numFmtId="56" fontId="7" fillId="0" borderId="9" xfId="0" applyNumberFormat="1" applyFont="1" applyBorder="1">
      <alignment vertical="center"/>
    </xf>
    <xf numFmtId="0" fontId="16" fillId="0" borderId="9" xfId="0" applyFont="1" applyBorder="1" applyAlignment="1">
      <alignment horizontal="center" vertical="center"/>
    </xf>
    <xf numFmtId="0" fontId="1" fillId="0" borderId="9" xfId="0" applyFont="1" applyBorder="1">
      <alignment vertical="center"/>
    </xf>
    <xf numFmtId="0" fontId="7" fillId="0" borderId="0" xfId="0" applyFont="1" applyAlignment="1">
      <alignment horizontal="right" shrinkToFit="1"/>
    </xf>
    <xf numFmtId="56" fontId="7" fillId="0" borderId="0" xfId="0" applyNumberFormat="1" applyFont="1">
      <alignment vertical="center"/>
    </xf>
    <xf numFmtId="0" fontId="7" fillId="0" borderId="10" xfId="0" applyFont="1" applyBorder="1" applyAlignment="1">
      <alignment horizontal="center" shrinkToFit="1"/>
    </xf>
    <xf numFmtId="0" fontId="8" fillId="2" borderId="9" xfId="0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176" fontId="15" fillId="0" borderId="9" xfId="0" applyNumberFormat="1" applyFont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 shrinkToFit="1"/>
    </xf>
    <xf numFmtId="0" fontId="18" fillId="3" borderId="9" xfId="0" applyFont="1" applyFill="1" applyBorder="1" applyAlignment="1">
      <alignment horizontal="center" vertical="center" shrinkToFit="1"/>
    </xf>
    <xf numFmtId="176" fontId="19" fillId="3" borderId="9" xfId="0" applyNumberFormat="1" applyFont="1" applyFill="1" applyBorder="1" applyAlignment="1">
      <alignment horizontal="center" vertical="center" shrinkToFit="1"/>
    </xf>
    <xf numFmtId="0" fontId="19" fillId="3" borderId="9" xfId="0" applyFont="1" applyFill="1" applyBorder="1" applyAlignment="1">
      <alignment horizontal="center" vertical="center" shrinkToFit="1"/>
    </xf>
    <xf numFmtId="0" fontId="4" fillId="0" borderId="4" xfId="0" applyFont="1" applyBorder="1" applyAlignment="1">
      <alignment horizontal="left" vertical="center" shrinkToFit="1"/>
    </xf>
    <xf numFmtId="0" fontId="4" fillId="0" borderId="0" xfId="0" applyFont="1" applyAlignment="1">
      <alignment horizontal="left" vertical="center" shrinkToFit="1"/>
    </xf>
    <xf numFmtId="0" fontId="4" fillId="0" borderId="5" xfId="0" applyFont="1" applyBorder="1" applyAlignment="1">
      <alignment horizontal="left" vertical="center" shrinkToFit="1"/>
    </xf>
    <xf numFmtId="0" fontId="7" fillId="0" borderId="6" xfId="0" applyFont="1" applyBorder="1" applyAlignment="1">
      <alignment horizontal="right" shrinkToFit="1"/>
    </xf>
    <xf numFmtId="0" fontId="7" fillId="0" borderId="7" xfId="0" applyFont="1" applyBorder="1" applyAlignment="1">
      <alignment horizontal="right" shrinkToFit="1"/>
    </xf>
    <xf numFmtId="0" fontId="7" fillId="0" borderId="8" xfId="0" applyFont="1" applyBorder="1" applyAlignment="1">
      <alignment horizontal="right" shrinkToFit="1"/>
    </xf>
    <xf numFmtId="0" fontId="11" fillId="0" borderId="1" xfId="0" applyFont="1" applyBorder="1" applyAlignment="1">
      <alignment horizontal="center" vertical="center" shrinkToFit="1"/>
    </xf>
    <xf numFmtId="0" fontId="11" fillId="0" borderId="2" xfId="0" applyFont="1" applyBorder="1" applyAlignment="1">
      <alignment horizontal="center" vertical="center" shrinkToFit="1"/>
    </xf>
    <xf numFmtId="0" fontId="11" fillId="0" borderId="3" xfId="0" applyFont="1" applyBorder="1" applyAlignment="1">
      <alignment horizontal="center" vertical="center" shrinkToFit="1"/>
    </xf>
    <xf numFmtId="0" fontId="13" fillId="0" borderId="4" xfId="0" applyFont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0" fontId="13" fillId="0" borderId="5" xfId="0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F3D2E-5F8E-472D-B1D6-02D98F360291}">
  <dimension ref="A1:H138"/>
  <sheetViews>
    <sheetView tabSelected="1" topLeftCell="A157" workbookViewId="0">
      <selection activeCell="F44" sqref="F44"/>
    </sheetView>
  </sheetViews>
  <sheetFormatPr defaultRowHeight="15" x14ac:dyDescent="0.4"/>
  <cols>
    <col min="1" max="1" width="13.5" style="7" customWidth="1"/>
    <col min="2" max="2" width="8" style="7" customWidth="1"/>
    <col min="3" max="3" width="8.25" style="7" customWidth="1"/>
    <col min="4" max="4" width="10.875" style="8" customWidth="1"/>
    <col min="5" max="5" width="9" style="7"/>
    <col min="6" max="6" width="12.625" style="7" customWidth="1"/>
    <col min="7" max="16384" width="9" style="7"/>
  </cols>
  <sheetData>
    <row r="1" spans="1:6" ht="40.5" thickTop="1" x14ac:dyDescent="0.4">
      <c r="A1" s="29" t="s">
        <v>19</v>
      </c>
      <c r="B1" s="30"/>
      <c r="C1" s="30"/>
      <c r="D1" s="30"/>
      <c r="E1" s="30"/>
      <c r="F1" s="31"/>
    </row>
    <row r="2" spans="1:6" ht="30" x14ac:dyDescent="0.4">
      <c r="A2" s="23" t="s">
        <v>20</v>
      </c>
      <c r="B2" s="24"/>
      <c r="C2" s="24"/>
      <c r="D2" s="24"/>
      <c r="E2" s="24"/>
      <c r="F2" s="25"/>
    </row>
    <row r="3" spans="1:6" ht="30" x14ac:dyDescent="0.4">
      <c r="A3" s="23" t="s">
        <v>0</v>
      </c>
      <c r="B3" s="24"/>
      <c r="C3" s="24"/>
      <c r="D3" s="24"/>
      <c r="E3" s="24"/>
      <c r="F3" s="25"/>
    </row>
    <row r="4" spans="1:6" ht="30" x14ac:dyDescent="0.4">
      <c r="A4" s="23" t="s">
        <v>21</v>
      </c>
      <c r="B4" s="24"/>
      <c r="C4" s="24"/>
      <c r="D4" s="24"/>
      <c r="E4" s="24"/>
      <c r="F4" s="25"/>
    </row>
    <row r="5" spans="1:6" ht="45.75" x14ac:dyDescent="0.4">
      <c r="A5" s="32" t="s">
        <v>22</v>
      </c>
      <c r="B5" s="33"/>
      <c r="C5" s="33"/>
      <c r="D5" s="33"/>
      <c r="E5" s="33"/>
      <c r="F5" s="34"/>
    </row>
    <row r="6" spans="1:6" ht="30" x14ac:dyDescent="0.4">
      <c r="A6" s="23" t="s">
        <v>23</v>
      </c>
      <c r="B6" s="24"/>
      <c r="C6" s="24"/>
      <c r="D6" s="24"/>
      <c r="E6" s="24"/>
      <c r="F6" s="25"/>
    </row>
    <row r="7" spans="1:6" ht="30" x14ac:dyDescent="0.4">
      <c r="A7" s="23" t="s">
        <v>1</v>
      </c>
      <c r="B7" s="24"/>
      <c r="C7" s="24"/>
      <c r="D7" s="24"/>
      <c r="E7" s="24"/>
      <c r="F7" s="25"/>
    </row>
    <row r="8" spans="1:6" ht="19.5" thickBot="1" x14ac:dyDescent="0.45">
      <c r="A8" s="26" t="s">
        <v>24</v>
      </c>
      <c r="B8" s="27"/>
      <c r="C8" s="27"/>
      <c r="D8" s="27"/>
      <c r="E8" s="27"/>
      <c r="F8" s="28"/>
    </row>
    <row r="9" spans="1:6" ht="15.75" thickTop="1" x14ac:dyDescent="0.25">
      <c r="A9" s="12"/>
      <c r="B9" s="12"/>
      <c r="C9" s="12"/>
      <c r="D9" s="12"/>
      <c r="E9" s="12"/>
      <c r="F9" s="12"/>
    </row>
    <row r="10" spans="1:6" ht="19.5" customHeight="1" x14ac:dyDescent="0.4">
      <c r="A10" s="19" t="s">
        <v>88</v>
      </c>
      <c r="B10" s="20"/>
      <c r="C10" s="20"/>
      <c r="D10" s="20"/>
      <c r="E10" s="21">
        <f>D22+D33+D50+D58+D68+D78+D89+D99+D110+D119+D128+D138</f>
        <v>898032.75199999998</v>
      </c>
      <c r="F10" s="22"/>
    </row>
    <row r="11" spans="1:6" x14ac:dyDescent="0.4">
      <c r="A11" s="20"/>
      <c r="B11" s="20"/>
      <c r="C11" s="20"/>
      <c r="D11" s="20"/>
      <c r="E11" s="22"/>
      <c r="F11" s="22"/>
    </row>
    <row r="12" spans="1:6" x14ac:dyDescent="0.25">
      <c r="A12" s="14"/>
      <c r="B12" s="14"/>
      <c r="C12" s="14"/>
      <c r="D12" s="14"/>
      <c r="E12" s="14"/>
      <c r="F12" s="14"/>
    </row>
    <row r="13" spans="1:6" ht="28.5" customHeight="1" x14ac:dyDescent="0.4">
      <c r="A13" s="15" t="s">
        <v>2</v>
      </c>
      <c r="B13" s="15"/>
      <c r="C13" s="15"/>
      <c r="D13" s="15"/>
      <c r="E13" s="15"/>
      <c r="F13" s="15"/>
    </row>
    <row r="14" spans="1:6" x14ac:dyDescent="0.4">
      <c r="A14" s="3" t="s">
        <v>6</v>
      </c>
      <c r="B14" s="3" t="s">
        <v>7</v>
      </c>
      <c r="C14" s="3" t="s">
        <v>8</v>
      </c>
      <c r="D14" s="4" t="s">
        <v>9</v>
      </c>
      <c r="E14" s="3" t="s">
        <v>3</v>
      </c>
      <c r="F14" s="3" t="s">
        <v>4</v>
      </c>
    </row>
    <row r="15" spans="1:6" ht="20.25" x14ac:dyDescent="0.4">
      <c r="A15" s="5" t="s">
        <v>13</v>
      </c>
      <c r="B15" s="5" t="s">
        <v>14</v>
      </c>
      <c r="C15" s="5" t="s">
        <v>15</v>
      </c>
      <c r="D15" s="6" t="s">
        <v>16</v>
      </c>
      <c r="E15" s="5" t="s">
        <v>17</v>
      </c>
      <c r="F15" s="10" t="s">
        <v>28</v>
      </c>
    </row>
    <row r="16" spans="1:6" ht="18.75" x14ac:dyDescent="0.4">
      <c r="A16" s="1" t="s">
        <v>10</v>
      </c>
      <c r="B16" s="1">
        <v>800</v>
      </c>
      <c r="C16" s="1">
        <v>20</v>
      </c>
      <c r="D16" s="2">
        <f>C16*B16</f>
        <v>16000</v>
      </c>
      <c r="E16" s="9">
        <v>45390</v>
      </c>
      <c r="F16" s="1" t="s">
        <v>11</v>
      </c>
    </row>
    <row r="17" spans="1:6" ht="18.75" x14ac:dyDescent="0.4">
      <c r="A17" s="1" t="s">
        <v>79</v>
      </c>
      <c r="B17" s="1">
        <v>90</v>
      </c>
      <c r="C17" s="1">
        <v>18</v>
      </c>
      <c r="D17" s="2">
        <f t="shared" ref="D17:D18" si="0">C17*B17</f>
        <v>1620</v>
      </c>
      <c r="E17" s="9">
        <v>45391</v>
      </c>
      <c r="F17" s="1" t="s">
        <v>11</v>
      </c>
    </row>
    <row r="18" spans="1:6" ht="18.75" x14ac:dyDescent="0.4">
      <c r="A18" s="1" t="s">
        <v>91</v>
      </c>
      <c r="B18" s="1">
        <v>60</v>
      </c>
      <c r="C18" s="1">
        <v>72</v>
      </c>
      <c r="D18" s="2">
        <f t="shared" si="0"/>
        <v>4320</v>
      </c>
      <c r="E18" s="9">
        <v>45392</v>
      </c>
      <c r="F18" s="1" t="s">
        <v>11</v>
      </c>
    </row>
    <row r="19" spans="1:6" ht="18.75" x14ac:dyDescent="0.4">
      <c r="A19" s="1" t="s">
        <v>12</v>
      </c>
      <c r="B19" s="1">
        <v>72</v>
      </c>
      <c r="C19" s="1">
        <v>153</v>
      </c>
      <c r="D19" s="2">
        <f t="shared" ref="D19:D21" si="1">C19*B19</f>
        <v>11016</v>
      </c>
      <c r="E19" s="9">
        <v>45392</v>
      </c>
      <c r="F19" s="1" t="s">
        <v>11</v>
      </c>
    </row>
    <row r="20" spans="1:6" ht="18.75" x14ac:dyDescent="0.4">
      <c r="A20" s="1" t="s">
        <v>18</v>
      </c>
      <c r="B20" s="1">
        <v>270</v>
      </c>
      <c r="C20" s="1">
        <v>12</v>
      </c>
      <c r="D20" s="2">
        <f t="shared" si="1"/>
        <v>3240</v>
      </c>
      <c r="E20" s="9">
        <v>45400</v>
      </c>
      <c r="F20" s="1" t="s">
        <v>11</v>
      </c>
    </row>
    <row r="21" spans="1:6" ht="18.75" x14ac:dyDescent="0.4">
      <c r="A21" s="1" t="s">
        <v>25</v>
      </c>
      <c r="B21" s="1">
        <v>65</v>
      </c>
      <c r="C21" s="1">
        <v>40</v>
      </c>
      <c r="D21" s="2">
        <f t="shared" si="1"/>
        <v>2600</v>
      </c>
      <c r="E21" s="9">
        <v>45410</v>
      </c>
      <c r="F21" s="1" t="s">
        <v>11</v>
      </c>
    </row>
    <row r="22" spans="1:6" ht="26.25" customHeight="1" x14ac:dyDescent="0.4">
      <c r="A22" s="16" t="s">
        <v>26</v>
      </c>
      <c r="B22" s="17"/>
      <c r="C22" s="17"/>
      <c r="D22" s="18">
        <f>SUM(D16:D21)</f>
        <v>38796</v>
      </c>
      <c r="E22" s="18"/>
      <c r="F22" s="18"/>
    </row>
    <row r="23" spans="1:6" ht="30.75" x14ac:dyDescent="0.4">
      <c r="A23" s="15" t="s">
        <v>27</v>
      </c>
      <c r="B23" s="15"/>
      <c r="C23" s="15"/>
      <c r="D23" s="15"/>
      <c r="E23" s="15"/>
      <c r="F23" s="15"/>
    </row>
    <row r="24" spans="1:6" x14ac:dyDescent="0.4">
      <c r="A24" s="3" t="s">
        <v>6</v>
      </c>
      <c r="B24" s="3" t="s">
        <v>7</v>
      </c>
      <c r="C24" s="3" t="s">
        <v>8</v>
      </c>
      <c r="D24" s="4" t="s">
        <v>9</v>
      </c>
      <c r="E24" s="3" t="s">
        <v>3</v>
      </c>
      <c r="F24" s="3" t="s">
        <v>4</v>
      </c>
    </row>
    <row r="25" spans="1:6" ht="20.25" x14ac:dyDescent="0.4">
      <c r="A25" s="5" t="s">
        <v>13</v>
      </c>
      <c r="B25" s="5" t="s">
        <v>14</v>
      </c>
      <c r="C25" s="5" t="s">
        <v>15</v>
      </c>
      <c r="D25" s="6" t="s">
        <v>16</v>
      </c>
      <c r="E25" s="5" t="s">
        <v>17</v>
      </c>
      <c r="F25" s="10" t="s">
        <v>28</v>
      </c>
    </row>
    <row r="26" spans="1:6" ht="18.75" x14ac:dyDescent="0.4">
      <c r="A26" s="1" t="s">
        <v>29</v>
      </c>
      <c r="B26" s="1">
        <v>300</v>
      </c>
      <c r="C26" s="1">
        <v>8</v>
      </c>
      <c r="D26" s="2">
        <f>C26*B26</f>
        <v>2400</v>
      </c>
      <c r="E26" s="9">
        <v>45413</v>
      </c>
      <c r="F26" s="1" t="s">
        <v>11</v>
      </c>
    </row>
    <row r="27" spans="1:6" ht="18.75" x14ac:dyDescent="0.4">
      <c r="A27" s="1" t="s">
        <v>30</v>
      </c>
      <c r="B27" s="1">
        <v>210</v>
      </c>
      <c r="C27" s="1">
        <v>30</v>
      </c>
      <c r="D27" s="2">
        <f t="shared" ref="D27:D28" si="2">C27*B27</f>
        <v>6300</v>
      </c>
      <c r="E27" s="9">
        <v>45416</v>
      </c>
      <c r="F27" s="1" t="s">
        <v>11</v>
      </c>
    </row>
    <row r="28" spans="1:6" ht="18.75" x14ac:dyDescent="0.4">
      <c r="A28" s="1" t="s">
        <v>31</v>
      </c>
      <c r="B28" s="1">
        <v>400</v>
      </c>
      <c r="C28" s="1">
        <v>3</v>
      </c>
      <c r="D28" s="2">
        <f t="shared" si="2"/>
        <v>1200</v>
      </c>
      <c r="E28" s="9">
        <v>45417</v>
      </c>
      <c r="F28" s="1" t="s">
        <v>11</v>
      </c>
    </row>
    <row r="29" spans="1:6" ht="18.75" x14ac:dyDescent="0.4">
      <c r="A29" s="1" t="s">
        <v>32</v>
      </c>
      <c r="B29" s="1">
        <v>1200</v>
      </c>
      <c r="C29" s="1">
        <v>0.5</v>
      </c>
      <c r="D29" s="2">
        <f t="shared" ref="D29:D32" si="3">C29*B29</f>
        <v>600</v>
      </c>
      <c r="E29" s="9">
        <v>45417</v>
      </c>
      <c r="F29" s="1" t="s">
        <v>11</v>
      </c>
    </row>
    <row r="30" spans="1:6" ht="18.75" x14ac:dyDescent="0.4">
      <c r="A30" s="1" t="s">
        <v>90</v>
      </c>
      <c r="B30" s="1">
        <v>600</v>
      </c>
      <c r="C30" s="1">
        <v>19.2</v>
      </c>
      <c r="D30" s="2">
        <f t="shared" si="3"/>
        <v>11520</v>
      </c>
      <c r="E30" s="9">
        <v>45423</v>
      </c>
      <c r="F30" s="1" t="s">
        <v>11</v>
      </c>
    </row>
    <row r="31" spans="1:6" ht="18.75" x14ac:dyDescent="0.4">
      <c r="A31" s="1" t="s">
        <v>34</v>
      </c>
      <c r="B31" s="1">
        <v>90</v>
      </c>
      <c r="C31" s="1">
        <v>40</v>
      </c>
      <c r="D31" s="2">
        <f t="shared" si="3"/>
        <v>3600</v>
      </c>
      <c r="E31" s="9">
        <v>45424</v>
      </c>
      <c r="F31" s="1" t="s">
        <v>11</v>
      </c>
    </row>
    <row r="32" spans="1:6" ht="18.75" x14ac:dyDescent="0.4">
      <c r="A32" s="1" t="s">
        <v>33</v>
      </c>
      <c r="B32" s="1">
        <v>2500</v>
      </c>
      <c r="C32" s="1">
        <v>0.8</v>
      </c>
      <c r="D32" s="2">
        <f t="shared" si="3"/>
        <v>2000</v>
      </c>
      <c r="E32" s="9">
        <v>45436</v>
      </c>
      <c r="F32" s="1" t="s">
        <v>11</v>
      </c>
    </row>
    <row r="33" spans="1:6" ht="22.5" x14ac:dyDescent="0.4">
      <c r="A33" s="16" t="s">
        <v>26</v>
      </c>
      <c r="B33" s="17"/>
      <c r="C33" s="17"/>
      <c r="D33" s="18">
        <f>SUM(D26:D32)</f>
        <v>27620</v>
      </c>
      <c r="E33" s="18"/>
      <c r="F33" s="18"/>
    </row>
    <row r="34" spans="1:6" ht="30.75" x14ac:dyDescent="0.4">
      <c r="A34" s="15" t="s">
        <v>35</v>
      </c>
      <c r="B34" s="15"/>
      <c r="C34" s="15"/>
      <c r="D34" s="15"/>
      <c r="E34" s="15"/>
      <c r="F34" s="15"/>
    </row>
    <row r="35" spans="1:6" x14ac:dyDescent="0.4">
      <c r="A35" s="3" t="s">
        <v>6</v>
      </c>
      <c r="B35" s="3" t="s">
        <v>7</v>
      </c>
      <c r="C35" s="3" t="s">
        <v>8</v>
      </c>
      <c r="D35" s="4" t="s">
        <v>9</v>
      </c>
      <c r="E35" s="3" t="s">
        <v>3</v>
      </c>
      <c r="F35" s="3" t="s">
        <v>4</v>
      </c>
    </row>
    <row r="36" spans="1:6" ht="20.25" x14ac:dyDescent="0.4">
      <c r="A36" s="5" t="s">
        <v>13</v>
      </c>
      <c r="B36" s="5" t="s">
        <v>14</v>
      </c>
      <c r="C36" s="5" t="s">
        <v>15</v>
      </c>
      <c r="D36" s="6" t="s">
        <v>16</v>
      </c>
      <c r="E36" s="5" t="s">
        <v>17</v>
      </c>
      <c r="F36" s="10" t="s">
        <v>28</v>
      </c>
    </row>
    <row r="37" spans="1:6" ht="18.75" x14ac:dyDescent="0.4">
      <c r="A37" s="1" t="s">
        <v>36</v>
      </c>
      <c r="B37" s="1">
        <v>910</v>
      </c>
      <c r="C37" s="1">
        <v>62.8</v>
      </c>
      <c r="D37" s="2">
        <f>C37*B37</f>
        <v>57148</v>
      </c>
      <c r="E37" s="9">
        <v>45461</v>
      </c>
      <c r="F37" s="11" t="s">
        <v>45</v>
      </c>
    </row>
    <row r="38" spans="1:6" ht="18.75" x14ac:dyDescent="0.4">
      <c r="A38" s="1" t="s">
        <v>37</v>
      </c>
      <c r="B38" s="1">
        <v>1180</v>
      </c>
      <c r="C38" s="1">
        <v>87.4</v>
      </c>
      <c r="D38" s="2">
        <f t="shared" ref="D38:D49" si="4">C38*B38</f>
        <v>103132</v>
      </c>
      <c r="E38" s="9">
        <v>45461</v>
      </c>
      <c r="F38" s="11" t="s">
        <v>45</v>
      </c>
    </row>
    <row r="39" spans="1:6" ht="18.75" x14ac:dyDescent="0.4">
      <c r="A39" s="1" t="s">
        <v>41</v>
      </c>
      <c r="B39" s="1">
        <v>464</v>
      </c>
      <c r="C39" s="1">
        <v>65</v>
      </c>
      <c r="D39" s="2">
        <f t="shared" si="4"/>
        <v>30160</v>
      </c>
      <c r="E39" s="9">
        <v>45461</v>
      </c>
      <c r="F39" s="11" t="s">
        <v>45</v>
      </c>
    </row>
    <row r="40" spans="1:6" ht="18.75" customHeight="1" x14ac:dyDescent="0.4">
      <c r="A40" s="1" t="s">
        <v>38</v>
      </c>
      <c r="B40" s="1">
        <v>1270</v>
      </c>
      <c r="C40" s="1">
        <v>42</v>
      </c>
      <c r="D40" s="2">
        <f t="shared" si="4"/>
        <v>53340</v>
      </c>
      <c r="E40" s="9">
        <v>45461</v>
      </c>
      <c r="F40" s="11" t="s">
        <v>45</v>
      </c>
    </row>
    <row r="41" spans="1:6" ht="18.75" customHeight="1" x14ac:dyDescent="0.4">
      <c r="A41" s="1" t="s">
        <v>42</v>
      </c>
      <c r="B41" s="1">
        <v>550</v>
      </c>
      <c r="C41" s="1">
        <v>37</v>
      </c>
      <c r="D41" s="2">
        <f t="shared" si="4"/>
        <v>20350</v>
      </c>
      <c r="E41" s="9">
        <v>45461</v>
      </c>
      <c r="F41" s="11" t="s">
        <v>45</v>
      </c>
    </row>
    <row r="42" spans="1:6" ht="18.75" customHeight="1" x14ac:dyDescent="0.4">
      <c r="A42" s="1" t="s">
        <v>43</v>
      </c>
      <c r="B42" s="1">
        <v>436.99</v>
      </c>
      <c r="C42" s="1">
        <v>44.8</v>
      </c>
      <c r="D42" s="2">
        <f t="shared" si="4"/>
        <v>19577.151999999998</v>
      </c>
      <c r="E42" s="9">
        <v>45461</v>
      </c>
      <c r="F42" s="11" t="s">
        <v>45</v>
      </c>
    </row>
    <row r="43" spans="1:6" ht="18.75" customHeight="1" x14ac:dyDescent="0.4">
      <c r="A43" s="1" t="s">
        <v>39</v>
      </c>
      <c r="B43" s="1">
        <v>530</v>
      </c>
      <c r="C43" s="1">
        <v>82</v>
      </c>
      <c r="D43" s="2">
        <f t="shared" si="4"/>
        <v>43460</v>
      </c>
      <c r="E43" s="9">
        <v>45461</v>
      </c>
      <c r="F43" s="11" t="s">
        <v>45</v>
      </c>
    </row>
    <row r="44" spans="1:6" ht="18.75" customHeight="1" x14ac:dyDescent="0.4">
      <c r="A44" s="1" t="s">
        <v>44</v>
      </c>
      <c r="B44" s="1">
        <v>330</v>
      </c>
      <c r="C44" s="1">
        <v>50</v>
      </c>
      <c r="D44" s="2">
        <f t="shared" si="4"/>
        <v>16500</v>
      </c>
      <c r="E44" s="9">
        <v>45461</v>
      </c>
      <c r="F44" s="11" t="s">
        <v>45</v>
      </c>
    </row>
    <row r="45" spans="1:6" ht="18.75" customHeight="1" x14ac:dyDescent="0.4">
      <c r="A45" s="1" t="s">
        <v>46</v>
      </c>
      <c r="B45" s="1">
        <v>399</v>
      </c>
      <c r="C45" s="1">
        <v>40</v>
      </c>
      <c r="D45" s="2">
        <f t="shared" si="4"/>
        <v>15960</v>
      </c>
      <c r="E45" s="9">
        <v>45461</v>
      </c>
      <c r="F45" s="11" t="s">
        <v>45</v>
      </c>
    </row>
    <row r="46" spans="1:6" ht="18.75" customHeight="1" x14ac:dyDescent="0.4">
      <c r="A46" s="1" t="s">
        <v>47</v>
      </c>
      <c r="B46" s="1">
        <v>650</v>
      </c>
      <c r="C46" s="1">
        <v>62</v>
      </c>
      <c r="D46" s="2">
        <f t="shared" si="4"/>
        <v>40300</v>
      </c>
      <c r="E46" s="9">
        <v>45461</v>
      </c>
      <c r="F46" s="11" t="s">
        <v>45</v>
      </c>
    </row>
    <row r="47" spans="1:6" ht="18.75" customHeight="1" x14ac:dyDescent="0.4">
      <c r="A47" s="1" t="s">
        <v>93</v>
      </c>
      <c r="B47" s="1">
        <v>460</v>
      </c>
      <c r="C47" s="1">
        <v>42</v>
      </c>
      <c r="D47" s="2">
        <f t="shared" si="4"/>
        <v>19320</v>
      </c>
      <c r="E47" s="9">
        <v>45461</v>
      </c>
      <c r="F47" s="11" t="s">
        <v>45</v>
      </c>
    </row>
    <row r="48" spans="1:6" ht="18.75" x14ac:dyDescent="0.4">
      <c r="A48" s="1" t="s">
        <v>40</v>
      </c>
      <c r="B48" s="1">
        <v>325</v>
      </c>
      <c r="C48" s="1">
        <v>120</v>
      </c>
      <c r="D48" s="2">
        <f t="shared" si="4"/>
        <v>39000</v>
      </c>
      <c r="E48" s="9">
        <v>45461</v>
      </c>
      <c r="F48" s="11" t="s">
        <v>45</v>
      </c>
    </row>
    <row r="49" spans="1:6" ht="18.75" x14ac:dyDescent="0.4">
      <c r="A49" s="1" t="s">
        <v>32</v>
      </c>
      <c r="B49" s="1">
        <v>1200</v>
      </c>
      <c r="C49" s="1">
        <v>1.5</v>
      </c>
      <c r="D49" s="2">
        <f t="shared" si="4"/>
        <v>1800</v>
      </c>
      <c r="E49" s="9">
        <v>45463</v>
      </c>
      <c r="F49" s="1" t="s">
        <v>11</v>
      </c>
    </row>
    <row r="50" spans="1:6" ht="22.5" x14ac:dyDescent="0.4">
      <c r="A50" s="16" t="s">
        <v>26</v>
      </c>
      <c r="B50" s="17"/>
      <c r="C50" s="17"/>
      <c r="D50" s="18">
        <f>SUM(D37:D49)</f>
        <v>460047.152</v>
      </c>
      <c r="E50" s="18"/>
      <c r="F50" s="18"/>
    </row>
    <row r="51" spans="1:6" ht="30.75" x14ac:dyDescent="0.4">
      <c r="A51" s="15" t="s">
        <v>48</v>
      </c>
      <c r="B51" s="15"/>
      <c r="C51" s="15"/>
      <c r="D51" s="15"/>
      <c r="E51" s="15"/>
      <c r="F51" s="15"/>
    </row>
    <row r="52" spans="1:6" x14ac:dyDescent="0.4">
      <c r="A52" s="3" t="s">
        <v>6</v>
      </c>
      <c r="B52" s="3" t="s">
        <v>7</v>
      </c>
      <c r="C52" s="3" t="s">
        <v>8</v>
      </c>
      <c r="D52" s="4" t="s">
        <v>9</v>
      </c>
      <c r="E52" s="3" t="s">
        <v>3</v>
      </c>
      <c r="F52" s="3" t="s">
        <v>4</v>
      </c>
    </row>
    <row r="53" spans="1:6" ht="20.25" x14ac:dyDescent="0.4">
      <c r="A53" s="5" t="s">
        <v>13</v>
      </c>
      <c r="B53" s="5" t="s">
        <v>14</v>
      </c>
      <c r="C53" s="5" t="s">
        <v>15</v>
      </c>
      <c r="D53" s="6" t="s">
        <v>16</v>
      </c>
      <c r="E53" s="5" t="s">
        <v>17</v>
      </c>
      <c r="F53" s="10" t="s">
        <v>28</v>
      </c>
    </row>
    <row r="54" spans="1:6" ht="18.75" x14ac:dyDescent="0.4">
      <c r="A54" s="1" t="s">
        <v>49</v>
      </c>
      <c r="B54" s="1">
        <v>300</v>
      </c>
      <c r="C54" s="1">
        <v>60</v>
      </c>
      <c r="D54" s="2">
        <f>C54*B54</f>
        <v>18000</v>
      </c>
      <c r="E54" s="9">
        <v>45488</v>
      </c>
      <c r="F54" s="1" t="s">
        <v>11</v>
      </c>
    </row>
    <row r="55" spans="1:6" ht="18.75" x14ac:dyDescent="0.4">
      <c r="A55" s="1" t="s">
        <v>89</v>
      </c>
      <c r="B55" s="1">
        <v>30</v>
      </c>
      <c r="C55" s="1">
        <v>120</v>
      </c>
      <c r="D55" s="2">
        <f>C55*B55</f>
        <v>3600</v>
      </c>
      <c r="E55" s="9">
        <v>45489</v>
      </c>
      <c r="F55" s="1" t="s">
        <v>11</v>
      </c>
    </row>
    <row r="56" spans="1:6" ht="18.75" x14ac:dyDescent="0.4">
      <c r="A56" s="1" t="s">
        <v>50</v>
      </c>
      <c r="B56" s="1">
        <v>300</v>
      </c>
      <c r="C56" s="1">
        <v>18</v>
      </c>
      <c r="D56" s="2">
        <f t="shared" ref="D56:D57" si="5">C56*B56</f>
        <v>5400</v>
      </c>
      <c r="E56" s="9">
        <v>45491</v>
      </c>
      <c r="F56" s="1" t="s">
        <v>11</v>
      </c>
    </row>
    <row r="57" spans="1:6" ht="18.75" x14ac:dyDescent="0.4">
      <c r="A57" s="1" t="s">
        <v>51</v>
      </c>
      <c r="B57" s="1">
        <v>874</v>
      </c>
      <c r="C57" s="1">
        <v>12</v>
      </c>
      <c r="D57" s="2">
        <f t="shared" si="5"/>
        <v>10488</v>
      </c>
      <c r="E57" s="9">
        <v>45504</v>
      </c>
      <c r="F57" s="1" t="s">
        <v>11</v>
      </c>
    </row>
    <row r="58" spans="1:6" ht="22.5" x14ac:dyDescent="0.4">
      <c r="A58" s="16" t="s">
        <v>26</v>
      </c>
      <c r="B58" s="17"/>
      <c r="C58" s="17"/>
      <c r="D58" s="18">
        <f>SUM(D54:D57)</f>
        <v>37488</v>
      </c>
      <c r="E58" s="18"/>
      <c r="F58" s="18"/>
    </row>
    <row r="59" spans="1:6" ht="30.75" x14ac:dyDescent="0.4">
      <c r="A59" s="15" t="s">
        <v>52</v>
      </c>
      <c r="B59" s="15"/>
      <c r="C59" s="15"/>
      <c r="D59" s="15"/>
      <c r="E59" s="15"/>
      <c r="F59" s="15"/>
    </row>
    <row r="60" spans="1:6" x14ac:dyDescent="0.4">
      <c r="A60" s="3" t="s">
        <v>6</v>
      </c>
      <c r="B60" s="3" t="s">
        <v>7</v>
      </c>
      <c r="C60" s="3" t="s">
        <v>8</v>
      </c>
      <c r="D60" s="4" t="s">
        <v>9</v>
      </c>
      <c r="E60" s="3" t="s">
        <v>3</v>
      </c>
      <c r="F60" s="3" t="s">
        <v>4</v>
      </c>
    </row>
    <row r="61" spans="1:6" ht="20.25" x14ac:dyDescent="0.4">
      <c r="A61" s="5" t="s">
        <v>13</v>
      </c>
      <c r="B61" s="5" t="s">
        <v>14</v>
      </c>
      <c r="C61" s="5" t="s">
        <v>15</v>
      </c>
      <c r="D61" s="6" t="s">
        <v>16</v>
      </c>
      <c r="E61" s="5" t="s">
        <v>17</v>
      </c>
      <c r="F61" s="10" t="s">
        <v>28</v>
      </c>
    </row>
    <row r="62" spans="1:6" ht="18.75" x14ac:dyDescent="0.4">
      <c r="A62" s="1" t="s">
        <v>53</v>
      </c>
      <c r="B62" s="1">
        <v>800</v>
      </c>
      <c r="C62" s="1">
        <v>3.2</v>
      </c>
      <c r="D62" s="2">
        <f>C62*B62</f>
        <v>2560</v>
      </c>
      <c r="E62" s="9">
        <v>45506</v>
      </c>
      <c r="F62" s="11" t="s">
        <v>5</v>
      </c>
    </row>
    <row r="63" spans="1:6" ht="18.75" x14ac:dyDescent="0.4">
      <c r="A63" s="1" t="s">
        <v>90</v>
      </c>
      <c r="B63" s="1">
        <v>600</v>
      </c>
      <c r="C63" s="1">
        <v>20</v>
      </c>
      <c r="D63" s="2">
        <f>C63*B63</f>
        <v>12000</v>
      </c>
      <c r="E63" s="9">
        <v>45507</v>
      </c>
      <c r="F63" s="11" t="s">
        <v>5</v>
      </c>
    </row>
    <row r="64" spans="1:6" ht="18.75" x14ac:dyDescent="0.4">
      <c r="A64" s="1" t="s">
        <v>30</v>
      </c>
      <c r="B64" s="1">
        <v>210</v>
      </c>
      <c r="C64" s="1">
        <v>22</v>
      </c>
      <c r="D64" s="2">
        <f t="shared" ref="D64:D67" si="6">C64*B64</f>
        <v>4620</v>
      </c>
      <c r="E64" s="9">
        <v>45508</v>
      </c>
      <c r="F64" s="11" t="s">
        <v>5</v>
      </c>
    </row>
    <row r="65" spans="1:8" ht="18.75" x14ac:dyDescent="0.4">
      <c r="A65" s="1" t="s">
        <v>67</v>
      </c>
      <c r="B65" s="1">
        <v>180</v>
      </c>
      <c r="C65" s="1">
        <v>40</v>
      </c>
      <c r="D65" s="2">
        <f t="shared" si="6"/>
        <v>7200</v>
      </c>
      <c r="E65" s="9">
        <v>45509</v>
      </c>
      <c r="F65" s="11" t="s">
        <v>5</v>
      </c>
    </row>
    <row r="66" spans="1:8" ht="18.75" x14ac:dyDescent="0.4">
      <c r="A66" s="1" t="s">
        <v>55</v>
      </c>
      <c r="B66" s="1">
        <v>300</v>
      </c>
      <c r="C66" s="1">
        <v>7</v>
      </c>
      <c r="D66" s="2">
        <f t="shared" ref="D66" si="7">C66*B66</f>
        <v>2100</v>
      </c>
      <c r="E66" s="13">
        <v>45535</v>
      </c>
      <c r="F66" s="1" t="s">
        <v>11</v>
      </c>
    </row>
    <row r="67" spans="1:8" ht="18.75" x14ac:dyDescent="0.4">
      <c r="A67" s="1" t="s">
        <v>54</v>
      </c>
      <c r="B67" s="1">
        <v>300</v>
      </c>
      <c r="C67" s="1">
        <v>28</v>
      </c>
      <c r="D67" s="2">
        <f t="shared" si="6"/>
        <v>8400</v>
      </c>
      <c r="E67" s="9">
        <v>45535</v>
      </c>
      <c r="F67" s="1" t="s">
        <v>11</v>
      </c>
    </row>
    <row r="68" spans="1:8" ht="22.5" x14ac:dyDescent="0.4">
      <c r="A68" s="16" t="s">
        <v>26</v>
      </c>
      <c r="B68" s="17"/>
      <c r="C68" s="17"/>
      <c r="D68" s="18">
        <f>SUM(D62:D67)</f>
        <v>36880</v>
      </c>
      <c r="E68" s="18"/>
      <c r="F68" s="18"/>
    </row>
    <row r="69" spans="1:8" ht="30.75" x14ac:dyDescent="0.4">
      <c r="A69" s="15" t="s">
        <v>56</v>
      </c>
      <c r="B69" s="15"/>
      <c r="C69" s="15"/>
      <c r="D69" s="15"/>
      <c r="E69" s="15"/>
      <c r="F69" s="15"/>
    </row>
    <row r="70" spans="1:8" x14ac:dyDescent="0.4">
      <c r="A70" s="3" t="s">
        <v>6</v>
      </c>
      <c r="B70" s="3" t="s">
        <v>7</v>
      </c>
      <c r="C70" s="3" t="s">
        <v>8</v>
      </c>
      <c r="D70" s="4" t="s">
        <v>9</v>
      </c>
      <c r="E70" s="3" t="s">
        <v>3</v>
      </c>
      <c r="F70" s="3" t="s">
        <v>4</v>
      </c>
    </row>
    <row r="71" spans="1:8" ht="20.25" x14ac:dyDescent="0.4">
      <c r="A71" s="5" t="s">
        <v>13</v>
      </c>
      <c r="B71" s="5" t="s">
        <v>14</v>
      </c>
      <c r="C71" s="5" t="s">
        <v>15</v>
      </c>
      <c r="D71" s="6" t="s">
        <v>16</v>
      </c>
      <c r="E71" s="5" t="s">
        <v>17</v>
      </c>
      <c r="F71" s="10" t="s">
        <v>28</v>
      </c>
    </row>
    <row r="72" spans="1:8" ht="18.75" x14ac:dyDescent="0.4">
      <c r="A72" s="1" t="s">
        <v>57</v>
      </c>
      <c r="B72" s="1">
        <v>67</v>
      </c>
      <c r="C72" s="1">
        <v>120</v>
      </c>
      <c r="D72" s="2">
        <f>C72*B72</f>
        <v>8040</v>
      </c>
      <c r="E72" s="9">
        <v>45051</v>
      </c>
      <c r="F72" s="11" t="s">
        <v>5</v>
      </c>
    </row>
    <row r="73" spans="1:8" ht="18.75" x14ac:dyDescent="0.4">
      <c r="A73" s="1" t="s">
        <v>58</v>
      </c>
      <c r="B73" s="1">
        <v>130</v>
      </c>
      <c r="C73" s="1">
        <v>80</v>
      </c>
      <c r="D73" s="2">
        <f t="shared" ref="D73:D77" si="8">C73*B73</f>
        <v>10400</v>
      </c>
      <c r="E73" s="9">
        <v>45540</v>
      </c>
      <c r="F73" s="11" t="s">
        <v>5</v>
      </c>
    </row>
    <row r="74" spans="1:8" ht="18.75" x14ac:dyDescent="0.4">
      <c r="A74" s="1" t="s">
        <v>59</v>
      </c>
      <c r="B74" s="1">
        <v>440</v>
      </c>
      <c r="C74" s="1">
        <v>25</v>
      </c>
      <c r="D74" s="2">
        <f t="shared" si="8"/>
        <v>11000</v>
      </c>
      <c r="E74" s="9">
        <v>45542</v>
      </c>
      <c r="F74" s="11" t="s">
        <v>5</v>
      </c>
    </row>
    <row r="75" spans="1:8" ht="18.75" x14ac:dyDescent="0.4">
      <c r="A75" s="1" t="s">
        <v>55</v>
      </c>
      <c r="B75" s="1">
        <v>300</v>
      </c>
      <c r="C75" s="1">
        <v>18</v>
      </c>
      <c r="D75" s="2">
        <f t="shared" si="8"/>
        <v>5400</v>
      </c>
      <c r="E75" s="9">
        <v>45542</v>
      </c>
      <c r="F75" s="11" t="s">
        <v>5</v>
      </c>
    </row>
    <row r="76" spans="1:8" ht="18.75" x14ac:dyDescent="0.4">
      <c r="A76" s="1" t="s">
        <v>60</v>
      </c>
      <c r="B76" s="1">
        <v>216</v>
      </c>
      <c r="C76" s="1">
        <v>4</v>
      </c>
      <c r="D76" s="2">
        <f t="shared" si="8"/>
        <v>864</v>
      </c>
      <c r="E76" s="9">
        <v>45545</v>
      </c>
      <c r="F76" s="1" t="s">
        <v>11</v>
      </c>
    </row>
    <row r="77" spans="1:8" ht="18.75" x14ac:dyDescent="0.4">
      <c r="A77" s="1" t="s">
        <v>61</v>
      </c>
      <c r="B77" s="1">
        <v>550</v>
      </c>
      <c r="C77" s="1">
        <v>8</v>
      </c>
      <c r="D77" s="2">
        <f t="shared" si="8"/>
        <v>4400</v>
      </c>
      <c r="E77" s="9">
        <v>45565</v>
      </c>
      <c r="F77" s="1" t="s">
        <v>11</v>
      </c>
      <c r="H77" s="8"/>
    </row>
    <row r="78" spans="1:8" ht="22.5" x14ac:dyDescent="0.4">
      <c r="A78" s="16" t="s">
        <v>26</v>
      </c>
      <c r="B78" s="17"/>
      <c r="C78" s="17"/>
      <c r="D78" s="18">
        <f>SUM(D72:D77)</f>
        <v>40104</v>
      </c>
      <c r="E78" s="18"/>
      <c r="F78" s="18"/>
    </row>
    <row r="79" spans="1:8" ht="30.75" x14ac:dyDescent="0.4">
      <c r="A79" s="15" t="s">
        <v>62</v>
      </c>
      <c r="B79" s="15"/>
      <c r="C79" s="15"/>
      <c r="D79" s="15"/>
      <c r="E79" s="15"/>
      <c r="F79" s="15"/>
    </row>
    <row r="80" spans="1:8" x14ac:dyDescent="0.4">
      <c r="A80" s="3" t="s">
        <v>6</v>
      </c>
      <c r="B80" s="3" t="s">
        <v>7</v>
      </c>
      <c r="C80" s="3" t="s">
        <v>8</v>
      </c>
      <c r="D80" s="4" t="s">
        <v>9</v>
      </c>
      <c r="E80" s="3" t="s">
        <v>3</v>
      </c>
      <c r="F80" s="3" t="s">
        <v>4</v>
      </c>
    </row>
    <row r="81" spans="1:6" ht="20.25" x14ac:dyDescent="0.4">
      <c r="A81" s="5" t="s">
        <v>13</v>
      </c>
      <c r="B81" s="5" t="s">
        <v>14</v>
      </c>
      <c r="C81" s="5" t="s">
        <v>15</v>
      </c>
      <c r="D81" s="6" t="s">
        <v>16</v>
      </c>
      <c r="E81" s="5" t="s">
        <v>17</v>
      </c>
      <c r="F81" s="10" t="s">
        <v>28</v>
      </c>
    </row>
    <row r="82" spans="1:6" ht="18.75" x14ac:dyDescent="0.4">
      <c r="A82" s="1" t="s">
        <v>63</v>
      </c>
      <c r="B82" s="1">
        <v>800</v>
      </c>
      <c r="C82" s="1">
        <v>20.8</v>
      </c>
      <c r="D82" s="2">
        <f>C82*B82</f>
        <v>16640</v>
      </c>
      <c r="E82" s="9">
        <v>45206</v>
      </c>
      <c r="F82" s="11" t="s">
        <v>5</v>
      </c>
    </row>
    <row r="83" spans="1:6" ht="18.75" x14ac:dyDescent="0.4">
      <c r="A83" s="1" t="s">
        <v>64</v>
      </c>
      <c r="B83" s="1">
        <v>250</v>
      </c>
      <c r="C83" s="1">
        <v>18</v>
      </c>
      <c r="D83" s="2">
        <f t="shared" ref="D83:D88" si="9">C83*B83</f>
        <v>4500</v>
      </c>
      <c r="E83" s="9">
        <v>45572</v>
      </c>
      <c r="F83" s="11" t="s">
        <v>5</v>
      </c>
    </row>
    <row r="84" spans="1:6" ht="18.75" x14ac:dyDescent="0.4">
      <c r="A84" s="1" t="s">
        <v>65</v>
      </c>
      <c r="B84" s="1">
        <v>175</v>
      </c>
      <c r="C84" s="1">
        <v>42</v>
      </c>
      <c r="D84" s="2">
        <f t="shared" si="9"/>
        <v>7350</v>
      </c>
      <c r="E84" s="9">
        <v>45572</v>
      </c>
      <c r="F84" s="11" t="s">
        <v>5</v>
      </c>
    </row>
    <row r="85" spans="1:6" ht="18.75" x14ac:dyDescent="0.4">
      <c r="A85" s="1" t="s">
        <v>10</v>
      </c>
      <c r="B85" s="1">
        <v>800</v>
      </c>
      <c r="C85" s="1">
        <v>20</v>
      </c>
      <c r="D85" s="2">
        <f>C85*B85</f>
        <v>16000</v>
      </c>
      <c r="E85" s="9">
        <v>45572</v>
      </c>
      <c r="F85" s="11" t="s">
        <v>5</v>
      </c>
    </row>
    <row r="86" spans="1:6" ht="18.75" x14ac:dyDescent="0.4">
      <c r="A86" s="1" t="s">
        <v>66</v>
      </c>
      <c r="B86" s="1">
        <v>200</v>
      </c>
      <c r="C86" s="1">
        <v>4</v>
      </c>
      <c r="D86" s="2">
        <f t="shared" si="9"/>
        <v>800</v>
      </c>
      <c r="E86" s="9">
        <v>45572</v>
      </c>
      <c r="F86" s="1" t="s">
        <v>11</v>
      </c>
    </row>
    <row r="87" spans="1:6" ht="18.75" x14ac:dyDescent="0.4">
      <c r="A87" s="1" t="s">
        <v>67</v>
      </c>
      <c r="B87" s="1">
        <v>180</v>
      </c>
      <c r="C87" s="1">
        <v>7</v>
      </c>
      <c r="D87" s="2">
        <f t="shared" si="9"/>
        <v>1260</v>
      </c>
      <c r="E87" s="9">
        <v>45585</v>
      </c>
      <c r="F87" s="1" t="s">
        <v>11</v>
      </c>
    </row>
    <row r="88" spans="1:6" ht="18.75" x14ac:dyDescent="0.4">
      <c r="A88" s="1" t="s">
        <v>68</v>
      </c>
      <c r="B88" s="1">
        <v>250</v>
      </c>
      <c r="C88" s="1">
        <v>9</v>
      </c>
      <c r="D88" s="2">
        <f t="shared" si="9"/>
        <v>2250</v>
      </c>
      <c r="E88" s="9">
        <v>45596</v>
      </c>
      <c r="F88" s="1" t="s">
        <v>11</v>
      </c>
    </row>
    <row r="89" spans="1:6" ht="22.5" x14ac:dyDescent="0.4">
      <c r="A89" s="16" t="s">
        <v>26</v>
      </c>
      <c r="B89" s="17"/>
      <c r="C89" s="17"/>
      <c r="D89" s="18">
        <f>SUM(D82:D88)</f>
        <v>48800</v>
      </c>
      <c r="E89" s="18"/>
      <c r="F89" s="18"/>
    </row>
    <row r="90" spans="1:6" ht="30.75" x14ac:dyDescent="0.4">
      <c r="A90" s="15" t="s">
        <v>69</v>
      </c>
      <c r="B90" s="15"/>
      <c r="C90" s="15"/>
      <c r="D90" s="15"/>
      <c r="E90" s="15"/>
      <c r="F90" s="15"/>
    </row>
    <row r="91" spans="1:6" x14ac:dyDescent="0.4">
      <c r="A91" s="3" t="s">
        <v>6</v>
      </c>
      <c r="B91" s="3" t="s">
        <v>7</v>
      </c>
      <c r="C91" s="3" t="s">
        <v>8</v>
      </c>
      <c r="D91" s="4" t="s">
        <v>9</v>
      </c>
      <c r="E91" s="3" t="s">
        <v>3</v>
      </c>
      <c r="F91" s="3" t="s">
        <v>4</v>
      </c>
    </row>
    <row r="92" spans="1:6" ht="20.25" x14ac:dyDescent="0.4">
      <c r="A92" s="5" t="s">
        <v>13</v>
      </c>
      <c r="B92" s="5" t="s">
        <v>14</v>
      </c>
      <c r="C92" s="5" t="s">
        <v>15</v>
      </c>
      <c r="D92" s="6" t="s">
        <v>16</v>
      </c>
      <c r="E92" s="5" t="s">
        <v>17</v>
      </c>
      <c r="F92" s="10" t="s">
        <v>28</v>
      </c>
    </row>
    <row r="93" spans="1:6" ht="18.75" x14ac:dyDescent="0.4">
      <c r="A93" s="1" t="s">
        <v>70</v>
      </c>
      <c r="B93" s="1">
        <v>276</v>
      </c>
      <c r="C93" s="1">
        <v>14</v>
      </c>
      <c r="D93" s="2">
        <f>C93*B93</f>
        <v>3864</v>
      </c>
      <c r="E93" s="9">
        <v>45604</v>
      </c>
      <c r="F93" s="11" t="s">
        <v>5</v>
      </c>
    </row>
    <row r="94" spans="1:6" ht="18.75" x14ac:dyDescent="0.4">
      <c r="A94" s="1" t="s">
        <v>92</v>
      </c>
      <c r="B94" s="1">
        <v>430</v>
      </c>
      <c r="C94" s="1">
        <v>22.2</v>
      </c>
      <c r="D94" s="2">
        <f>C94*B94</f>
        <v>9546</v>
      </c>
      <c r="E94" s="9">
        <v>45604</v>
      </c>
      <c r="F94" s="11"/>
    </row>
    <row r="95" spans="1:6" ht="18.75" x14ac:dyDescent="0.4">
      <c r="A95" s="1" t="s">
        <v>71</v>
      </c>
      <c r="B95" s="1">
        <v>360</v>
      </c>
      <c r="C95" s="1">
        <v>12</v>
      </c>
      <c r="D95" s="2">
        <f t="shared" ref="D95:D98" si="10">C95*B95</f>
        <v>4320</v>
      </c>
      <c r="E95" s="9">
        <v>45604</v>
      </c>
      <c r="F95" s="1" t="s">
        <v>11</v>
      </c>
    </row>
    <row r="96" spans="1:6" x14ac:dyDescent="0.4">
      <c r="A96" s="1"/>
      <c r="B96" s="1"/>
      <c r="C96" s="1"/>
      <c r="D96" s="2"/>
      <c r="E96" s="9"/>
      <c r="F96" s="1"/>
    </row>
    <row r="97" spans="1:6" ht="18.75" x14ac:dyDescent="0.4">
      <c r="A97" s="1" t="s">
        <v>72</v>
      </c>
      <c r="B97" s="1">
        <v>223</v>
      </c>
      <c r="C97" s="1">
        <v>18</v>
      </c>
      <c r="D97" s="2">
        <f t="shared" si="10"/>
        <v>4014</v>
      </c>
      <c r="E97" s="9">
        <v>45608</v>
      </c>
      <c r="F97" s="1" t="s">
        <v>11</v>
      </c>
    </row>
    <row r="98" spans="1:6" ht="18.75" x14ac:dyDescent="0.4">
      <c r="A98" s="1" t="s">
        <v>63</v>
      </c>
      <c r="B98" s="1">
        <v>800</v>
      </c>
      <c r="C98" s="1">
        <v>18.5</v>
      </c>
      <c r="D98" s="2">
        <f t="shared" si="10"/>
        <v>14800</v>
      </c>
      <c r="E98" s="9">
        <v>45624</v>
      </c>
      <c r="F98" s="1" t="s">
        <v>11</v>
      </c>
    </row>
    <row r="99" spans="1:6" ht="22.5" x14ac:dyDescent="0.4">
      <c r="A99" s="16" t="s">
        <v>26</v>
      </c>
      <c r="B99" s="17"/>
      <c r="C99" s="17"/>
      <c r="D99" s="18">
        <f>SUM(D93:D98)</f>
        <v>36544</v>
      </c>
      <c r="E99" s="18"/>
      <c r="F99" s="18"/>
    </row>
    <row r="100" spans="1:6" ht="30.75" x14ac:dyDescent="0.4">
      <c r="A100" s="15" t="s">
        <v>73</v>
      </c>
      <c r="B100" s="15"/>
      <c r="C100" s="15"/>
      <c r="D100" s="15"/>
      <c r="E100" s="15"/>
      <c r="F100" s="15"/>
    </row>
    <row r="101" spans="1:6" x14ac:dyDescent="0.4">
      <c r="A101" s="3" t="s">
        <v>6</v>
      </c>
      <c r="B101" s="3" t="s">
        <v>7</v>
      </c>
      <c r="C101" s="3" t="s">
        <v>8</v>
      </c>
      <c r="D101" s="4" t="s">
        <v>9</v>
      </c>
      <c r="E101" s="3" t="s">
        <v>3</v>
      </c>
      <c r="F101" s="3" t="s">
        <v>4</v>
      </c>
    </row>
    <row r="102" spans="1:6" ht="20.25" x14ac:dyDescent="0.4">
      <c r="A102" s="5" t="s">
        <v>13</v>
      </c>
      <c r="B102" s="5" t="s">
        <v>14</v>
      </c>
      <c r="C102" s="5" t="s">
        <v>15</v>
      </c>
      <c r="D102" s="6" t="s">
        <v>16</v>
      </c>
      <c r="E102" s="5" t="s">
        <v>17</v>
      </c>
      <c r="F102" s="10" t="s">
        <v>28</v>
      </c>
    </row>
    <row r="103" spans="1:6" ht="18.75" x14ac:dyDescent="0.4">
      <c r="A103" s="1" t="s">
        <v>32</v>
      </c>
      <c r="B103" s="1">
        <v>100</v>
      </c>
      <c r="C103" s="1">
        <v>2.4</v>
      </c>
      <c r="D103" s="2">
        <f>C103*B103</f>
        <v>240</v>
      </c>
      <c r="E103" s="9">
        <v>45627</v>
      </c>
      <c r="F103" s="11" t="s">
        <v>5</v>
      </c>
    </row>
    <row r="104" spans="1:6" ht="18.75" x14ac:dyDescent="0.4">
      <c r="A104" s="1" t="s">
        <v>55</v>
      </c>
      <c r="B104" s="1">
        <v>300</v>
      </c>
      <c r="C104" s="1">
        <v>12</v>
      </c>
      <c r="D104" s="2">
        <f t="shared" ref="D104:D109" si="11">C104*B104</f>
        <v>3600</v>
      </c>
      <c r="E104" s="9">
        <v>45627</v>
      </c>
      <c r="F104" s="1" t="s">
        <v>11</v>
      </c>
    </row>
    <row r="105" spans="1:6" ht="18.75" x14ac:dyDescent="0.4">
      <c r="A105" s="1" t="s">
        <v>61</v>
      </c>
      <c r="B105" s="1">
        <v>550</v>
      </c>
      <c r="C105" s="1">
        <v>19</v>
      </c>
      <c r="D105" s="2">
        <f t="shared" si="11"/>
        <v>10450</v>
      </c>
      <c r="E105" s="9">
        <v>45627</v>
      </c>
      <c r="F105" s="1" t="s">
        <v>11</v>
      </c>
    </row>
    <row r="106" spans="1:6" ht="18.75" x14ac:dyDescent="0.4">
      <c r="A106" s="1" t="s">
        <v>49</v>
      </c>
      <c r="B106" s="1">
        <v>300</v>
      </c>
      <c r="C106" s="1">
        <v>14</v>
      </c>
      <c r="D106" s="2">
        <f t="shared" si="11"/>
        <v>4200</v>
      </c>
      <c r="E106" s="9">
        <v>45631</v>
      </c>
      <c r="F106" s="1" t="s">
        <v>11</v>
      </c>
    </row>
    <row r="107" spans="1:6" ht="18.75" x14ac:dyDescent="0.4">
      <c r="A107" s="1" t="s">
        <v>74</v>
      </c>
      <c r="B107" s="1">
        <v>600</v>
      </c>
      <c r="C107" s="1">
        <v>24</v>
      </c>
      <c r="D107" s="2">
        <f t="shared" ref="D107:D108" si="12">C107*B107</f>
        <v>14400</v>
      </c>
      <c r="E107" s="9">
        <v>45633</v>
      </c>
      <c r="F107" s="1" t="s">
        <v>11</v>
      </c>
    </row>
    <row r="108" spans="1:6" ht="18.75" x14ac:dyDescent="0.4">
      <c r="A108" s="1" t="s">
        <v>76</v>
      </c>
      <c r="B108" s="1">
        <v>200</v>
      </c>
      <c r="C108" s="1">
        <v>18</v>
      </c>
      <c r="D108" s="2">
        <f t="shared" si="12"/>
        <v>3600</v>
      </c>
      <c r="E108" s="9">
        <v>45644</v>
      </c>
      <c r="F108" s="1" t="s">
        <v>11</v>
      </c>
    </row>
    <row r="109" spans="1:6" ht="18.75" x14ac:dyDescent="0.4">
      <c r="A109" s="1" t="s">
        <v>75</v>
      </c>
      <c r="B109" s="1">
        <v>165</v>
      </c>
      <c r="C109" s="1">
        <v>12</v>
      </c>
      <c r="D109" s="2">
        <f t="shared" si="11"/>
        <v>1980</v>
      </c>
      <c r="E109" s="9">
        <v>45646</v>
      </c>
      <c r="F109" s="1" t="s">
        <v>11</v>
      </c>
    </row>
    <row r="110" spans="1:6" ht="22.5" x14ac:dyDescent="0.4">
      <c r="A110" s="16" t="s">
        <v>26</v>
      </c>
      <c r="B110" s="17"/>
      <c r="C110" s="17"/>
      <c r="D110" s="18">
        <f>SUM(D103:D109)</f>
        <v>38470</v>
      </c>
      <c r="E110" s="18"/>
      <c r="F110" s="18"/>
    </row>
    <row r="111" spans="1:6" ht="30.75" x14ac:dyDescent="0.4">
      <c r="A111" s="15" t="s">
        <v>77</v>
      </c>
      <c r="B111" s="15"/>
      <c r="C111" s="15"/>
      <c r="D111" s="15"/>
      <c r="E111" s="15"/>
      <c r="F111" s="15"/>
    </row>
    <row r="112" spans="1:6" x14ac:dyDescent="0.4">
      <c r="A112" s="3" t="s">
        <v>6</v>
      </c>
      <c r="B112" s="3" t="s">
        <v>7</v>
      </c>
      <c r="C112" s="3" t="s">
        <v>8</v>
      </c>
      <c r="D112" s="4" t="s">
        <v>9</v>
      </c>
      <c r="E112" s="3" t="s">
        <v>3</v>
      </c>
      <c r="F112" s="3" t="s">
        <v>4</v>
      </c>
    </row>
    <row r="113" spans="1:6" ht="20.25" x14ac:dyDescent="0.4">
      <c r="A113" s="5" t="s">
        <v>13</v>
      </c>
      <c r="B113" s="5" t="s">
        <v>14</v>
      </c>
      <c r="C113" s="5" t="s">
        <v>15</v>
      </c>
      <c r="D113" s="6" t="s">
        <v>16</v>
      </c>
      <c r="E113" s="5" t="s">
        <v>17</v>
      </c>
      <c r="F113" s="10" t="s">
        <v>28</v>
      </c>
    </row>
    <row r="114" spans="1:6" ht="18.75" x14ac:dyDescent="0.4">
      <c r="A114" s="1" t="s">
        <v>12</v>
      </c>
      <c r="B114" s="1">
        <v>72</v>
      </c>
      <c r="C114" s="1">
        <v>127</v>
      </c>
      <c r="D114" s="2">
        <f>C114*B114</f>
        <v>9144</v>
      </c>
      <c r="E114" s="9">
        <v>45292</v>
      </c>
      <c r="F114" s="11" t="s">
        <v>5</v>
      </c>
    </row>
    <row r="115" spans="1:6" ht="18.75" x14ac:dyDescent="0.4">
      <c r="A115" s="1" t="s">
        <v>78</v>
      </c>
      <c r="B115" s="1">
        <v>90</v>
      </c>
      <c r="C115" s="1">
        <v>120</v>
      </c>
      <c r="D115" s="2">
        <f t="shared" ref="D115:D118" si="13">C115*B115</f>
        <v>10800</v>
      </c>
      <c r="E115" s="9">
        <v>45292</v>
      </c>
      <c r="F115" s="1" t="s">
        <v>11</v>
      </c>
    </row>
    <row r="116" spans="1:6" ht="18.75" x14ac:dyDescent="0.4">
      <c r="A116" s="1" t="s">
        <v>79</v>
      </c>
      <c r="B116" s="1">
        <v>90</v>
      </c>
      <c r="C116" s="1">
        <v>12</v>
      </c>
      <c r="D116" s="2">
        <f t="shared" si="13"/>
        <v>1080</v>
      </c>
      <c r="E116" s="9">
        <v>45306</v>
      </c>
      <c r="F116" s="1" t="s">
        <v>11</v>
      </c>
    </row>
    <row r="117" spans="1:6" ht="18.75" x14ac:dyDescent="0.4">
      <c r="A117" s="1" t="s">
        <v>63</v>
      </c>
      <c r="B117" s="1">
        <v>800</v>
      </c>
      <c r="C117" s="1">
        <v>40.5</v>
      </c>
      <c r="D117" s="2">
        <f t="shared" si="13"/>
        <v>32400</v>
      </c>
      <c r="E117" s="9">
        <v>45308</v>
      </c>
      <c r="F117" s="1" t="s">
        <v>11</v>
      </c>
    </row>
    <row r="118" spans="1:6" ht="18.75" x14ac:dyDescent="0.4">
      <c r="A118" s="1" t="s">
        <v>64</v>
      </c>
      <c r="B118" s="1">
        <v>250</v>
      </c>
      <c r="C118" s="1">
        <v>5</v>
      </c>
      <c r="D118" s="2">
        <f t="shared" si="13"/>
        <v>1250</v>
      </c>
      <c r="E118" s="9">
        <v>45309</v>
      </c>
      <c r="F118" s="1" t="s">
        <v>11</v>
      </c>
    </row>
    <row r="119" spans="1:6" ht="22.5" x14ac:dyDescent="0.4">
      <c r="A119" s="16" t="s">
        <v>26</v>
      </c>
      <c r="B119" s="17"/>
      <c r="C119" s="17"/>
      <c r="D119" s="18">
        <f>SUM(D114:D118)</f>
        <v>54674</v>
      </c>
      <c r="E119" s="18"/>
      <c r="F119" s="18"/>
    </row>
    <row r="120" spans="1:6" ht="30.75" x14ac:dyDescent="0.4">
      <c r="A120" s="15" t="s">
        <v>80</v>
      </c>
      <c r="B120" s="15"/>
      <c r="C120" s="15"/>
      <c r="D120" s="15"/>
      <c r="E120" s="15"/>
      <c r="F120" s="15"/>
    </row>
    <row r="121" spans="1:6" x14ac:dyDescent="0.4">
      <c r="A121" s="3" t="s">
        <v>6</v>
      </c>
      <c r="B121" s="3" t="s">
        <v>7</v>
      </c>
      <c r="C121" s="3" t="s">
        <v>8</v>
      </c>
      <c r="D121" s="4" t="s">
        <v>9</v>
      </c>
      <c r="E121" s="3" t="s">
        <v>3</v>
      </c>
      <c r="F121" s="3" t="s">
        <v>4</v>
      </c>
    </row>
    <row r="122" spans="1:6" ht="20.25" x14ac:dyDescent="0.4">
      <c r="A122" s="5" t="s">
        <v>13</v>
      </c>
      <c r="B122" s="5" t="s">
        <v>14</v>
      </c>
      <c r="C122" s="5" t="s">
        <v>15</v>
      </c>
      <c r="D122" s="6" t="s">
        <v>16</v>
      </c>
      <c r="E122" s="5" t="s">
        <v>17</v>
      </c>
      <c r="F122" s="10" t="s">
        <v>28</v>
      </c>
    </row>
    <row r="123" spans="1:6" ht="18.75" x14ac:dyDescent="0.4">
      <c r="A123" s="1" t="s">
        <v>33</v>
      </c>
      <c r="B123" s="1">
        <v>2500</v>
      </c>
      <c r="C123" s="1">
        <v>2.5</v>
      </c>
      <c r="D123" s="2">
        <f>C123*B123</f>
        <v>6250</v>
      </c>
      <c r="E123" s="9">
        <v>45337</v>
      </c>
      <c r="F123" s="11" t="s">
        <v>5</v>
      </c>
    </row>
    <row r="124" spans="1:6" ht="18.75" x14ac:dyDescent="0.4">
      <c r="A124" s="1" t="s">
        <v>81</v>
      </c>
      <c r="B124" s="1">
        <v>1800</v>
      </c>
      <c r="C124" s="1">
        <v>1.8</v>
      </c>
      <c r="D124" s="2">
        <f t="shared" ref="D124:D127" si="14">C124*B124</f>
        <v>3240</v>
      </c>
      <c r="E124" s="9">
        <v>45338</v>
      </c>
      <c r="F124" s="1" t="s">
        <v>11</v>
      </c>
    </row>
    <row r="125" spans="1:6" ht="18.75" x14ac:dyDescent="0.4">
      <c r="A125" s="1" t="s">
        <v>82</v>
      </c>
      <c r="B125" s="1">
        <v>600</v>
      </c>
      <c r="C125" s="1">
        <v>15</v>
      </c>
      <c r="D125" s="2">
        <f t="shared" si="14"/>
        <v>9000</v>
      </c>
      <c r="E125" s="9">
        <v>45340</v>
      </c>
      <c r="F125" s="1" t="s">
        <v>11</v>
      </c>
    </row>
    <row r="126" spans="1:6" ht="18.75" x14ac:dyDescent="0.4">
      <c r="A126" s="1" t="s">
        <v>83</v>
      </c>
      <c r="B126" s="1">
        <v>450</v>
      </c>
      <c r="C126" s="1">
        <v>7.8</v>
      </c>
      <c r="D126" s="2">
        <f t="shared" si="14"/>
        <v>3510</v>
      </c>
      <c r="E126" s="9">
        <v>45340</v>
      </c>
      <c r="F126" s="1" t="s">
        <v>11</v>
      </c>
    </row>
    <row r="127" spans="1:6" ht="18.75" x14ac:dyDescent="0.4">
      <c r="A127" s="1" t="s">
        <v>84</v>
      </c>
      <c r="B127" s="1">
        <v>700</v>
      </c>
      <c r="C127" s="1">
        <v>12.9</v>
      </c>
      <c r="D127" s="2">
        <f t="shared" si="14"/>
        <v>9030</v>
      </c>
      <c r="E127" s="9">
        <v>45342</v>
      </c>
      <c r="F127" s="1" t="s">
        <v>11</v>
      </c>
    </row>
    <row r="128" spans="1:6" ht="22.5" x14ac:dyDescent="0.4">
      <c r="A128" s="16" t="s">
        <v>26</v>
      </c>
      <c r="B128" s="17"/>
      <c r="C128" s="17"/>
      <c r="D128" s="18">
        <f>SUM(D123:D127)</f>
        <v>31030</v>
      </c>
      <c r="E128" s="18"/>
      <c r="F128" s="18"/>
    </row>
    <row r="129" spans="1:6" ht="30.75" x14ac:dyDescent="0.4">
      <c r="A129" s="15" t="s">
        <v>85</v>
      </c>
      <c r="B129" s="15"/>
      <c r="C129" s="15"/>
      <c r="D129" s="15"/>
      <c r="E129" s="15"/>
      <c r="F129" s="15"/>
    </row>
    <row r="130" spans="1:6" x14ac:dyDescent="0.4">
      <c r="A130" s="3" t="s">
        <v>6</v>
      </c>
      <c r="B130" s="3" t="s">
        <v>7</v>
      </c>
      <c r="C130" s="3" t="s">
        <v>8</v>
      </c>
      <c r="D130" s="4" t="s">
        <v>9</v>
      </c>
      <c r="E130" s="3" t="s">
        <v>3</v>
      </c>
      <c r="F130" s="3" t="s">
        <v>4</v>
      </c>
    </row>
    <row r="131" spans="1:6" ht="20.25" x14ac:dyDescent="0.4">
      <c r="A131" s="5" t="s">
        <v>13</v>
      </c>
      <c r="B131" s="5" t="s">
        <v>14</v>
      </c>
      <c r="C131" s="5" t="s">
        <v>15</v>
      </c>
      <c r="D131" s="6" t="s">
        <v>16</v>
      </c>
      <c r="E131" s="5" t="s">
        <v>17</v>
      </c>
      <c r="F131" s="10" t="s">
        <v>28</v>
      </c>
    </row>
    <row r="132" spans="1:6" ht="18.75" x14ac:dyDescent="0.4">
      <c r="A132" s="1" t="s">
        <v>34</v>
      </c>
      <c r="B132" s="1">
        <v>90</v>
      </c>
      <c r="C132" s="1">
        <v>16.04</v>
      </c>
      <c r="D132" s="2">
        <f>C132*B132</f>
        <v>1443.6</v>
      </c>
      <c r="E132" s="9">
        <v>45369</v>
      </c>
      <c r="F132" s="11" t="s">
        <v>5</v>
      </c>
    </row>
    <row r="133" spans="1:6" ht="18.75" x14ac:dyDescent="0.4">
      <c r="A133" s="1" t="s">
        <v>61</v>
      </c>
      <c r="B133" s="1">
        <v>550</v>
      </c>
      <c r="C133" s="1">
        <v>18</v>
      </c>
      <c r="D133" s="2">
        <f t="shared" ref="D133:D134" si="15">C133*B133</f>
        <v>9900</v>
      </c>
      <c r="E133" s="9">
        <v>45370</v>
      </c>
      <c r="F133" s="1" t="s">
        <v>11</v>
      </c>
    </row>
    <row r="134" spans="1:6" ht="18.75" x14ac:dyDescent="0.4">
      <c r="A134" s="1" t="s">
        <v>49</v>
      </c>
      <c r="B134" s="1">
        <v>300</v>
      </c>
      <c r="C134" s="1">
        <v>22</v>
      </c>
      <c r="D134" s="2">
        <f t="shared" si="15"/>
        <v>6600</v>
      </c>
      <c r="E134" s="9">
        <v>45371</v>
      </c>
      <c r="F134" s="1" t="s">
        <v>11</v>
      </c>
    </row>
    <row r="135" spans="1:6" ht="18.75" x14ac:dyDescent="0.4">
      <c r="A135" s="1" t="s">
        <v>86</v>
      </c>
      <c r="B135" s="1">
        <v>100</v>
      </c>
      <c r="C135" s="1">
        <v>44</v>
      </c>
      <c r="D135" s="2">
        <f t="shared" ref="D135:D137" si="16">C135*B135</f>
        <v>4400</v>
      </c>
      <c r="E135" s="9">
        <v>45372</v>
      </c>
      <c r="F135" s="1" t="s">
        <v>11</v>
      </c>
    </row>
    <row r="136" spans="1:6" ht="18.75" x14ac:dyDescent="0.4">
      <c r="A136" s="1" t="s">
        <v>87</v>
      </c>
      <c r="B136" s="1">
        <v>100</v>
      </c>
      <c r="C136" s="1">
        <v>48</v>
      </c>
      <c r="D136" s="2">
        <f t="shared" si="16"/>
        <v>4800</v>
      </c>
      <c r="E136" s="9">
        <v>45381</v>
      </c>
      <c r="F136" s="1" t="s">
        <v>11</v>
      </c>
    </row>
    <row r="137" spans="1:6" ht="18.75" x14ac:dyDescent="0.4">
      <c r="A137" s="1" t="s">
        <v>51</v>
      </c>
      <c r="B137" s="1">
        <v>786</v>
      </c>
      <c r="C137" s="1">
        <v>26</v>
      </c>
      <c r="D137" s="2">
        <f t="shared" si="16"/>
        <v>20436</v>
      </c>
      <c r="E137" s="9">
        <v>45382</v>
      </c>
      <c r="F137" s="1" t="s">
        <v>11</v>
      </c>
    </row>
    <row r="138" spans="1:6" ht="22.5" x14ac:dyDescent="0.4">
      <c r="A138" s="16" t="s">
        <v>26</v>
      </c>
      <c r="B138" s="17"/>
      <c r="C138" s="17"/>
      <c r="D138" s="18">
        <f>SUM(D132:D137)</f>
        <v>47579.6</v>
      </c>
      <c r="E138" s="18"/>
      <c r="F138" s="18"/>
    </row>
  </sheetData>
  <mergeCells count="46">
    <mergeCell ref="A6:F6"/>
    <mergeCell ref="A1:F1"/>
    <mergeCell ref="A2:F2"/>
    <mergeCell ref="A3:F3"/>
    <mergeCell ref="A4:F4"/>
    <mergeCell ref="A5:F5"/>
    <mergeCell ref="A7:F7"/>
    <mergeCell ref="A8:F8"/>
    <mergeCell ref="A13:F13"/>
    <mergeCell ref="A22:C22"/>
    <mergeCell ref="D22:F22"/>
    <mergeCell ref="A23:F23"/>
    <mergeCell ref="A33:C33"/>
    <mergeCell ref="D33:F33"/>
    <mergeCell ref="A34:F34"/>
    <mergeCell ref="A50:C50"/>
    <mergeCell ref="D50:F50"/>
    <mergeCell ref="A51:F51"/>
    <mergeCell ref="A58:C58"/>
    <mergeCell ref="D58:F58"/>
    <mergeCell ref="A59:F59"/>
    <mergeCell ref="A68:C68"/>
    <mergeCell ref="D68:F68"/>
    <mergeCell ref="D110:F110"/>
    <mergeCell ref="A69:F69"/>
    <mergeCell ref="A78:C78"/>
    <mergeCell ref="D78:F78"/>
    <mergeCell ref="A79:F79"/>
    <mergeCell ref="A89:C89"/>
    <mergeCell ref="D89:F89"/>
    <mergeCell ref="A129:F129"/>
    <mergeCell ref="A138:C138"/>
    <mergeCell ref="D138:F138"/>
    <mergeCell ref="A10:D11"/>
    <mergeCell ref="E10:F11"/>
    <mergeCell ref="A111:F111"/>
    <mergeCell ref="A119:C119"/>
    <mergeCell ref="D119:F119"/>
    <mergeCell ref="A120:F120"/>
    <mergeCell ref="A128:C128"/>
    <mergeCell ref="D128:F128"/>
    <mergeCell ref="A90:F90"/>
    <mergeCell ref="A99:C99"/>
    <mergeCell ref="D99:F99"/>
    <mergeCell ref="A100:F100"/>
    <mergeCell ref="A110:C110"/>
  </mergeCells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グェン　ドック ギャ</dc:creator>
  <cp:lastModifiedBy>グェン　ドック ギャ</cp:lastModifiedBy>
  <dcterms:created xsi:type="dcterms:W3CDTF">2024-05-28T23:59:10Z</dcterms:created>
  <dcterms:modified xsi:type="dcterms:W3CDTF">2024-05-29T00:56:39Z</dcterms:modified>
</cp:coreProperties>
</file>