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5\"/>
    </mc:Choice>
  </mc:AlternateContent>
  <xr:revisionPtr revIDLastSave="0" documentId="13_ncr:1_{EE32904A-887D-47D7-AB3D-14B26D5A4039}" xr6:coauthVersionLast="47" xr6:coauthVersionMax="47" xr10:uidLastSave="{00000000-0000-0000-0000-000000000000}"/>
  <bookViews>
    <workbookView xWindow="-108" yWindow="-108" windowWidth="30936" windowHeight="16776" firstSheet="1" activeTab="11" xr2:uid="{A36BCF72-0C3F-4B08-9288-8AD6C80871C7}"/>
  </bookViews>
  <sheets>
    <sheet name="2025_06" sheetId="1" r:id="rId1"/>
    <sheet name="2025_07" sheetId="2" r:id="rId2"/>
    <sheet name="2025_08" sheetId="3" r:id="rId3"/>
    <sheet name="2025_09" sheetId="4" r:id="rId4"/>
    <sheet name="2025_10" sheetId="5" r:id="rId5"/>
    <sheet name="2025_11" sheetId="6" r:id="rId6"/>
    <sheet name="2025_12" sheetId="7" r:id="rId7"/>
    <sheet name="2026_01" sheetId="8" r:id="rId8"/>
    <sheet name="2026_02" sheetId="9" r:id="rId9"/>
    <sheet name="2026_03" sheetId="10" r:id="rId10"/>
    <sheet name="2026_04" sheetId="11" r:id="rId11"/>
    <sheet name="2026_05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2" l="1"/>
  <c r="E22" i="12"/>
  <c r="E12" i="12"/>
  <c r="H42" i="12" l="1"/>
  <c r="M47" i="12"/>
  <c r="H45" i="12"/>
  <c r="K49" i="12" s="1"/>
  <c r="E28" i="12"/>
  <c r="E31" i="12" s="1"/>
  <c r="B28" i="12"/>
  <c r="B31" i="12" s="1"/>
  <c r="E20" i="12"/>
  <c r="B20" i="12"/>
  <c r="B23" i="12" s="1"/>
  <c r="E15" i="12"/>
  <c r="B12" i="12"/>
  <c r="B15" i="12" s="1"/>
  <c r="B7" i="12"/>
  <c r="E4" i="12"/>
  <c r="E7" i="12" s="1"/>
  <c r="E31" i="11"/>
  <c r="B20" i="11"/>
  <c r="E4" i="11"/>
  <c r="E28" i="11"/>
  <c r="B28" i="11"/>
  <c r="B31" i="11" s="1"/>
  <c r="E20" i="11"/>
  <c r="E23" i="11" s="1"/>
  <c r="B23" i="11"/>
  <c r="E15" i="11"/>
  <c r="B12" i="11"/>
  <c r="B15" i="11" s="1"/>
  <c r="B7" i="11"/>
  <c r="E7" i="11"/>
  <c r="E28" i="10" l="1"/>
  <c r="E31" i="10" s="1"/>
  <c r="B28" i="10"/>
  <c r="B31" i="10" s="1"/>
  <c r="E20" i="10"/>
  <c r="E23" i="10" s="1"/>
  <c r="B20" i="10"/>
  <c r="B23" i="10" s="1"/>
  <c r="E12" i="10"/>
  <c r="E15" i="10" s="1"/>
  <c r="B12" i="10"/>
  <c r="B15" i="10" s="1"/>
  <c r="B7" i="10"/>
  <c r="E4" i="10"/>
  <c r="E7" i="10" s="1"/>
  <c r="E28" i="9"/>
  <c r="E31" i="9" s="1"/>
  <c r="B28" i="9"/>
  <c r="B31" i="9" s="1"/>
  <c r="E20" i="9"/>
  <c r="E23" i="9" s="1"/>
  <c r="B20" i="9"/>
  <c r="B23" i="9" s="1"/>
  <c r="E12" i="9"/>
  <c r="E15" i="9" s="1"/>
  <c r="B12" i="9"/>
  <c r="B15" i="9" s="1"/>
  <c r="B7" i="9"/>
  <c r="E4" i="9"/>
  <c r="E7" i="9" s="1"/>
  <c r="E15" i="8"/>
  <c r="B31" i="8"/>
  <c r="E28" i="8"/>
  <c r="E31" i="8" s="1"/>
  <c r="B28" i="8"/>
  <c r="E20" i="8"/>
  <c r="E23" i="8" s="1"/>
  <c r="B20" i="8"/>
  <c r="B23" i="8" s="1"/>
  <c r="E12" i="8"/>
  <c r="B12" i="8"/>
  <c r="B15" i="8" s="1"/>
  <c r="B7" i="8"/>
  <c r="E4" i="8"/>
  <c r="E7" i="8" s="1"/>
  <c r="E2" i="7"/>
  <c r="E4" i="7" s="1"/>
  <c r="E7" i="7" s="1"/>
  <c r="E28" i="7"/>
  <c r="E31" i="7" s="1"/>
  <c r="B28" i="7"/>
  <c r="B31" i="7" s="1"/>
  <c r="E23" i="7"/>
  <c r="E20" i="7"/>
  <c r="B20" i="7"/>
  <c r="B23" i="7" s="1"/>
  <c r="E12" i="7"/>
  <c r="E15" i="7" s="1"/>
  <c r="B12" i="7"/>
  <c r="B15" i="7" s="1"/>
  <c r="B7" i="7"/>
  <c r="E2" i="6"/>
  <c r="E28" i="6" l="1"/>
  <c r="E31" i="6" s="1"/>
  <c r="B28" i="6"/>
  <c r="B31" i="6" s="1"/>
  <c r="E20" i="6"/>
  <c r="E23" i="6" s="1"/>
  <c r="B20" i="6"/>
  <c r="B23" i="6" s="1"/>
  <c r="E12" i="6"/>
  <c r="E15" i="6" s="1"/>
  <c r="B12" i="6"/>
  <c r="B15" i="6" s="1"/>
  <c r="B7" i="6"/>
  <c r="E4" i="6"/>
  <c r="E7" i="6" s="1"/>
  <c r="E2" i="5"/>
  <c r="E4" i="5" s="1"/>
  <c r="E7" i="5" s="1"/>
  <c r="E29" i="5"/>
  <c r="E28" i="5"/>
  <c r="E31" i="5" s="1"/>
  <c r="B28" i="5"/>
  <c r="B31" i="5" s="1"/>
  <c r="E20" i="5"/>
  <c r="E23" i="5" s="1"/>
  <c r="B20" i="5"/>
  <c r="B23" i="5" s="1"/>
  <c r="E12" i="5"/>
  <c r="E15" i="5" s="1"/>
  <c r="B12" i="5"/>
  <c r="B15" i="5" s="1"/>
  <c r="B7" i="5"/>
  <c r="E29" i="4"/>
  <c r="E2" i="4"/>
  <c r="E4" i="4" s="1"/>
  <c r="E7" i="4" s="1"/>
  <c r="E28" i="4"/>
  <c r="B28" i="4"/>
  <c r="B31" i="4" s="1"/>
  <c r="E20" i="4"/>
  <c r="E23" i="4" s="1"/>
  <c r="B20" i="4"/>
  <c r="B23" i="4" s="1"/>
  <c r="E12" i="4"/>
  <c r="E15" i="4" s="1"/>
  <c r="B12" i="4"/>
  <c r="B15" i="4" s="1"/>
  <c r="B7" i="4"/>
  <c r="E28" i="3"/>
  <c r="E31" i="3" s="1"/>
  <c r="B28" i="3"/>
  <c r="B31" i="3" s="1"/>
  <c r="E20" i="3"/>
  <c r="E23" i="3" s="1"/>
  <c r="B20" i="3"/>
  <c r="B23" i="3" s="1"/>
  <c r="E12" i="3"/>
  <c r="E15" i="3" s="1"/>
  <c r="B12" i="3"/>
  <c r="B15" i="3" s="1"/>
  <c r="B7" i="3"/>
  <c r="E4" i="3"/>
  <c r="E7" i="3" s="1"/>
  <c r="E28" i="2"/>
  <c r="E31" i="2" s="1"/>
  <c r="B28" i="2"/>
  <c r="B31" i="2" s="1"/>
  <c r="B23" i="2"/>
  <c r="E20" i="2"/>
  <c r="E23" i="2" s="1"/>
  <c r="B20" i="2"/>
  <c r="E12" i="2"/>
  <c r="E15" i="2" s="1"/>
  <c r="B12" i="2"/>
  <c r="B15" i="2" s="1"/>
  <c r="B7" i="2"/>
  <c r="E4" i="2"/>
  <c r="E7" i="2" s="1"/>
  <c r="E28" i="1"/>
  <c r="E31" i="1" s="1"/>
  <c r="B28" i="1"/>
  <c r="B31" i="1" s="1"/>
  <c r="E20" i="1"/>
  <c r="E23" i="1" s="1"/>
  <c r="B20" i="1"/>
  <c r="B23" i="1" s="1"/>
  <c r="E12" i="1"/>
  <c r="E15" i="1" s="1"/>
  <c r="B12" i="1"/>
  <c r="B15" i="1" s="1"/>
  <c r="E4" i="1"/>
  <c r="E31" i="4" l="1"/>
  <c r="E7" i="1"/>
  <c r="B7" i="1"/>
</calcChain>
</file>

<file path=xl/sharedStrings.xml><?xml version="1.0" encoding="utf-8"?>
<sst xmlns="http://schemas.openxmlformats.org/spreadsheetml/2006/main" count="791" uniqueCount="50">
  <si>
    <t>TÊN</t>
  </si>
  <si>
    <t>GIỜ LÀM</t>
  </si>
  <si>
    <t>LƯƠNG CƠ BẢN</t>
  </si>
  <si>
    <t>LƯƠNG GIỜ</t>
  </si>
  <si>
    <t>THƯỞNG</t>
  </si>
  <si>
    <t>TỔNG</t>
  </si>
  <si>
    <t>KHẤU TRỪ*</t>
  </si>
  <si>
    <t>A.Giang</t>
  </si>
  <si>
    <t>A.Thái</t>
  </si>
  <si>
    <t>Nhàn</t>
  </si>
  <si>
    <t>C.Hiền</t>
  </si>
  <si>
    <t>Hoàn</t>
  </si>
  <si>
    <t>Cưng</t>
  </si>
  <si>
    <t>Nghĩa</t>
  </si>
  <si>
    <t>A. Thắng</t>
  </si>
  <si>
    <t>NGÀY LÀM</t>
  </si>
  <si>
    <t>LƯƠNG NGÀY CB</t>
  </si>
  <si>
    <t>PHỤ THÊM</t>
  </si>
  <si>
    <t>Toàn</t>
  </si>
  <si>
    <t>KHÁC*</t>
  </si>
  <si>
    <t>A.Quý</t>
  </si>
  <si>
    <t>C.Tuyết</t>
  </si>
  <si>
    <t>氏名</t>
  </si>
  <si>
    <t>基本給</t>
  </si>
  <si>
    <t>残業手当</t>
  </si>
  <si>
    <t>通勤手当</t>
  </si>
  <si>
    <t>支給合計</t>
  </si>
  <si>
    <t>健康保険料</t>
  </si>
  <si>
    <t>厚生年金保険料</t>
  </si>
  <si>
    <t>雇用保険料</t>
  </si>
  <si>
    <t>所得税</t>
  </si>
  <si>
    <t>控除合計</t>
  </si>
  <si>
    <t>支払日</t>
  </si>
  <si>
    <t>支給</t>
  </si>
  <si>
    <t>時間外手当</t>
  </si>
  <si>
    <t>控除</t>
  </si>
  <si>
    <t>社会保険料</t>
  </si>
  <si>
    <t xml:space="preserve">住民税 </t>
  </si>
  <si>
    <t>差引支給額</t>
  </si>
  <si>
    <t>給与明細書</t>
  </si>
  <si>
    <t>NGUYEN THI TUYET</t>
  </si>
  <si>
    <t>出勤日数</t>
  </si>
  <si>
    <t>出勤時間</t>
  </si>
  <si>
    <t>基本時給</t>
  </si>
  <si>
    <t>2026年05月分</t>
  </si>
  <si>
    <t>合同会社TRUONG GIANG
店名：Kokura Xuân Shop Việt Nhật
住所：北九州市小倉北区浅野2丁目18番29号
電話番号：080-2372-6019</t>
  </si>
  <si>
    <t>A. Thông</t>
  </si>
  <si>
    <t>SHIP NGÀY</t>
  </si>
  <si>
    <t>NGÀY SHIP</t>
  </si>
  <si>
    <t>LƯƠNG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</si>
</sst>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411]#,##0"/>
    <numFmt numFmtId="165" formatCode="0.0"/>
    <numFmt numFmtId="166" formatCode="yyyy/mm/dd"/>
  </numFmts>
  <fonts count="23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i/>
      <sz val="11"/>
      <color theme="1"/>
      <name val="Times New Roman"/>
      <family val="1"/>
      <scheme val="major"/>
    </font>
    <font>
      <b/>
      <sz val="18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1"/>
      <color theme="1"/>
      <name val="Arial"/>
      <family val="2"/>
      <charset val="163"/>
      <scheme val="minor"/>
    </font>
    <font>
      <sz val="18"/>
      <color theme="1"/>
      <name val="Yu Gothic UI Semibold"/>
      <family val="2"/>
    </font>
    <font>
      <sz val="11"/>
      <color theme="1"/>
      <name val="Yu Gothic UI Semibold"/>
      <family val="2"/>
    </font>
    <font>
      <b/>
      <sz val="11"/>
      <color theme="1"/>
      <name val="Yu Gothic UI Semibold"/>
      <family val="2"/>
    </font>
    <font>
      <b/>
      <sz val="20"/>
      <color theme="1"/>
      <name val="Yu Gothic UI Semibold"/>
      <family val="2"/>
    </font>
    <font>
      <sz val="20"/>
      <color theme="1"/>
      <name val="Yu Gothic UI Semibold"/>
      <family val="2"/>
    </font>
    <font>
      <sz val="22"/>
      <color theme="1"/>
      <name val="Times New Roman"/>
      <family val="1"/>
      <scheme val="major"/>
    </font>
    <font>
      <sz val="26"/>
      <color theme="1"/>
      <name val="Yu Gothic UI Semibold"/>
      <family val="2"/>
    </font>
    <font>
      <b/>
      <sz val="14"/>
      <color theme="1"/>
      <name val="Yu Gothic UI Semibold"/>
      <family val="2"/>
    </font>
    <font>
      <sz val="14"/>
      <color theme="1"/>
      <name val="Yu Gothic UI Semibold"/>
      <family val="2"/>
    </font>
    <font>
      <sz val="20"/>
      <color theme="1"/>
      <name val="Times New Roman"/>
      <family val="1"/>
      <scheme val="major"/>
    </font>
    <font>
      <b/>
      <sz val="26"/>
      <color theme="1"/>
      <name val="Times New Roman"/>
      <family val="1"/>
      <scheme val="major"/>
    </font>
    <font>
      <b/>
      <sz val="16"/>
      <color theme="1"/>
      <name val="Yu Gothic UI Semibold"/>
      <family val="2"/>
    </font>
    <font>
      <b/>
      <sz val="10"/>
      <color theme="1"/>
      <name val="Yu Gothic UI Semibold"/>
      <family val="2"/>
    </font>
    <font>
      <sz val="12"/>
      <color theme="1"/>
      <name val="Yu Mincho Light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/>
    <xf numFmtId="0" fontId="4" fillId="4" borderId="5" xfId="0" applyFont="1" applyFill="1" applyBorder="1" applyAlignment="1">
      <alignment horizontal="center" vertical="center"/>
    </xf>
    <xf numFmtId="164" fontId="5" fillId="4" borderId="6" xfId="0" applyNumberFormat="1" applyFont="1" applyFill="1" applyBorder="1"/>
    <xf numFmtId="164" fontId="6" fillId="0" borderId="4" xfId="0" applyNumberFormat="1" applyFont="1" applyBorder="1"/>
    <xf numFmtId="164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64" fontId="7" fillId="0" borderId="4" xfId="0" applyNumberFormat="1" applyFont="1" applyBorder="1"/>
    <xf numFmtId="164" fontId="4" fillId="4" borderId="6" xfId="0" applyNumberFormat="1" applyFont="1" applyFill="1" applyBorder="1"/>
    <xf numFmtId="0" fontId="9" fillId="0" borderId="18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5" fillId="3" borderId="7" xfId="0" applyFont="1" applyFill="1" applyBorder="1" applyAlignment="1">
      <alignment shrinkToFit="1"/>
    </xf>
    <xf numFmtId="0" fontId="2" fillId="2" borderId="3" xfId="0" applyFont="1" applyFill="1" applyBorder="1" applyAlignment="1">
      <alignment horizontal="left" vertical="center" shrinkToFit="1"/>
    </xf>
    <xf numFmtId="1" fontId="6" fillId="0" borderId="4" xfId="0" applyNumberFormat="1" applyFont="1" applyBorder="1" applyAlignment="1">
      <alignment horizontal="center" shrinkToFit="1"/>
    </xf>
    <xf numFmtId="0" fontId="1" fillId="0" borderId="0" xfId="0" applyFont="1" applyAlignment="1">
      <alignment shrinkToFit="1"/>
    </xf>
    <xf numFmtId="165" fontId="6" fillId="0" borderId="8" xfId="0" applyNumberFormat="1" applyFont="1" applyBorder="1" applyAlignment="1">
      <alignment horizontal="center" shrinkToFit="1"/>
    </xf>
    <xf numFmtId="164" fontId="6" fillId="0" borderId="4" xfId="0" applyNumberFormat="1" applyFont="1" applyBorder="1" applyAlignment="1">
      <alignment horizontal="center" shrinkToFit="1"/>
    </xf>
    <xf numFmtId="164" fontId="6" fillId="0" borderId="8" xfId="0" applyNumberFormat="1" applyFont="1" applyBorder="1" applyAlignment="1">
      <alignment horizontal="center" shrinkToFit="1"/>
    </xf>
    <xf numFmtId="164" fontId="6" fillId="0" borderId="4" xfId="0" applyNumberFormat="1" applyFont="1" applyBorder="1" applyAlignment="1">
      <alignment shrinkToFit="1"/>
    </xf>
    <xf numFmtId="164" fontId="7" fillId="0" borderId="8" xfId="0" applyNumberFormat="1" applyFont="1" applyBorder="1" applyAlignment="1">
      <alignment shrinkToFit="1"/>
    </xf>
    <xf numFmtId="164" fontId="6" fillId="0" borderId="8" xfId="0" applyNumberFormat="1" applyFont="1" applyBorder="1" applyAlignment="1">
      <alignment shrinkToFit="1"/>
    </xf>
    <xf numFmtId="0" fontId="3" fillId="2" borderId="3" xfId="0" applyFont="1" applyFill="1" applyBorder="1" applyAlignment="1">
      <alignment horizontal="left" vertical="center" shrinkToFit="1"/>
    </xf>
    <xf numFmtId="0" fontId="4" fillId="4" borderId="5" xfId="0" applyFont="1" applyFill="1" applyBorder="1" applyAlignment="1">
      <alignment horizontal="center" vertical="center" shrinkToFit="1"/>
    </xf>
    <xf numFmtId="164" fontId="4" fillId="4" borderId="6" xfId="0" applyNumberFormat="1" applyFont="1" applyFill="1" applyBorder="1" applyAlignment="1">
      <alignment shrinkToFit="1"/>
    </xf>
    <xf numFmtId="164" fontId="4" fillId="4" borderId="9" xfId="0" applyNumberFormat="1" applyFont="1" applyFill="1" applyBorder="1" applyAlignment="1">
      <alignment shrinkToFit="1"/>
    </xf>
    <xf numFmtId="165" fontId="6" fillId="0" borderId="4" xfId="0" applyNumberFormat="1" applyFont="1" applyBorder="1" applyAlignment="1">
      <alignment horizontal="center" shrinkToFit="1"/>
    </xf>
    <xf numFmtId="164" fontId="7" fillId="0" borderId="4" xfId="0" applyNumberFormat="1" applyFont="1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5" fillId="0" borderId="14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9" fillId="5" borderId="15" xfId="0" applyFont="1" applyFill="1" applyBorder="1" applyAlignment="1">
      <alignment vertical="center" shrinkToFit="1"/>
    </xf>
    <xf numFmtId="0" fontId="9" fillId="5" borderId="18" xfId="0" applyFont="1" applyFill="1" applyBorder="1" applyAlignment="1">
      <alignment horizontal="center" vertical="center" shrinkToFit="1"/>
    </xf>
    <xf numFmtId="0" fontId="9" fillId="5" borderId="19" xfId="0" applyFont="1" applyFill="1" applyBorder="1" applyAlignment="1">
      <alignment horizontal="center" vertical="center" shrinkToFit="1"/>
    </xf>
    <xf numFmtId="166" fontId="5" fillId="0" borderId="18" xfId="0" applyNumberFormat="1" applyFont="1" applyBorder="1" applyAlignment="1">
      <alignment horizontal="center" vertical="center" shrinkToFit="1"/>
    </xf>
    <xf numFmtId="166" fontId="5" fillId="0" borderId="14" xfId="0" applyNumberFormat="1" applyFont="1" applyBorder="1" applyAlignment="1">
      <alignment horizontal="center" vertical="center" shrinkToFit="1"/>
    </xf>
    <xf numFmtId="0" fontId="11" fillId="0" borderId="36" xfId="0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left" vertical="center" shrinkToFit="1"/>
    </xf>
    <xf numFmtId="0" fontId="20" fillId="0" borderId="21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21" fillId="0" borderId="28" xfId="0" applyFont="1" applyBorder="1" applyAlignment="1">
      <alignment horizontal="left" vertical="center" shrinkToFit="1"/>
    </xf>
    <xf numFmtId="0" fontId="21" fillId="0" borderId="29" xfId="0" applyFont="1" applyBorder="1" applyAlignment="1">
      <alignment horizontal="left" vertical="center" shrinkToFit="1"/>
    </xf>
    <xf numFmtId="0" fontId="21" fillId="0" borderId="30" xfId="0" applyFont="1" applyBorder="1" applyAlignment="1">
      <alignment horizontal="left" vertical="center" shrinkToFit="1"/>
    </xf>
    <xf numFmtId="0" fontId="21" fillId="0" borderId="0" xfId="0" applyFont="1" applyAlignment="1">
      <alignment horizontal="left" vertical="center" shrinkToFit="1"/>
    </xf>
    <xf numFmtId="0" fontId="21" fillId="0" borderId="11" xfId="0" applyFont="1" applyBorder="1" applyAlignment="1">
      <alignment horizontal="left" vertical="center" shrinkToFit="1"/>
    </xf>
    <xf numFmtId="164" fontId="4" fillId="0" borderId="16" xfId="0" applyNumberFormat="1" applyFont="1" applyBorder="1" applyAlignment="1">
      <alignment horizontal="right" vertical="center" shrinkToFit="1"/>
    </xf>
    <xf numFmtId="0" fontId="21" fillId="0" borderId="26" xfId="0" applyFont="1" applyBorder="1" applyAlignment="1">
      <alignment horizontal="left" vertical="center" shrinkToFit="1"/>
    </xf>
    <xf numFmtId="0" fontId="21" fillId="0" borderId="25" xfId="0" applyFont="1" applyBorder="1" applyAlignment="1">
      <alignment horizontal="left" vertical="center" shrinkToFit="1"/>
    </xf>
    <xf numFmtId="0" fontId="21" fillId="0" borderId="31" xfId="0" applyFont="1" applyBorder="1" applyAlignment="1">
      <alignment horizontal="left" vertical="center" shrinkToFit="1"/>
    </xf>
    <xf numFmtId="0" fontId="12" fillId="7" borderId="35" xfId="0" applyFont="1" applyFill="1" applyBorder="1" applyAlignment="1">
      <alignment horizontal="center" vertical="center" shrinkToFit="1"/>
    </xf>
    <xf numFmtId="0" fontId="12" fillId="7" borderId="20" xfId="0" applyFont="1" applyFill="1" applyBorder="1" applyAlignment="1">
      <alignment horizontal="center" vertical="center" shrinkToFit="1"/>
    </xf>
    <xf numFmtId="0" fontId="12" fillId="7" borderId="21" xfId="0" applyFont="1" applyFill="1" applyBorder="1" applyAlignment="1">
      <alignment horizontal="center" vertical="center" shrinkToFit="1"/>
    </xf>
    <xf numFmtId="0" fontId="13" fillId="6" borderId="22" xfId="0" applyFont="1" applyFill="1" applyBorder="1" applyAlignment="1">
      <alignment horizontal="center" vertical="center" shrinkToFit="1"/>
    </xf>
    <xf numFmtId="0" fontId="13" fillId="6" borderId="17" xfId="0" applyFont="1" applyFill="1" applyBorder="1" applyAlignment="1">
      <alignment horizontal="center" vertical="center" shrinkToFit="1"/>
    </xf>
    <xf numFmtId="0" fontId="13" fillId="6" borderId="20" xfId="0" applyFont="1" applyFill="1" applyBorder="1" applyAlignment="1">
      <alignment horizontal="center" vertical="center" shrinkToFit="1"/>
    </xf>
    <xf numFmtId="0" fontId="13" fillId="6" borderId="21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shrinkToFit="1"/>
    </xf>
    <xf numFmtId="0" fontId="16" fillId="0" borderId="35" xfId="0" applyFont="1" applyBorder="1" applyAlignment="1">
      <alignment horizontal="left" vertical="center" shrinkToFit="1"/>
    </xf>
    <xf numFmtId="0" fontId="16" fillId="0" borderId="21" xfId="0" applyFont="1" applyBorder="1" applyAlignment="1">
      <alignment horizontal="left" vertical="center" shrinkToFit="1"/>
    </xf>
    <xf numFmtId="164" fontId="18" fillId="0" borderId="17" xfId="0" applyNumberFormat="1" applyFont="1" applyBorder="1" applyAlignment="1">
      <alignment horizontal="right" vertical="center" shrinkToFit="1"/>
    </xf>
    <xf numFmtId="0" fontId="13" fillId="6" borderId="23" xfId="0" applyFont="1" applyFill="1" applyBorder="1" applyAlignment="1">
      <alignment horizontal="center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20" xfId="0" applyFont="1" applyBorder="1" applyAlignment="1">
      <alignment horizontal="left" vertical="center" shrinkToFit="1"/>
    </xf>
    <xf numFmtId="0" fontId="17" fillId="0" borderId="21" xfId="0" applyFont="1" applyBorder="1" applyAlignment="1">
      <alignment horizontal="left" vertical="center" shrinkToFit="1"/>
    </xf>
    <xf numFmtId="164" fontId="18" fillId="0" borderId="16" xfId="0" applyNumberFormat="1" applyFont="1" applyBorder="1" applyAlignment="1">
      <alignment horizontal="right" vertical="center" shrinkToFit="1"/>
    </xf>
    <xf numFmtId="0" fontId="17" fillId="0" borderId="11" xfId="0" applyFont="1" applyBorder="1" applyAlignment="1">
      <alignment horizontal="left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35" xfId="0" applyFont="1" applyBorder="1" applyAlignment="1">
      <alignment horizontal="left" vertical="center" shrinkToFit="1"/>
    </xf>
    <xf numFmtId="0" fontId="17" fillId="7" borderId="35" xfId="0" applyFont="1" applyFill="1" applyBorder="1" applyAlignment="1">
      <alignment horizontal="left" vertical="center" shrinkToFit="1"/>
    </xf>
    <xf numFmtId="0" fontId="17" fillId="7" borderId="21" xfId="0" applyFont="1" applyFill="1" applyBorder="1" applyAlignment="1">
      <alignment horizontal="left" vertical="center" shrinkToFit="1"/>
    </xf>
    <xf numFmtId="0" fontId="17" fillId="0" borderId="10" xfId="0" applyFont="1" applyBorder="1" applyAlignment="1">
      <alignment horizontal="left" vertical="center" shrinkToFit="1"/>
    </xf>
    <xf numFmtId="0" fontId="17" fillId="0" borderId="0" xfId="0" applyFont="1" applyAlignment="1">
      <alignment horizontal="left" vertical="center" shrinkToFit="1"/>
    </xf>
    <xf numFmtId="0" fontId="17" fillId="0" borderId="24" xfId="0" applyFont="1" applyBorder="1" applyAlignment="1">
      <alignment horizontal="center" vertical="center" shrinkToFit="1"/>
    </xf>
    <xf numFmtId="0" fontId="13" fillId="6" borderId="24" xfId="0" applyFont="1" applyFill="1" applyBorder="1" applyAlignment="1">
      <alignment horizontal="center" vertical="center" shrinkToFit="1"/>
    </xf>
    <xf numFmtId="0" fontId="17" fillId="8" borderId="17" xfId="0" applyFont="1" applyFill="1" applyBorder="1" applyAlignment="1">
      <alignment horizontal="center" vertical="center" shrinkToFit="1"/>
    </xf>
    <xf numFmtId="0" fontId="17" fillId="8" borderId="20" xfId="0" applyFont="1" applyFill="1" applyBorder="1" applyAlignment="1">
      <alignment horizontal="center" vertical="center" shrinkToFit="1"/>
    </xf>
    <xf numFmtId="0" fontId="17" fillId="8" borderId="21" xfId="0" applyFont="1" applyFill="1" applyBorder="1" applyAlignment="1">
      <alignment horizontal="center" vertical="center" shrinkToFit="1"/>
    </xf>
    <xf numFmtId="0" fontId="17" fillId="0" borderId="32" xfId="0" applyFont="1" applyBorder="1" applyAlignment="1">
      <alignment horizontal="left" vertical="center" shrinkToFit="1"/>
    </xf>
    <xf numFmtId="0" fontId="17" fillId="0" borderId="33" xfId="0" applyFont="1" applyBorder="1" applyAlignment="1">
      <alignment horizontal="left" vertical="center" shrinkToFit="1"/>
    </xf>
    <xf numFmtId="0" fontId="17" fillId="0" borderId="34" xfId="0" applyFont="1" applyBorder="1" applyAlignment="1">
      <alignment horizontal="left" vertical="center" shrinkToFit="1"/>
    </xf>
    <xf numFmtId="0" fontId="14" fillId="5" borderId="12" xfId="0" applyFont="1" applyFill="1" applyBorder="1" applyAlignment="1">
      <alignment horizontal="center" vertical="center" shrinkToFit="1"/>
    </xf>
    <xf numFmtId="0" fontId="14" fillId="5" borderId="13" xfId="0" applyFont="1" applyFill="1" applyBorder="1" applyAlignment="1">
      <alignment horizontal="center" vertical="center" shrinkToFit="1"/>
    </xf>
    <xf numFmtId="0" fontId="14" fillId="5" borderId="14" xfId="0" applyFont="1" applyFill="1" applyBorder="1" applyAlignment="1">
      <alignment horizontal="center" vertical="center" shrinkToFit="1"/>
    </xf>
    <xf numFmtId="164" fontId="19" fillId="0" borderId="12" xfId="0" applyNumberFormat="1" applyFont="1" applyBorder="1" applyAlignment="1">
      <alignment horizontal="center" vertical="center" shrinkToFit="1"/>
    </xf>
    <xf numFmtId="164" fontId="19" fillId="0" borderId="13" xfId="0" applyNumberFormat="1" applyFont="1" applyBorder="1" applyAlignment="1">
      <alignment horizontal="center" vertical="center" shrinkToFit="1"/>
    </xf>
    <xf numFmtId="164" fontId="19" fillId="0" borderId="14" xfId="0" applyNumberFormat="1" applyFont="1" applyBorder="1" applyAlignment="1">
      <alignment horizontal="center" vertical="center" shrinkToFit="1"/>
    </xf>
    <xf numFmtId="0" fontId="21" fillId="0" borderId="27" xfId="0" applyFont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F924-E903-495F-BB38-A2ADBB4F925C}">
  <dimension ref="A1:E32"/>
  <sheetViews>
    <sheetView zoomScale="85" zoomScaleNormal="85" workbookViewId="0">
      <selection activeCell="B27" sqref="B27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47.5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52250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6</v>
      </c>
      <c r="B6" s="9">
        <v>75000</v>
      </c>
      <c r="D6" s="3" t="s">
        <v>6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8">
        <f>B4+B5-B6</f>
        <v>315000</v>
      </c>
      <c r="D7" s="7" t="s">
        <v>5</v>
      </c>
      <c r="E7" s="14">
        <f>E4+E5-E6</f>
        <v>52250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81.5</v>
      </c>
      <c r="D10" s="2" t="s">
        <v>1</v>
      </c>
      <c r="E10" s="11">
        <v>110.5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89650</v>
      </c>
      <c r="D12" s="2" t="s">
        <v>2</v>
      </c>
      <c r="E12" s="13">
        <f>E11*E10</f>
        <v>121550</v>
      </c>
    </row>
    <row r="13" spans="1:5" ht="21.75" customHeight="1" thickTop="1" thickBot="1" x14ac:dyDescent="0.4">
      <c r="A13" s="2" t="s">
        <v>4</v>
      </c>
      <c r="B13" s="9">
        <v>3000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6</v>
      </c>
      <c r="B14" s="9">
        <v>0</v>
      </c>
      <c r="D14" s="3" t="s">
        <v>6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92650</v>
      </c>
      <c r="D15" s="7" t="s">
        <v>5</v>
      </c>
      <c r="E15" s="14">
        <f>E12+E13-E14</f>
        <v>121550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105.5</v>
      </c>
      <c r="D18" s="2" t="s">
        <v>1</v>
      </c>
      <c r="E18" s="11">
        <v>64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116050</v>
      </c>
      <c r="D20" s="2" t="s">
        <v>2</v>
      </c>
      <c r="E20" s="13">
        <f>E19*E18</f>
        <v>70400</v>
      </c>
    </row>
    <row r="21" spans="1:5" ht="21.75" customHeight="1" thickTop="1" thickBot="1" x14ac:dyDescent="0.4">
      <c r="A21" s="2" t="s">
        <v>4</v>
      </c>
      <c r="B21" s="9">
        <v>3000</v>
      </c>
      <c r="D21" s="2" t="s">
        <v>4</v>
      </c>
      <c r="E21" s="9">
        <v>3000</v>
      </c>
    </row>
    <row r="22" spans="1:5" ht="21.75" customHeight="1" thickTop="1" thickBot="1" x14ac:dyDescent="0.4">
      <c r="A22" s="3" t="s">
        <v>6</v>
      </c>
      <c r="B22" s="9">
        <v>0</v>
      </c>
      <c r="D22" s="3" t="s">
        <v>6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119050</v>
      </c>
      <c r="D23" s="7" t="s">
        <v>5</v>
      </c>
      <c r="E23" s="14">
        <f>E20+E21-E22</f>
        <v>73400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13</v>
      </c>
      <c r="D25" s="5" t="s">
        <v>0</v>
      </c>
      <c r="E25" s="6"/>
    </row>
    <row r="26" spans="1:5" ht="21.75" customHeight="1" thickTop="1" thickBot="1" x14ac:dyDescent="0.4">
      <c r="A26" s="2" t="s">
        <v>1</v>
      </c>
      <c r="B26" s="11">
        <v>120</v>
      </c>
      <c r="D26" s="2" t="s">
        <v>1</v>
      </c>
      <c r="E26" s="11"/>
    </row>
    <row r="27" spans="1:5" ht="21.75" customHeight="1" thickTop="1" thickBot="1" x14ac:dyDescent="0.4">
      <c r="A27" s="2" t="s">
        <v>3</v>
      </c>
      <c r="B27" s="10">
        <v>1000</v>
      </c>
      <c r="D27" s="2" t="s">
        <v>3</v>
      </c>
      <c r="E27" s="10"/>
    </row>
    <row r="28" spans="1:5" ht="21.75" customHeight="1" thickTop="1" thickBot="1" x14ac:dyDescent="0.35">
      <c r="A28" s="2" t="s">
        <v>2</v>
      </c>
      <c r="B28" s="13">
        <f>B27*B26</f>
        <v>120000</v>
      </c>
      <c r="D28" s="2" t="s">
        <v>2</v>
      </c>
      <c r="E28" s="13">
        <f>E27*E26</f>
        <v>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4</v>
      </c>
      <c r="E29" s="9">
        <v>0</v>
      </c>
    </row>
    <row r="30" spans="1:5" ht="21.75" customHeight="1" thickTop="1" thickBot="1" x14ac:dyDescent="0.4">
      <c r="A30" s="3" t="s">
        <v>6</v>
      </c>
      <c r="B30" s="9">
        <v>0</v>
      </c>
      <c r="D30" s="3" t="s">
        <v>6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120000</v>
      </c>
      <c r="D31" s="7" t="s">
        <v>5</v>
      </c>
      <c r="E31" s="14">
        <f>E28+E29-E30</f>
        <v>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5F10-EFB7-4329-81DC-6059546EF024}">
  <dimension ref="A1:E32"/>
  <sheetViews>
    <sheetView zoomScale="85" zoomScaleNormal="85" workbookViewId="0">
      <selection activeCell="K44" sqref="K44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52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57200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6</v>
      </c>
      <c r="B6" s="9">
        <v>75000</v>
      </c>
      <c r="D6" s="3" t="s">
        <v>6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8">
        <f>B4+B5-B6</f>
        <v>315000</v>
      </c>
      <c r="D7" s="7" t="s">
        <v>5</v>
      </c>
      <c r="E7" s="14">
        <f>E4+E5-E6</f>
        <v>57200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137.5</v>
      </c>
      <c r="D10" s="2" t="s">
        <v>1</v>
      </c>
      <c r="E10" s="11">
        <v>28.5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151250</v>
      </c>
      <c r="D12" s="2" t="s">
        <v>2</v>
      </c>
      <c r="E12" s="13">
        <f>E11*E10</f>
        <v>31350</v>
      </c>
    </row>
    <row r="13" spans="1:5" ht="21.75" customHeight="1" thickTop="1" thickBot="1" x14ac:dyDescent="0.4">
      <c r="A13" s="2" t="s">
        <v>4</v>
      </c>
      <c r="B13" s="9">
        <v>3000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6</v>
      </c>
      <c r="B14" s="9">
        <v>0</v>
      </c>
      <c r="D14" s="3" t="s">
        <v>6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154250</v>
      </c>
      <c r="D15" s="7" t="s">
        <v>5</v>
      </c>
      <c r="E15" s="14">
        <f>E12+E13-E14</f>
        <v>31350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102</v>
      </c>
      <c r="D18" s="2" t="s">
        <v>1</v>
      </c>
      <c r="E18" s="11">
        <v>87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112200</v>
      </c>
      <c r="D20" s="2" t="s">
        <v>2</v>
      </c>
      <c r="E20" s="13">
        <f>E19*E18</f>
        <v>95700</v>
      </c>
    </row>
    <row r="21" spans="1:5" ht="21.75" customHeight="1" thickTop="1" thickBot="1" x14ac:dyDescent="0.4">
      <c r="A21" s="2" t="s">
        <v>4</v>
      </c>
      <c r="B21" s="9">
        <v>3000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6</v>
      </c>
      <c r="B22" s="9">
        <v>0</v>
      </c>
      <c r="D22" s="3" t="s">
        <v>6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115200</v>
      </c>
      <c r="D23" s="7" t="s">
        <v>5</v>
      </c>
      <c r="E23" s="14">
        <f>E20+E21-E22</f>
        <v>95700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13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160</v>
      </c>
      <c r="D26" s="2" t="s">
        <v>15</v>
      </c>
      <c r="E26" s="11">
        <v>9</v>
      </c>
    </row>
    <row r="27" spans="1:5" ht="21.75" customHeight="1" thickTop="1" thickBot="1" x14ac:dyDescent="0.4">
      <c r="A27" s="2" t="s">
        <v>3</v>
      </c>
      <c r="B27" s="10">
        <v>1000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160000</v>
      </c>
      <c r="D28" s="2" t="s">
        <v>2</v>
      </c>
      <c r="E28" s="13">
        <f>E27*E26</f>
        <v>58500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1500</v>
      </c>
    </row>
    <row r="30" spans="1:5" ht="21.75" customHeight="1" thickTop="1" thickBot="1" x14ac:dyDescent="0.4">
      <c r="A30" s="3" t="s">
        <v>6</v>
      </c>
      <c r="B30" s="9">
        <v>0</v>
      </c>
      <c r="D30" s="3" t="s">
        <v>6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160000</v>
      </c>
      <c r="D31" s="7" t="s">
        <v>5</v>
      </c>
      <c r="E31" s="14">
        <f>E28+E29-E30</f>
        <v>60000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A12D-13B8-4DC5-AD01-9FF845AB4DF8}">
  <dimension ref="A1:E32"/>
  <sheetViews>
    <sheetView zoomScale="85" zoomScaleNormal="85" workbookViewId="0">
      <selection activeCell="G26" sqref="G26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47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51700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6</v>
      </c>
      <c r="B6" s="9">
        <v>75000</v>
      </c>
      <c r="D6" s="3" t="s">
        <v>6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8">
        <f>B4+B5-B6</f>
        <v>315000</v>
      </c>
      <c r="D7" s="7" t="s">
        <v>5</v>
      </c>
      <c r="E7" s="14">
        <f>E4+E5-E6</f>
        <v>51700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142</v>
      </c>
      <c r="D10" s="2" t="s">
        <v>1</v>
      </c>
      <c r="E10" s="11">
        <v>0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156200</v>
      </c>
      <c r="D12" s="2" t="s">
        <v>2</v>
      </c>
      <c r="E12" s="13">
        <f>E11*E10</f>
        <v>0</v>
      </c>
    </row>
    <row r="13" spans="1:5" ht="21.75" customHeight="1" thickTop="1" thickBot="1" x14ac:dyDescent="0.4">
      <c r="A13" s="2" t="s">
        <v>4</v>
      </c>
      <c r="B13" s="9">
        <v>13000</v>
      </c>
      <c r="D13" s="2" t="s">
        <v>4</v>
      </c>
      <c r="E13" s="9">
        <v>10000</v>
      </c>
    </row>
    <row r="14" spans="1:5" ht="21.75" customHeight="1" thickTop="1" thickBot="1" x14ac:dyDescent="0.4">
      <c r="A14" s="3" t="s">
        <v>6</v>
      </c>
      <c r="B14" s="9">
        <v>0</v>
      </c>
      <c r="D14" s="3" t="s">
        <v>6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169200</v>
      </c>
      <c r="D15" s="7" t="s">
        <v>5</v>
      </c>
      <c r="E15" s="14">
        <f>E12+E13-E14</f>
        <v>10000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117.5</v>
      </c>
      <c r="D18" s="2" t="s">
        <v>1</v>
      </c>
      <c r="E18" s="11">
        <v>103.5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129250</v>
      </c>
      <c r="D20" s="2" t="s">
        <v>2</v>
      </c>
      <c r="E20" s="13">
        <f>E19*E18</f>
        <v>113850</v>
      </c>
    </row>
    <row r="21" spans="1:5" ht="21.75" customHeight="1" thickTop="1" thickBot="1" x14ac:dyDescent="0.4">
      <c r="A21" s="2" t="s">
        <v>4</v>
      </c>
      <c r="B21" s="9">
        <v>13000</v>
      </c>
      <c r="D21" s="2" t="s">
        <v>4</v>
      </c>
      <c r="E21" s="9">
        <v>13000</v>
      </c>
    </row>
    <row r="22" spans="1:5" ht="21.75" customHeight="1" thickTop="1" thickBot="1" x14ac:dyDescent="0.4">
      <c r="A22" s="3" t="s">
        <v>6</v>
      </c>
      <c r="B22" s="9">
        <v>0</v>
      </c>
      <c r="D22" s="3" t="s">
        <v>6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142250</v>
      </c>
      <c r="D23" s="7" t="s">
        <v>5</v>
      </c>
      <c r="E23" s="14">
        <f>E20+E21-E22</f>
        <v>126850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13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150</v>
      </c>
      <c r="D26" s="2" t="s">
        <v>15</v>
      </c>
      <c r="E26" s="11">
        <v>10</v>
      </c>
    </row>
    <row r="27" spans="1:5" ht="21.75" customHeight="1" thickTop="1" thickBot="1" x14ac:dyDescent="0.4">
      <c r="A27" s="2" t="s">
        <v>3</v>
      </c>
      <c r="B27" s="10">
        <v>1000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150000</v>
      </c>
      <c r="D28" s="2" t="s">
        <v>2</v>
      </c>
      <c r="E28" s="13">
        <f>E27*E26</f>
        <v>65000</v>
      </c>
    </row>
    <row r="29" spans="1:5" ht="21.75" customHeight="1" thickTop="1" thickBot="1" x14ac:dyDescent="0.4">
      <c r="A29" s="2" t="s">
        <v>4</v>
      </c>
      <c r="B29" s="9">
        <v>20000</v>
      </c>
      <c r="D29" s="2" t="s">
        <v>17</v>
      </c>
      <c r="E29" s="9">
        <v>5000</v>
      </c>
    </row>
    <row r="30" spans="1:5" ht="21.75" customHeight="1" thickTop="1" thickBot="1" x14ac:dyDescent="0.4">
      <c r="A30" s="3" t="s">
        <v>6</v>
      </c>
      <c r="B30" s="9">
        <v>0</v>
      </c>
      <c r="D30" s="3" t="s">
        <v>6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170000</v>
      </c>
      <c r="D31" s="7" t="s">
        <v>5</v>
      </c>
      <c r="E31" s="14">
        <f>E28+E29-E30</f>
        <v>70000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A466-6463-4A69-AC78-B9C95425C4CA}">
  <dimension ref="A1:E32"/>
  <sheetViews>
    <sheetView zoomScale="85" zoomScaleNormal="85" workbookViewId="0">
      <selection activeCell="J11" sqref="J11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f>12*5</f>
        <v>60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66000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66000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125</v>
      </c>
      <c r="D10" s="2" t="s">
        <v>1</v>
      </c>
      <c r="E10" s="11">
        <v>0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137500</v>
      </c>
      <c r="D12" s="2" t="s">
        <v>2</v>
      </c>
      <c r="E12" s="13">
        <f>E11*E10</f>
        <v>0</v>
      </c>
    </row>
    <row r="13" spans="1:5" ht="21.75" customHeight="1" thickTop="1" thickBot="1" x14ac:dyDescent="0.4">
      <c r="A13" s="2" t="s">
        <v>4</v>
      </c>
      <c r="B13" s="9">
        <v>3000</v>
      </c>
      <c r="D13" s="2" t="s">
        <v>4</v>
      </c>
      <c r="E13" s="9">
        <v>10000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140500</v>
      </c>
      <c r="D15" s="7" t="s">
        <v>5</v>
      </c>
      <c r="E15" s="14">
        <f>E12+E13-E14</f>
        <v>10000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86.5</v>
      </c>
      <c r="D18" s="2" t="s">
        <v>1</v>
      </c>
      <c r="E18" s="11">
        <v>113.5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95150</v>
      </c>
      <c r="D20" s="2" t="s">
        <v>2</v>
      </c>
      <c r="E20" s="13">
        <f>E19*E18</f>
        <v>124850</v>
      </c>
    </row>
    <row r="21" spans="1:5" ht="21.75" customHeight="1" thickTop="1" thickBot="1" x14ac:dyDescent="0.4">
      <c r="A21" s="2" t="s">
        <v>4</v>
      </c>
      <c r="B21" s="9">
        <v>3000</v>
      </c>
      <c r="D21" s="2" t="s">
        <v>4</v>
      </c>
      <c r="E21" s="9">
        <v>3000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98150</v>
      </c>
      <c r="D23" s="7" t="s">
        <v>5</v>
      </c>
      <c r="E23" s="14">
        <f>E20+E21-E22</f>
        <v>127850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46</v>
      </c>
      <c r="D26" s="2" t="s">
        <v>15</v>
      </c>
      <c r="E26" s="11">
        <v>7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50600</v>
      </c>
      <c r="D28" s="2" t="s">
        <v>2</v>
      </c>
      <c r="E28" s="13">
        <f>E27*E26</f>
        <v>45500</v>
      </c>
    </row>
    <row r="29" spans="1:5" ht="21.75" customHeight="1" thickTop="1" thickBot="1" x14ac:dyDescent="0.4">
      <c r="A29" s="2" t="s">
        <v>4</v>
      </c>
      <c r="B29" s="9">
        <v>3000</v>
      </c>
      <c r="D29" s="2" t="s">
        <v>17</v>
      </c>
      <c r="E29" s="9">
        <f>2.5*1100</f>
        <v>2750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53600</v>
      </c>
      <c r="D31" s="7" t="s">
        <v>5</v>
      </c>
      <c r="E31" s="14">
        <f>E28+E29-E30</f>
        <v>48250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7D3D-B99A-4CE7-A8C2-BCA6624EC33A}">
  <dimension ref="A1:E32"/>
  <sheetViews>
    <sheetView zoomScale="85" zoomScaleNormal="85" workbookViewId="0">
      <selection activeCell="H6" sqref="H6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f>12.5*5</f>
        <v>62.5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68750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68750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117.5</v>
      </c>
      <c r="D10" s="2" t="s">
        <v>1</v>
      </c>
      <c r="E10" s="11">
        <v>17.5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129250</v>
      </c>
      <c r="D12" s="2" t="s">
        <v>2</v>
      </c>
      <c r="E12" s="13">
        <f>E11*E10</f>
        <v>19250</v>
      </c>
    </row>
    <row r="13" spans="1:5" ht="21.75" customHeight="1" thickTop="1" thickBot="1" x14ac:dyDescent="0.4">
      <c r="A13" s="2" t="s">
        <v>4</v>
      </c>
      <c r="B13" s="9">
        <v>3000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132250</v>
      </c>
      <c r="D15" s="7" t="s">
        <v>5</v>
      </c>
      <c r="E15" s="14">
        <f>E12+E13-E14</f>
        <v>19250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83</v>
      </c>
      <c r="D18" s="2" t="s">
        <v>1</v>
      </c>
      <c r="E18" s="11">
        <v>87.5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91300</v>
      </c>
      <c r="D20" s="2" t="s">
        <v>2</v>
      </c>
      <c r="E20" s="13">
        <f>E19*E18</f>
        <v>96250</v>
      </c>
    </row>
    <row r="21" spans="1:5" ht="21.75" customHeight="1" thickTop="1" thickBot="1" x14ac:dyDescent="0.4">
      <c r="A21" s="2" t="s">
        <v>4</v>
      </c>
      <c r="B21" s="9">
        <v>3000</v>
      </c>
      <c r="D21" s="2" t="s">
        <v>4</v>
      </c>
      <c r="E21" s="9">
        <v>3000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94300</v>
      </c>
      <c r="D23" s="7" t="s">
        <v>5</v>
      </c>
      <c r="E23" s="14">
        <f>E20+E21-E22</f>
        <v>99250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47.5</v>
      </c>
      <c r="D26" s="2" t="s">
        <v>15</v>
      </c>
      <c r="E26" s="11">
        <v>8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52250</v>
      </c>
      <c r="D28" s="2" t="s">
        <v>2</v>
      </c>
      <c r="E28" s="13">
        <f>E27*E26</f>
        <v>52000</v>
      </c>
    </row>
    <row r="29" spans="1:5" ht="21.75" customHeight="1" thickTop="1" thickBot="1" x14ac:dyDescent="0.4">
      <c r="A29" s="2" t="s">
        <v>4</v>
      </c>
      <c r="B29" s="9">
        <v>3000</v>
      </c>
      <c r="D29" s="2" t="s">
        <v>17</v>
      </c>
      <c r="E29" s="9">
        <f>2.5*1100</f>
        <v>2750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55250</v>
      </c>
      <c r="D31" s="7" t="s">
        <v>5</v>
      </c>
      <c r="E31" s="14">
        <f>E28+E29-E30</f>
        <v>54750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70A1-701E-497D-B6A7-C826D25917EE}">
  <dimension ref="A1:E32"/>
  <sheetViews>
    <sheetView zoomScale="85" zoomScaleNormal="85" workbookViewId="0">
      <selection activeCell="G17" sqref="G17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f>12.5*4</f>
        <v>50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55000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55000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98</v>
      </c>
      <c r="D10" s="2" t="s">
        <v>1</v>
      </c>
      <c r="E10" s="11">
        <v>18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107800</v>
      </c>
      <c r="D12" s="2" t="s">
        <v>2</v>
      </c>
      <c r="E12" s="13">
        <f>E11*E10</f>
        <v>19800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107800</v>
      </c>
      <c r="D15" s="7" t="s">
        <v>5</v>
      </c>
      <c r="E15" s="14">
        <f>E12+E13-E14</f>
        <v>19800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92.5</v>
      </c>
      <c r="D18" s="2" t="s">
        <v>1</v>
      </c>
      <c r="E18" s="11">
        <v>80.5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101750</v>
      </c>
      <c r="D20" s="2" t="s">
        <v>2</v>
      </c>
      <c r="E20" s="13">
        <f>E19*E18</f>
        <v>88550</v>
      </c>
    </row>
    <row r="21" spans="1:5" ht="21.75" customHeight="1" thickTop="1" thickBot="1" x14ac:dyDescent="0.4">
      <c r="A21" s="2" t="s">
        <v>4</v>
      </c>
      <c r="B21" s="9">
        <v>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101750</v>
      </c>
      <c r="D23" s="7" t="s">
        <v>5</v>
      </c>
      <c r="E23" s="14">
        <f>E20+E21-E22</f>
        <v>88550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47.5</v>
      </c>
      <c r="D26" s="2" t="s">
        <v>15</v>
      </c>
      <c r="E26" s="11">
        <v>8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52250</v>
      </c>
      <c r="D28" s="2" t="s">
        <v>2</v>
      </c>
      <c r="E28" s="13">
        <f>E27*E26</f>
        <v>52000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52250</v>
      </c>
      <c r="D31" s="7" t="s">
        <v>5</v>
      </c>
      <c r="E31" s="14">
        <f>E28+E29-E30</f>
        <v>52000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29E7-E220-4634-90EF-413C24EDCD07}">
  <dimension ref="A1:E32"/>
  <sheetViews>
    <sheetView topLeftCell="A4" zoomScale="85" zoomScaleNormal="85" workbookViewId="0">
      <selection activeCell="J23" sqref="J23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f>11.5*4</f>
        <v>46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50600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50600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107.5</v>
      </c>
      <c r="D10" s="2" t="s">
        <v>1</v>
      </c>
      <c r="E10" s="11">
        <v>41.5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118250</v>
      </c>
      <c r="D12" s="2" t="s">
        <v>2</v>
      </c>
      <c r="E12" s="13">
        <f>E11*E10</f>
        <v>45650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118250</v>
      </c>
      <c r="D15" s="7" t="s">
        <v>5</v>
      </c>
      <c r="E15" s="14">
        <f>E12+E13-E14</f>
        <v>45650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90.5</v>
      </c>
      <c r="D18" s="2" t="s">
        <v>1</v>
      </c>
      <c r="E18" s="11">
        <v>114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99550</v>
      </c>
      <c r="D20" s="2" t="s">
        <v>2</v>
      </c>
      <c r="E20" s="13">
        <f>E19*E18</f>
        <v>125400</v>
      </c>
    </row>
    <row r="21" spans="1:5" ht="21.75" customHeight="1" thickTop="1" thickBot="1" x14ac:dyDescent="0.4">
      <c r="A21" s="2" t="s">
        <v>4</v>
      </c>
      <c r="B21" s="9">
        <v>5000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104550</v>
      </c>
      <c r="D23" s="7" t="s">
        <v>5</v>
      </c>
      <c r="E23" s="14">
        <f>E20+E21-E22</f>
        <v>125400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36.5</v>
      </c>
      <c r="D26" s="2" t="s">
        <v>15</v>
      </c>
      <c r="E26" s="11">
        <v>10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40150</v>
      </c>
      <c r="D28" s="2" t="s">
        <v>2</v>
      </c>
      <c r="E28" s="13">
        <f>E27*E26</f>
        <v>65000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40150</v>
      </c>
      <c r="D31" s="7" t="s">
        <v>5</v>
      </c>
      <c r="E31" s="14">
        <f>E28+E29-E30</f>
        <v>65000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3DA6-2076-436E-A8A8-CA1527B54CCC}">
  <dimension ref="A1:E32"/>
  <sheetViews>
    <sheetView topLeftCell="A4" zoomScale="85" zoomScaleNormal="85" workbookViewId="0">
      <selection activeCell="J21" sqref="J21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43.5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47850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47850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118.5</v>
      </c>
      <c r="D10" s="2" t="s">
        <v>1</v>
      </c>
      <c r="E10" s="11">
        <v>14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130350</v>
      </c>
      <c r="D12" s="2" t="s">
        <v>2</v>
      </c>
      <c r="E12" s="13">
        <f>E11*E10</f>
        <v>15400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25500</v>
      </c>
    </row>
    <row r="15" spans="1:5" s="4" customFormat="1" ht="27.75" customHeight="1" thickTop="1" thickBot="1" x14ac:dyDescent="0.45">
      <c r="A15" s="7" t="s">
        <v>5</v>
      </c>
      <c r="B15" s="14">
        <f>B12+B13-B14</f>
        <v>130350</v>
      </c>
      <c r="D15" s="7" t="s">
        <v>5</v>
      </c>
      <c r="E15" s="14">
        <f>E12+E13--E14</f>
        <v>40900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99</v>
      </c>
      <c r="D18" s="2" t="s">
        <v>1</v>
      </c>
      <c r="E18" s="11">
        <v>106.25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108900</v>
      </c>
      <c r="D20" s="2" t="s">
        <v>2</v>
      </c>
      <c r="E20" s="13">
        <f>E19*E18</f>
        <v>116875</v>
      </c>
    </row>
    <row r="21" spans="1:5" ht="21.75" customHeight="1" thickTop="1" thickBot="1" x14ac:dyDescent="0.4">
      <c r="A21" s="2" t="s">
        <v>4</v>
      </c>
      <c r="B21" s="9">
        <v>3000</v>
      </c>
      <c r="D21" s="2" t="s">
        <v>4</v>
      </c>
      <c r="E21" s="9">
        <v>3000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111900</v>
      </c>
      <c r="D23" s="7" t="s">
        <v>5</v>
      </c>
      <c r="E23" s="14">
        <f>E20+E21-E22</f>
        <v>119875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50</v>
      </c>
      <c r="D26" s="2" t="s">
        <v>15</v>
      </c>
      <c r="E26" s="11">
        <v>7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55000</v>
      </c>
      <c r="D28" s="2" t="s">
        <v>2</v>
      </c>
      <c r="E28" s="13">
        <f>E27*E26</f>
        <v>45500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55000</v>
      </c>
      <c r="D31" s="7" t="s">
        <v>5</v>
      </c>
      <c r="E31" s="14">
        <f>E28+E29-E30</f>
        <v>45500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8F3F-9A1D-4693-AC7F-269F0FEFFC76}">
  <dimension ref="A1:E32"/>
  <sheetViews>
    <sheetView zoomScale="85" zoomScaleNormal="85" workbookViewId="0">
      <selection activeCell="E22" sqref="E22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99.5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290000</v>
      </c>
      <c r="D4" s="2" t="s">
        <v>2</v>
      </c>
      <c r="E4" s="13">
        <f>E3*E2</f>
        <v>109450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215000</v>
      </c>
      <c r="D7" s="7" t="s">
        <v>5</v>
      </c>
      <c r="E7" s="14">
        <f>E4+E5-E6</f>
        <v>109450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10</v>
      </c>
    </row>
    <row r="10" spans="1:5" ht="21.75" customHeight="1" thickTop="1" thickBot="1" x14ac:dyDescent="0.4">
      <c r="A10" s="2" t="s">
        <v>1</v>
      </c>
      <c r="B10" s="11">
        <v>62.5</v>
      </c>
      <c r="D10" s="2" t="s">
        <v>1</v>
      </c>
      <c r="E10" s="11">
        <v>0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68750</v>
      </c>
      <c r="D12" s="2" t="s">
        <v>2</v>
      </c>
      <c r="E12" s="13">
        <f>E11*E10</f>
        <v>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68750</v>
      </c>
      <c r="D15" s="7" t="s">
        <v>5</v>
      </c>
      <c r="E15" s="14">
        <f>E12+E13--E14</f>
        <v>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83</v>
      </c>
      <c r="D18" s="2" t="s">
        <v>1</v>
      </c>
      <c r="E18" s="11">
        <v>95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91300</v>
      </c>
      <c r="D20" s="2" t="s">
        <v>2</v>
      </c>
      <c r="E20" s="13">
        <f>E19*E18</f>
        <v>104500</v>
      </c>
    </row>
    <row r="21" spans="1:5" ht="21.75" customHeight="1" thickTop="1" thickBot="1" x14ac:dyDescent="0.4">
      <c r="A21" s="2" t="s">
        <v>4</v>
      </c>
      <c r="B21" s="9">
        <v>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91300</v>
      </c>
      <c r="D23" s="7" t="s">
        <v>5</v>
      </c>
      <c r="E23" s="14">
        <f>E20+E21-E22</f>
        <v>104500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75.5</v>
      </c>
      <c r="D26" s="2" t="s">
        <v>15</v>
      </c>
      <c r="E26" s="11">
        <v>10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83050</v>
      </c>
      <c r="D28" s="2" t="s">
        <v>2</v>
      </c>
      <c r="E28" s="13">
        <f>E27*E26</f>
        <v>65000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83050</v>
      </c>
      <c r="D31" s="7" t="s">
        <v>5</v>
      </c>
      <c r="E31" s="14">
        <f>E28+E29-E30</f>
        <v>65000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C25B-2841-4417-B764-0B8EC83C408B}">
  <dimension ref="A1:E32"/>
  <sheetViews>
    <sheetView zoomScale="85" zoomScaleNormal="85" workbookViewId="0">
      <selection activeCell="N28" sqref="N27:N28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163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50000</v>
      </c>
      <c r="D4" s="2" t="s">
        <v>2</v>
      </c>
      <c r="E4" s="13">
        <f>E3*E2</f>
        <v>179300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0</v>
      </c>
    </row>
    <row r="6" spans="1:5" ht="21.75" customHeight="1" thickTop="1" thickBot="1" x14ac:dyDescent="0.4">
      <c r="A6" s="3" t="s">
        <v>19</v>
      </c>
      <c r="B6" s="9"/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50000</v>
      </c>
      <c r="D7" s="7" t="s">
        <v>5</v>
      </c>
      <c r="E7" s="14">
        <f>E4+E5-E6</f>
        <v>179300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20</v>
      </c>
    </row>
    <row r="10" spans="1:5" ht="21.75" customHeight="1" thickTop="1" thickBot="1" x14ac:dyDescent="0.4">
      <c r="A10" s="2" t="s">
        <v>1</v>
      </c>
      <c r="B10" s="11">
        <v>31.5</v>
      </c>
      <c r="D10" s="2" t="s">
        <v>1</v>
      </c>
      <c r="E10" s="11">
        <v>106.5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34650</v>
      </c>
      <c r="D12" s="2" t="s">
        <v>2</v>
      </c>
      <c r="E12" s="13">
        <f>E11*E10</f>
        <v>117150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34650</v>
      </c>
      <c r="D15" s="7" t="s">
        <v>5</v>
      </c>
      <c r="E15" s="14">
        <f>E12+E13--E14</f>
        <v>117150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106</v>
      </c>
      <c r="D18" s="2" t="s">
        <v>1</v>
      </c>
      <c r="E18" s="11">
        <v>176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116600</v>
      </c>
      <c r="D20" s="2" t="s">
        <v>2</v>
      </c>
      <c r="E20" s="13">
        <f>E19*E18</f>
        <v>193600</v>
      </c>
    </row>
    <row r="21" spans="1:5" ht="21.75" customHeight="1" thickTop="1" thickBot="1" x14ac:dyDescent="0.4">
      <c r="A21" s="2" t="s">
        <v>4</v>
      </c>
      <c r="B21" s="9">
        <v>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116600</v>
      </c>
      <c r="D23" s="7" t="s">
        <v>5</v>
      </c>
      <c r="E23" s="14">
        <f>E20+E21-E22</f>
        <v>193600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57.5</v>
      </c>
      <c r="D26" s="2" t="s">
        <v>15</v>
      </c>
      <c r="E26" s="11">
        <v>9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63250</v>
      </c>
      <c r="D28" s="2" t="s">
        <v>2</v>
      </c>
      <c r="E28" s="13">
        <f>E27*E26</f>
        <v>58500</v>
      </c>
    </row>
    <row r="29" spans="1:5" ht="21.75" customHeight="1" thickTop="1" thickBot="1" x14ac:dyDescent="0.4">
      <c r="A29" s="2" t="s">
        <v>4</v>
      </c>
      <c r="B29" s="9">
        <v>0</v>
      </c>
      <c r="D29" s="2" t="s">
        <v>17</v>
      </c>
      <c r="E29" s="9">
        <v>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0</v>
      </c>
    </row>
    <row r="31" spans="1:5" s="4" customFormat="1" ht="27.75" customHeight="1" thickTop="1" thickBot="1" x14ac:dyDescent="0.45">
      <c r="A31" s="7" t="s">
        <v>5</v>
      </c>
      <c r="B31" s="14">
        <f>B28+B29-B30</f>
        <v>63250</v>
      </c>
      <c r="D31" s="7" t="s">
        <v>5</v>
      </c>
      <c r="E31" s="14">
        <f>E28+E29-E30</f>
        <v>58500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361D-7930-4207-BD43-571D1C81EB8C}">
  <dimension ref="A1:E32"/>
  <sheetViews>
    <sheetView zoomScale="85" zoomScaleNormal="85" workbookViewId="0">
      <selection sqref="A1:E19"/>
    </sheetView>
  </sheetViews>
  <sheetFormatPr defaultColWidth="9" defaultRowHeight="25.5" customHeight="1" x14ac:dyDescent="0.25"/>
  <cols>
    <col min="1" max="1" width="15.8984375" style="1" customWidth="1"/>
    <col min="2" max="2" width="20.59765625" style="1" customWidth="1"/>
    <col min="3" max="3" width="3.09765625" style="1" customWidth="1"/>
    <col min="4" max="4" width="15.69921875" style="1" customWidth="1"/>
    <col min="5" max="5" width="20.09765625" style="1" customWidth="1"/>
    <col min="6" max="16384" width="9" style="1"/>
  </cols>
  <sheetData>
    <row r="1" spans="1:5" s="4" customFormat="1" ht="27.75" customHeight="1" thickTop="1" thickBot="1" x14ac:dyDescent="0.45">
      <c r="A1" s="5" t="s">
        <v>0</v>
      </c>
      <c r="B1" s="6" t="s">
        <v>7</v>
      </c>
      <c r="D1" s="5" t="s">
        <v>0</v>
      </c>
      <c r="E1" s="6" t="s">
        <v>8</v>
      </c>
    </row>
    <row r="2" spans="1:5" ht="21.75" customHeight="1" thickTop="1" thickBot="1" x14ac:dyDescent="0.4">
      <c r="A2" s="2" t="s">
        <v>1</v>
      </c>
      <c r="B2" s="12"/>
      <c r="D2" s="2" t="s">
        <v>1</v>
      </c>
      <c r="E2" s="11">
        <v>50</v>
      </c>
    </row>
    <row r="3" spans="1:5" ht="21.75" customHeight="1" thickTop="1" thickBot="1" x14ac:dyDescent="0.4">
      <c r="A3" s="2" t="s">
        <v>3</v>
      </c>
      <c r="B3" s="10"/>
      <c r="D3" s="2" t="s">
        <v>3</v>
      </c>
      <c r="E3" s="10">
        <v>1100</v>
      </c>
    </row>
    <row r="4" spans="1:5" ht="21.75" customHeight="1" thickTop="1" thickBot="1" x14ac:dyDescent="0.4">
      <c r="A4" s="2" t="s">
        <v>2</v>
      </c>
      <c r="B4" s="9">
        <v>390000</v>
      </c>
      <c r="D4" s="2" t="s">
        <v>2</v>
      </c>
      <c r="E4" s="13">
        <f>E3*E2</f>
        <v>55000</v>
      </c>
    </row>
    <row r="5" spans="1:5" ht="21.75" customHeight="1" thickTop="1" thickBot="1" x14ac:dyDescent="0.4">
      <c r="A5" s="2" t="s">
        <v>4</v>
      </c>
      <c r="B5" s="9"/>
      <c r="D5" s="2" t="s">
        <v>4</v>
      </c>
      <c r="E5" s="9">
        <v>2000</v>
      </c>
    </row>
    <row r="6" spans="1:5" ht="21.75" customHeight="1" thickTop="1" thickBot="1" x14ac:dyDescent="0.4">
      <c r="A6" s="3" t="s">
        <v>19</v>
      </c>
      <c r="B6" s="9">
        <v>75000</v>
      </c>
      <c r="D6" s="3" t="s">
        <v>19</v>
      </c>
      <c r="E6" s="9">
        <v>0</v>
      </c>
    </row>
    <row r="7" spans="1:5" s="4" customFormat="1" ht="27.75" customHeight="1" thickTop="1" thickBot="1" x14ac:dyDescent="0.45">
      <c r="A7" s="7" t="s">
        <v>5</v>
      </c>
      <c r="B7" s="14">
        <f>B4+B5-B6</f>
        <v>315000</v>
      </c>
      <c r="D7" s="7" t="s">
        <v>5</v>
      </c>
      <c r="E7" s="14">
        <f>E4+E5-E6</f>
        <v>57000</v>
      </c>
    </row>
    <row r="8" spans="1:5" ht="21.75" customHeight="1" thickTop="1" thickBot="1" x14ac:dyDescent="0.3"/>
    <row r="9" spans="1:5" s="4" customFormat="1" ht="27.75" customHeight="1" thickTop="1" thickBot="1" x14ac:dyDescent="0.45">
      <c r="A9" s="5" t="s">
        <v>0</v>
      </c>
      <c r="B9" s="6" t="s">
        <v>9</v>
      </c>
      <c r="D9" s="5" t="s">
        <v>0</v>
      </c>
      <c r="E9" s="6" t="s">
        <v>21</v>
      </c>
    </row>
    <row r="10" spans="1:5" ht="21.75" customHeight="1" thickTop="1" thickBot="1" x14ac:dyDescent="0.4">
      <c r="A10" s="2" t="s">
        <v>1</v>
      </c>
      <c r="B10" s="11">
        <v>170</v>
      </c>
      <c r="D10" s="2" t="s">
        <v>1</v>
      </c>
      <c r="E10" s="11">
        <v>106.5</v>
      </c>
    </row>
    <row r="11" spans="1:5" ht="21.75" customHeight="1" thickTop="1" thickBot="1" x14ac:dyDescent="0.4">
      <c r="A11" s="2" t="s">
        <v>3</v>
      </c>
      <c r="B11" s="10">
        <v>1100</v>
      </c>
      <c r="D11" s="2" t="s">
        <v>3</v>
      </c>
      <c r="E11" s="10">
        <v>1100</v>
      </c>
    </row>
    <row r="12" spans="1:5" ht="21.75" customHeight="1" thickTop="1" thickBot="1" x14ac:dyDescent="0.35">
      <c r="A12" s="2" t="s">
        <v>2</v>
      </c>
      <c r="B12" s="13">
        <f>B11*B10</f>
        <v>187000</v>
      </c>
      <c r="D12" s="2" t="s">
        <v>2</v>
      </c>
      <c r="E12" s="13">
        <v>200000</v>
      </c>
    </row>
    <row r="13" spans="1:5" ht="21.75" customHeight="1" thickTop="1" thickBot="1" x14ac:dyDescent="0.4">
      <c r="A13" s="2" t="s">
        <v>4</v>
      </c>
      <c r="B13" s="9">
        <v>0</v>
      </c>
      <c r="D13" s="2" t="s">
        <v>4</v>
      </c>
      <c r="E13" s="9">
        <v>0</v>
      </c>
    </row>
    <row r="14" spans="1:5" ht="21.75" customHeight="1" thickTop="1" thickBot="1" x14ac:dyDescent="0.4">
      <c r="A14" s="3" t="s">
        <v>19</v>
      </c>
      <c r="B14" s="9">
        <v>0</v>
      </c>
      <c r="D14" s="3" t="s">
        <v>19</v>
      </c>
      <c r="E14" s="9">
        <v>0</v>
      </c>
    </row>
    <row r="15" spans="1:5" s="4" customFormat="1" ht="27.75" customHeight="1" thickTop="1" thickBot="1" x14ac:dyDescent="0.45">
      <c r="A15" s="7" t="s">
        <v>5</v>
      </c>
      <c r="B15" s="14">
        <f>B12+B13-B14</f>
        <v>187000</v>
      </c>
      <c r="D15" s="7" t="s">
        <v>5</v>
      </c>
      <c r="E15" s="14">
        <f>E12+E13--E14</f>
        <v>200000</v>
      </c>
    </row>
    <row r="16" spans="1:5" ht="21.75" customHeight="1" thickTop="1" thickBot="1" x14ac:dyDescent="0.3"/>
    <row r="17" spans="1:5" s="4" customFormat="1" ht="27.75" customHeight="1" thickTop="1" thickBot="1" x14ac:dyDescent="0.45">
      <c r="A17" s="5" t="s">
        <v>0</v>
      </c>
      <c r="B17" s="6" t="s">
        <v>11</v>
      </c>
      <c r="D17" s="5" t="s">
        <v>0</v>
      </c>
      <c r="E17" s="6" t="s">
        <v>12</v>
      </c>
    </row>
    <row r="18" spans="1:5" ht="21.75" customHeight="1" thickTop="1" thickBot="1" x14ac:dyDescent="0.4">
      <c r="A18" s="2" t="s">
        <v>1</v>
      </c>
      <c r="B18" s="11">
        <v>91</v>
      </c>
      <c r="D18" s="2" t="s">
        <v>1</v>
      </c>
      <c r="E18" s="11">
        <v>95</v>
      </c>
    </row>
    <row r="19" spans="1:5" ht="21.75" customHeight="1" thickTop="1" thickBot="1" x14ac:dyDescent="0.4">
      <c r="A19" s="2" t="s">
        <v>3</v>
      </c>
      <c r="B19" s="10">
        <v>1100</v>
      </c>
      <c r="D19" s="2" t="s">
        <v>3</v>
      </c>
      <c r="E19" s="10">
        <v>1100</v>
      </c>
    </row>
    <row r="20" spans="1:5" ht="21.75" customHeight="1" thickTop="1" thickBot="1" x14ac:dyDescent="0.35">
      <c r="A20" s="2" t="s">
        <v>2</v>
      </c>
      <c r="B20" s="13">
        <f>B19*B18</f>
        <v>100100</v>
      </c>
      <c r="D20" s="2" t="s">
        <v>2</v>
      </c>
      <c r="E20" s="13">
        <f>E19*E18</f>
        <v>104500</v>
      </c>
    </row>
    <row r="21" spans="1:5" ht="21.75" customHeight="1" thickTop="1" thickBot="1" x14ac:dyDescent="0.4">
      <c r="A21" s="2" t="s">
        <v>4</v>
      </c>
      <c r="B21" s="9">
        <v>2000</v>
      </c>
      <c r="D21" s="2" t="s">
        <v>4</v>
      </c>
      <c r="E21" s="9">
        <v>0</v>
      </c>
    </row>
    <row r="22" spans="1:5" ht="21.75" customHeight="1" thickTop="1" thickBot="1" x14ac:dyDescent="0.4">
      <c r="A22" s="3" t="s">
        <v>19</v>
      </c>
      <c r="B22" s="9">
        <v>0</v>
      </c>
      <c r="D22" s="3" t="s">
        <v>19</v>
      </c>
      <c r="E22" s="9">
        <v>0</v>
      </c>
    </row>
    <row r="23" spans="1:5" s="4" customFormat="1" ht="27.75" customHeight="1" thickTop="1" thickBot="1" x14ac:dyDescent="0.45">
      <c r="A23" s="7" t="s">
        <v>5</v>
      </c>
      <c r="B23" s="14">
        <f>B20+B21-B22</f>
        <v>102100</v>
      </c>
      <c r="D23" s="7" t="s">
        <v>5</v>
      </c>
      <c r="E23" s="14">
        <f>E20+E21-E22</f>
        <v>104500</v>
      </c>
    </row>
    <row r="24" spans="1:5" ht="21.75" customHeight="1" thickTop="1" thickBot="1" x14ac:dyDescent="0.3"/>
    <row r="25" spans="1:5" s="4" customFormat="1" ht="27" customHeight="1" thickTop="1" thickBot="1" x14ac:dyDescent="0.45">
      <c r="A25" s="5" t="s">
        <v>0</v>
      </c>
      <c r="B25" s="6" t="s">
        <v>18</v>
      </c>
      <c r="D25" s="5" t="s">
        <v>0</v>
      </c>
      <c r="E25" s="6" t="s">
        <v>14</v>
      </c>
    </row>
    <row r="26" spans="1:5" ht="21.75" customHeight="1" thickTop="1" thickBot="1" x14ac:dyDescent="0.4">
      <c r="A26" s="2" t="s">
        <v>1</v>
      </c>
      <c r="B26" s="11">
        <v>54</v>
      </c>
      <c r="D26" s="2" t="s">
        <v>15</v>
      </c>
      <c r="E26" s="11">
        <v>7</v>
      </c>
    </row>
    <row r="27" spans="1:5" ht="21.75" customHeight="1" thickTop="1" thickBot="1" x14ac:dyDescent="0.4">
      <c r="A27" s="2" t="s">
        <v>3</v>
      </c>
      <c r="B27" s="10">
        <v>1100</v>
      </c>
      <c r="D27" s="2" t="s">
        <v>16</v>
      </c>
      <c r="E27" s="10">
        <v>6500</v>
      </c>
    </row>
    <row r="28" spans="1:5" ht="21.75" customHeight="1" thickTop="1" thickBot="1" x14ac:dyDescent="0.35">
      <c r="A28" s="2" t="s">
        <v>2</v>
      </c>
      <c r="B28" s="13">
        <f>B27*B26</f>
        <v>59400</v>
      </c>
      <c r="D28" s="2" t="s">
        <v>2</v>
      </c>
      <c r="E28" s="13">
        <f>E27*E26</f>
        <v>45500</v>
      </c>
    </row>
    <row r="29" spans="1:5" ht="21.75" customHeight="1" thickTop="1" thickBot="1" x14ac:dyDescent="0.4">
      <c r="A29" s="2" t="s">
        <v>4</v>
      </c>
      <c r="B29" s="9">
        <v>2000</v>
      </c>
      <c r="D29" s="2" t="s">
        <v>17</v>
      </c>
      <c r="E29" s="9">
        <v>6500</v>
      </c>
    </row>
    <row r="30" spans="1:5" ht="21.75" customHeight="1" thickTop="1" thickBot="1" x14ac:dyDescent="0.4">
      <c r="A30" s="3" t="s">
        <v>19</v>
      </c>
      <c r="B30" s="9">
        <v>0</v>
      </c>
      <c r="D30" s="3" t="s">
        <v>19</v>
      </c>
      <c r="E30" s="9">
        <v>10000</v>
      </c>
    </row>
    <row r="31" spans="1:5" s="4" customFormat="1" ht="27.75" customHeight="1" thickTop="1" thickBot="1" x14ac:dyDescent="0.45">
      <c r="A31" s="7" t="s">
        <v>5</v>
      </c>
      <c r="B31" s="14">
        <f>B28+B29-B30</f>
        <v>61400</v>
      </c>
      <c r="D31" s="7" t="s">
        <v>5</v>
      </c>
      <c r="E31" s="14">
        <f>E28+E29+E30</f>
        <v>62000</v>
      </c>
    </row>
    <row r="32" spans="1:5" ht="25.5" customHeight="1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7B42-C430-450F-B9E0-C4CD317B33F1}">
  <dimension ref="A1:N49"/>
  <sheetViews>
    <sheetView tabSelected="1" topLeftCell="A25" zoomScale="90" zoomScaleNormal="90" workbookViewId="0">
      <selection activeCell="R30" sqref="R30"/>
    </sheetView>
  </sheetViews>
  <sheetFormatPr defaultColWidth="9" defaultRowHeight="25.5" customHeight="1" x14ac:dyDescent="0.25"/>
  <cols>
    <col min="1" max="1" width="15.8984375" style="24" customWidth="1"/>
    <col min="2" max="2" width="20.59765625" style="24" customWidth="1"/>
    <col min="3" max="3" width="3.09765625" style="24" customWidth="1"/>
    <col min="4" max="4" width="15.69921875" style="24" customWidth="1"/>
    <col min="5" max="5" width="20.09765625" style="24" customWidth="1"/>
    <col min="6" max="6" width="9" style="24"/>
    <col min="7" max="7" width="6.796875" style="24" customWidth="1"/>
    <col min="8" max="8" width="17.09765625" style="24" customWidth="1"/>
    <col min="9" max="10" width="4.296875" style="24" customWidth="1"/>
    <col min="11" max="11" width="9.8984375" style="24" customWidth="1"/>
    <col min="12" max="12" width="7.296875" style="24" customWidth="1"/>
    <col min="13" max="13" width="17.69921875" style="24" customWidth="1"/>
    <col min="14" max="14" width="0.296875" style="24" customWidth="1"/>
    <col min="15" max="16384" width="9" style="24"/>
  </cols>
  <sheetData>
    <row r="1" spans="1:7" s="20" customFormat="1" ht="27.75" customHeight="1" thickTop="1" thickBot="1" x14ac:dyDescent="0.45">
      <c r="A1" s="18" t="s">
        <v>0</v>
      </c>
      <c r="B1" s="19" t="s">
        <v>7</v>
      </c>
      <c r="D1" s="18" t="s">
        <v>0</v>
      </c>
      <c r="E1" s="21" t="s">
        <v>8</v>
      </c>
    </row>
    <row r="2" spans="1:7" ht="21.75" customHeight="1" thickTop="1" thickBot="1" x14ac:dyDescent="0.4">
      <c r="A2" s="22" t="s">
        <v>1</v>
      </c>
      <c r="B2" s="23"/>
      <c r="D2" s="22" t="s">
        <v>1</v>
      </c>
      <c r="E2" s="25">
        <v>42</v>
      </c>
    </row>
    <row r="3" spans="1:7" ht="21.75" customHeight="1" thickTop="1" thickBot="1" x14ac:dyDescent="0.4">
      <c r="A3" s="22" t="s">
        <v>3</v>
      </c>
      <c r="B3" s="26"/>
      <c r="D3" s="22" t="s">
        <v>3</v>
      </c>
      <c r="E3" s="27">
        <v>1200</v>
      </c>
    </row>
    <row r="4" spans="1:7" ht="21.75" customHeight="1" thickTop="1" thickBot="1" x14ac:dyDescent="0.4">
      <c r="A4" s="22" t="s">
        <v>2</v>
      </c>
      <c r="B4" s="28">
        <v>390000</v>
      </c>
      <c r="D4" s="22" t="s">
        <v>2</v>
      </c>
      <c r="E4" s="29">
        <f>E3*E2</f>
        <v>50400</v>
      </c>
    </row>
    <row r="5" spans="1:7" ht="21.75" customHeight="1" thickTop="1" thickBot="1" x14ac:dyDescent="0.4">
      <c r="A5" s="22" t="s">
        <v>4</v>
      </c>
      <c r="B5" s="28"/>
      <c r="D5" s="22" t="s">
        <v>4</v>
      </c>
      <c r="E5" s="30">
        <v>0</v>
      </c>
    </row>
    <row r="6" spans="1:7" ht="21.75" customHeight="1" thickTop="1" thickBot="1" x14ac:dyDescent="0.4">
      <c r="A6" s="31" t="s">
        <v>19</v>
      </c>
      <c r="B6" s="28">
        <v>75000</v>
      </c>
      <c r="D6" s="31" t="s">
        <v>19</v>
      </c>
      <c r="E6" s="30">
        <v>0</v>
      </c>
    </row>
    <row r="7" spans="1:7" s="20" customFormat="1" ht="27.75" customHeight="1" thickTop="1" thickBot="1" x14ac:dyDescent="0.45">
      <c r="A7" s="32" t="s">
        <v>5</v>
      </c>
      <c r="B7" s="33">
        <f>B4+B5-B6</f>
        <v>315000</v>
      </c>
      <c r="D7" s="32" t="s">
        <v>5</v>
      </c>
      <c r="E7" s="34">
        <f>E4+E5-E6</f>
        <v>50400</v>
      </c>
    </row>
    <row r="8" spans="1:7" ht="21.75" customHeight="1" thickTop="1" thickBot="1" x14ac:dyDescent="0.3"/>
    <row r="9" spans="1:7" s="20" customFormat="1" ht="27.75" customHeight="1" thickTop="1" thickBot="1" x14ac:dyDescent="0.45">
      <c r="A9" s="18" t="s">
        <v>0</v>
      </c>
      <c r="B9" s="19" t="s">
        <v>9</v>
      </c>
      <c r="D9" s="18" t="s">
        <v>0</v>
      </c>
      <c r="E9" s="21" t="s">
        <v>46</v>
      </c>
    </row>
    <row r="10" spans="1:7" ht="21.75" customHeight="1" thickTop="1" thickBot="1" x14ac:dyDescent="0.4">
      <c r="A10" s="22" t="s">
        <v>1</v>
      </c>
      <c r="B10" s="35">
        <v>196</v>
      </c>
      <c r="D10" s="22" t="s">
        <v>48</v>
      </c>
      <c r="E10" s="25">
        <v>6</v>
      </c>
    </row>
    <row r="11" spans="1:7" ht="21.75" customHeight="1" thickTop="1" thickBot="1" x14ac:dyDescent="0.4">
      <c r="A11" s="22" t="s">
        <v>3</v>
      </c>
      <c r="B11" s="26">
        <v>1200</v>
      </c>
      <c r="D11" s="22" t="s">
        <v>49</v>
      </c>
      <c r="E11" s="27">
        <v>7000</v>
      </c>
    </row>
    <row r="12" spans="1:7" ht="21.75" customHeight="1" thickTop="1" thickBot="1" x14ac:dyDescent="0.35">
      <c r="A12" s="22" t="s">
        <v>2</v>
      </c>
      <c r="B12" s="36">
        <f>B11*B10</f>
        <v>235200</v>
      </c>
      <c r="D12" s="22" t="s">
        <v>47</v>
      </c>
      <c r="E12" s="36">
        <f>E10*E11</f>
        <v>42000</v>
      </c>
      <c r="F12" s="37"/>
      <c r="G12" s="38"/>
    </row>
    <row r="13" spans="1:7" ht="21.75" customHeight="1" thickTop="1" thickBot="1" x14ac:dyDescent="0.4">
      <c r="A13" s="22" t="s">
        <v>4</v>
      </c>
      <c r="B13" s="28">
        <v>0</v>
      </c>
      <c r="D13" s="22" t="s">
        <v>4</v>
      </c>
      <c r="E13" s="28">
        <v>0</v>
      </c>
      <c r="F13" s="37"/>
      <c r="G13" s="38"/>
    </row>
    <row r="14" spans="1:7" ht="21.75" customHeight="1" thickTop="1" thickBot="1" x14ac:dyDescent="0.4">
      <c r="A14" s="31" t="s">
        <v>19</v>
      </c>
      <c r="B14" s="28">
        <v>0</v>
      </c>
      <c r="D14" s="31" t="s">
        <v>17</v>
      </c>
      <c r="E14" s="28">
        <v>6000</v>
      </c>
      <c r="F14" s="39"/>
      <c r="G14" s="40"/>
    </row>
    <row r="15" spans="1:7" s="20" customFormat="1" ht="27.75" customHeight="1" thickTop="1" thickBot="1" x14ac:dyDescent="0.45">
      <c r="A15" s="32" t="s">
        <v>5</v>
      </c>
      <c r="B15" s="33">
        <f>B12+B13-B14</f>
        <v>235200</v>
      </c>
      <c r="D15" s="32" t="s">
        <v>5</v>
      </c>
      <c r="E15" s="33">
        <f>E12+E13--E14</f>
        <v>48000</v>
      </c>
      <c r="F15" s="37"/>
      <c r="G15" s="38"/>
    </row>
    <row r="16" spans="1:7" ht="21.75" customHeight="1" thickTop="1" thickBot="1" x14ac:dyDescent="0.3">
      <c r="F16" s="39"/>
      <c r="G16" s="40"/>
    </row>
    <row r="17" spans="1:5" s="20" customFormat="1" ht="27.75" customHeight="1" thickTop="1" thickBot="1" x14ac:dyDescent="0.45">
      <c r="A17" s="18" t="s">
        <v>0</v>
      </c>
      <c r="B17" s="19" t="s">
        <v>11</v>
      </c>
      <c r="D17" s="18" t="s">
        <v>0</v>
      </c>
      <c r="E17" s="19" t="s">
        <v>12</v>
      </c>
    </row>
    <row r="18" spans="1:5" ht="21.75" customHeight="1" thickTop="1" thickBot="1" x14ac:dyDescent="0.4">
      <c r="A18" s="22" t="s">
        <v>1</v>
      </c>
      <c r="B18" s="35">
        <v>106.5</v>
      </c>
      <c r="D18" s="22" t="s">
        <v>1</v>
      </c>
      <c r="E18" s="35">
        <v>86.5</v>
      </c>
    </row>
    <row r="19" spans="1:5" ht="21.75" customHeight="1" thickTop="1" thickBot="1" x14ac:dyDescent="0.4">
      <c r="A19" s="22" t="s">
        <v>3</v>
      </c>
      <c r="B19" s="26">
        <v>1200</v>
      </c>
      <c r="D19" s="22" t="s">
        <v>3</v>
      </c>
      <c r="E19" s="26">
        <v>1200</v>
      </c>
    </row>
    <row r="20" spans="1:5" ht="21.75" customHeight="1" thickTop="1" thickBot="1" x14ac:dyDescent="0.35">
      <c r="A20" s="22" t="s">
        <v>2</v>
      </c>
      <c r="B20" s="36">
        <f>B19*B18</f>
        <v>127800</v>
      </c>
      <c r="D20" s="22" t="s">
        <v>2</v>
      </c>
      <c r="E20" s="36">
        <f>E19*E18</f>
        <v>103800</v>
      </c>
    </row>
    <row r="21" spans="1:5" ht="21.75" customHeight="1" thickTop="1" thickBot="1" x14ac:dyDescent="0.4">
      <c r="A21" s="22" t="s">
        <v>4</v>
      </c>
      <c r="B21" s="28">
        <v>0</v>
      </c>
      <c r="D21" s="22" t="s">
        <v>4</v>
      </c>
      <c r="E21" s="28">
        <v>0</v>
      </c>
    </row>
    <row r="22" spans="1:5" ht="21.75" customHeight="1" thickTop="1" thickBot="1" x14ac:dyDescent="0.4">
      <c r="A22" s="31" t="s">
        <v>19</v>
      </c>
      <c r="B22" s="28">
        <v>0</v>
      </c>
      <c r="D22" s="31" t="s">
        <v>19</v>
      </c>
      <c r="E22" s="28">
        <f>13000*3</f>
        <v>39000</v>
      </c>
    </row>
    <row r="23" spans="1:5" s="20" customFormat="1" ht="27.75" customHeight="1" thickTop="1" thickBot="1" x14ac:dyDescent="0.45">
      <c r="A23" s="32" t="s">
        <v>5</v>
      </c>
      <c r="B23" s="33">
        <f>B20+B21-B22</f>
        <v>127800</v>
      </c>
      <c r="D23" s="32" t="s">
        <v>5</v>
      </c>
      <c r="E23" s="33">
        <f>E20+E21+E22</f>
        <v>142800</v>
      </c>
    </row>
    <row r="24" spans="1:5" ht="21.75" customHeight="1" thickTop="1" thickBot="1" x14ac:dyDescent="0.3"/>
    <row r="25" spans="1:5" s="20" customFormat="1" ht="27" customHeight="1" thickTop="1" thickBot="1" x14ac:dyDescent="0.45">
      <c r="A25" s="18" t="s">
        <v>0</v>
      </c>
      <c r="B25" s="19" t="s">
        <v>18</v>
      </c>
      <c r="D25" s="18" t="s">
        <v>0</v>
      </c>
      <c r="E25" s="19" t="s">
        <v>14</v>
      </c>
    </row>
    <row r="26" spans="1:5" ht="21.75" customHeight="1" thickTop="1" thickBot="1" x14ac:dyDescent="0.4">
      <c r="A26" s="22" t="s">
        <v>1</v>
      </c>
      <c r="B26" s="35">
        <v>45</v>
      </c>
      <c r="D26" s="22" t="s">
        <v>48</v>
      </c>
      <c r="E26" s="35">
        <v>5</v>
      </c>
    </row>
    <row r="27" spans="1:5" ht="21.75" customHeight="1" thickTop="1" thickBot="1" x14ac:dyDescent="0.4">
      <c r="A27" s="22" t="s">
        <v>3</v>
      </c>
      <c r="B27" s="26">
        <v>1200</v>
      </c>
      <c r="D27" s="22" t="s">
        <v>49</v>
      </c>
      <c r="E27" s="26">
        <v>6500</v>
      </c>
    </row>
    <row r="28" spans="1:5" ht="21.75" customHeight="1" thickTop="1" thickBot="1" x14ac:dyDescent="0.35">
      <c r="A28" s="22" t="s">
        <v>2</v>
      </c>
      <c r="B28" s="36">
        <f>B27*B26</f>
        <v>54000</v>
      </c>
      <c r="D28" s="22" t="s">
        <v>47</v>
      </c>
      <c r="E28" s="36">
        <f>E27*E26</f>
        <v>32500</v>
      </c>
    </row>
    <row r="29" spans="1:5" ht="21.75" customHeight="1" thickTop="1" thickBot="1" x14ac:dyDescent="0.4">
      <c r="A29" s="22" t="s">
        <v>4</v>
      </c>
      <c r="B29" s="28">
        <v>0</v>
      </c>
      <c r="D29" s="22" t="s">
        <v>4</v>
      </c>
      <c r="E29" s="28">
        <v>0</v>
      </c>
    </row>
    <row r="30" spans="1:5" ht="21.75" customHeight="1" thickTop="1" thickBot="1" x14ac:dyDescent="0.4">
      <c r="A30" s="31" t="s">
        <v>19</v>
      </c>
      <c r="B30" s="28">
        <v>0</v>
      </c>
      <c r="D30" s="31" t="s">
        <v>19</v>
      </c>
      <c r="E30" s="28">
        <v>0</v>
      </c>
    </row>
    <row r="31" spans="1:5" s="20" customFormat="1" ht="27.75" customHeight="1" thickTop="1" thickBot="1" x14ac:dyDescent="0.45">
      <c r="A31" s="32" t="s">
        <v>5</v>
      </c>
      <c r="B31" s="33">
        <f>B28+B29-B30</f>
        <v>54000</v>
      </c>
      <c r="D31" s="32" t="s">
        <v>5</v>
      </c>
      <c r="E31" s="33">
        <f>E28+E29+E30</f>
        <v>32500</v>
      </c>
    </row>
    <row r="32" spans="1:5" ht="25.5" customHeight="1" thickTop="1" thickBot="1" x14ac:dyDescent="0.3"/>
    <row r="33" spans="6:14" ht="26.4" customHeight="1" thickBot="1" x14ac:dyDescent="0.3">
      <c r="F33" s="41" t="s">
        <v>39</v>
      </c>
      <c r="G33" s="42"/>
      <c r="H33" s="42"/>
      <c r="I33" s="42"/>
      <c r="J33" s="42"/>
      <c r="K33" s="42"/>
      <c r="L33" s="42"/>
      <c r="M33" s="42"/>
      <c r="N33" s="43"/>
    </row>
    <row r="34" spans="6:14" ht="13.2" customHeight="1" thickBot="1" x14ac:dyDescent="0.3">
      <c r="F34" s="44" t="s">
        <v>44</v>
      </c>
      <c r="G34" s="45"/>
      <c r="H34" s="45"/>
      <c r="I34" s="45"/>
      <c r="J34" s="45"/>
      <c r="K34" s="45"/>
      <c r="L34" s="45"/>
      <c r="M34" s="45"/>
      <c r="N34" s="46"/>
    </row>
    <row r="35" spans="6:14" ht="23.4" customHeight="1" thickBot="1" x14ac:dyDescent="0.3">
      <c r="F35" s="47" t="s">
        <v>22</v>
      </c>
      <c r="G35" s="15" t="s">
        <v>40</v>
      </c>
      <c r="H35" s="16"/>
      <c r="I35" s="16"/>
      <c r="J35" s="17"/>
      <c r="K35" s="48" t="s">
        <v>32</v>
      </c>
      <c r="L35" s="49"/>
      <c r="M35" s="50">
        <v>46183</v>
      </c>
      <c r="N35" s="51"/>
    </row>
    <row r="36" spans="6:14" ht="10.8" customHeight="1" x14ac:dyDescent="0.25">
      <c r="F36" s="52"/>
      <c r="G36" s="53"/>
      <c r="H36" s="53"/>
      <c r="I36" s="53"/>
      <c r="J36" s="53"/>
      <c r="K36" s="53"/>
      <c r="L36" s="53"/>
      <c r="M36" s="53"/>
      <c r="N36" s="54"/>
    </row>
    <row r="37" spans="6:14" ht="19.8" customHeight="1" x14ac:dyDescent="0.25">
      <c r="F37" s="55" t="s">
        <v>41</v>
      </c>
      <c r="G37" s="56"/>
      <c r="H37" s="57">
        <v>16</v>
      </c>
      <c r="I37" s="58"/>
      <c r="J37" s="106" t="s">
        <v>45</v>
      </c>
      <c r="K37" s="59"/>
      <c r="L37" s="59"/>
      <c r="M37" s="59"/>
      <c r="N37" s="60"/>
    </row>
    <row r="38" spans="6:14" ht="19.8" customHeight="1" x14ac:dyDescent="0.25">
      <c r="F38" s="55" t="s">
        <v>42</v>
      </c>
      <c r="G38" s="56"/>
      <c r="H38" s="57">
        <v>86</v>
      </c>
      <c r="I38" s="58"/>
      <c r="J38" s="61"/>
      <c r="K38" s="62"/>
      <c r="L38" s="62"/>
      <c r="M38" s="62"/>
      <c r="N38" s="63"/>
    </row>
    <row r="39" spans="6:14" ht="19.8" customHeight="1" x14ac:dyDescent="0.25">
      <c r="F39" s="55" t="s">
        <v>43</v>
      </c>
      <c r="G39" s="56"/>
      <c r="H39" s="64">
        <v>1200</v>
      </c>
      <c r="I39" s="58"/>
      <c r="J39" s="65"/>
      <c r="K39" s="66"/>
      <c r="L39" s="66"/>
      <c r="M39" s="66"/>
      <c r="N39" s="67"/>
    </row>
    <row r="40" spans="6:14" ht="24" customHeight="1" x14ac:dyDescent="0.4">
      <c r="F40" s="68" t="s">
        <v>33</v>
      </c>
      <c r="G40" s="69"/>
      <c r="H40" s="70"/>
      <c r="I40" s="71"/>
      <c r="J40" s="72" t="s">
        <v>35</v>
      </c>
      <c r="K40" s="73"/>
      <c r="L40" s="73"/>
      <c r="M40" s="74"/>
      <c r="N40" s="75"/>
    </row>
    <row r="41" spans="6:14" ht="19.8" customHeight="1" x14ac:dyDescent="0.25">
      <c r="F41" s="76" t="s">
        <v>23</v>
      </c>
      <c r="G41" s="77"/>
      <c r="H41" s="78">
        <v>200000</v>
      </c>
      <c r="I41" s="79"/>
      <c r="J41" s="80" t="s">
        <v>36</v>
      </c>
      <c r="K41" s="81"/>
      <c r="L41" s="82"/>
      <c r="M41" s="83">
        <v>35000</v>
      </c>
      <c r="N41" s="84"/>
    </row>
    <row r="42" spans="6:14" ht="19.8" customHeight="1" x14ac:dyDescent="0.25">
      <c r="F42" s="76" t="s">
        <v>34</v>
      </c>
      <c r="G42" s="77"/>
      <c r="H42" s="78">
        <f>6*1200</f>
        <v>7200</v>
      </c>
      <c r="I42" s="79"/>
      <c r="J42" s="85"/>
      <c r="K42" s="80" t="s">
        <v>27</v>
      </c>
      <c r="L42" s="82"/>
      <c r="M42" s="83"/>
      <c r="N42" s="84"/>
    </row>
    <row r="43" spans="6:14" ht="19.8" customHeight="1" x14ac:dyDescent="0.25">
      <c r="F43" s="76" t="s">
        <v>24</v>
      </c>
      <c r="G43" s="77"/>
      <c r="H43" s="78">
        <v>0</v>
      </c>
      <c r="I43" s="79"/>
      <c r="J43" s="86"/>
      <c r="K43" s="80" t="s">
        <v>28</v>
      </c>
      <c r="L43" s="82"/>
      <c r="M43" s="83"/>
      <c r="N43" s="84"/>
    </row>
    <row r="44" spans="6:14" ht="19.8" customHeight="1" x14ac:dyDescent="0.25">
      <c r="F44" s="87" t="s">
        <v>25</v>
      </c>
      <c r="G44" s="82"/>
      <c r="H44" s="78">
        <v>0</v>
      </c>
      <c r="I44" s="79"/>
      <c r="J44" s="86"/>
      <c r="K44" s="80" t="s">
        <v>29</v>
      </c>
      <c r="L44" s="82"/>
      <c r="M44" s="83"/>
      <c r="N44" s="84"/>
    </row>
    <row r="45" spans="6:14" ht="19.8" customHeight="1" x14ac:dyDescent="0.25">
      <c r="F45" s="88" t="s">
        <v>26</v>
      </c>
      <c r="G45" s="89"/>
      <c r="H45" s="78">
        <f>SUM(H41:H44)</f>
        <v>207200</v>
      </c>
      <c r="I45" s="79"/>
      <c r="J45" s="86"/>
      <c r="K45" s="80" t="s">
        <v>30</v>
      </c>
      <c r="L45" s="82"/>
      <c r="M45" s="83"/>
      <c r="N45" s="84"/>
    </row>
    <row r="46" spans="6:14" ht="19.8" customHeight="1" x14ac:dyDescent="0.25">
      <c r="F46" s="90"/>
      <c r="G46" s="91"/>
      <c r="H46" s="91"/>
      <c r="I46" s="79"/>
      <c r="J46" s="92"/>
      <c r="K46" s="80" t="s">
        <v>37</v>
      </c>
      <c r="L46" s="82"/>
      <c r="M46" s="83"/>
      <c r="N46" s="84"/>
    </row>
    <row r="47" spans="6:14" ht="19.8" customHeight="1" x14ac:dyDescent="0.25">
      <c r="F47" s="90"/>
      <c r="G47" s="91"/>
      <c r="H47" s="91"/>
      <c r="I47" s="93"/>
      <c r="J47" s="94" t="s">
        <v>31</v>
      </c>
      <c r="K47" s="95"/>
      <c r="L47" s="96"/>
      <c r="M47" s="83">
        <f>SUM(M41:M46)</f>
        <v>35000</v>
      </c>
      <c r="N47" s="84"/>
    </row>
    <row r="48" spans="6:14" ht="15" customHeight="1" thickBot="1" x14ac:dyDescent="0.3">
      <c r="F48" s="97"/>
      <c r="G48" s="98"/>
      <c r="H48" s="98"/>
      <c r="I48" s="98"/>
      <c r="J48" s="98"/>
      <c r="K48" s="98"/>
      <c r="L48" s="98"/>
      <c r="M48" s="98"/>
      <c r="N48" s="99"/>
    </row>
    <row r="49" spans="6:14" ht="26.4" customHeight="1" thickBot="1" x14ac:dyDescent="0.3">
      <c r="F49" s="100" t="s">
        <v>38</v>
      </c>
      <c r="G49" s="101"/>
      <c r="H49" s="101"/>
      <c r="I49" s="101"/>
      <c r="J49" s="102"/>
      <c r="K49" s="103">
        <f>H45-M47</f>
        <v>172200</v>
      </c>
      <c r="L49" s="104"/>
      <c r="M49" s="104"/>
      <c r="N49" s="105"/>
    </row>
  </sheetData>
  <mergeCells count="29">
    <mergeCell ref="F33:N33"/>
    <mergeCell ref="F34:N34"/>
    <mergeCell ref="G35:J35"/>
    <mergeCell ref="J41:L41"/>
    <mergeCell ref="K35:L35"/>
    <mergeCell ref="M35:N35"/>
    <mergeCell ref="F36:N36"/>
    <mergeCell ref="F40:H40"/>
    <mergeCell ref="K46:L46"/>
    <mergeCell ref="F42:G42"/>
    <mergeCell ref="F43:G43"/>
    <mergeCell ref="F44:G44"/>
    <mergeCell ref="F45:G45"/>
    <mergeCell ref="K42:L42"/>
    <mergeCell ref="K43:L43"/>
    <mergeCell ref="K44:L44"/>
    <mergeCell ref="K45:L45"/>
    <mergeCell ref="F41:G41"/>
    <mergeCell ref="F37:G37"/>
    <mergeCell ref="F38:G38"/>
    <mergeCell ref="F39:G39"/>
    <mergeCell ref="J37:N39"/>
    <mergeCell ref="F48:N48"/>
    <mergeCell ref="J47:L47"/>
    <mergeCell ref="J40:M40"/>
    <mergeCell ref="I40:I47"/>
    <mergeCell ref="J42:J46"/>
    <mergeCell ref="F49:J49"/>
    <mergeCell ref="K49:N4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  <vt:lpstr>2026_03</vt:lpstr>
      <vt:lpstr>2026_04</vt:lpstr>
      <vt:lpstr>2026_05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2026-06-07T14:18:44Z</cp:lastPrinted>
  <dcterms:created xsi:type="dcterms:W3CDTF">2025-07-08T14:40:42Z</dcterms:created>
  <dcterms:modified xsi:type="dcterms:W3CDTF">2026-06-07T14:18:46Z</dcterms:modified>
</cp:coreProperties>
</file>