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VeL infinity\Desktop\Tạp hóa\Quản lý\Mẫu hóa đơn\"/>
    </mc:Choice>
  </mc:AlternateContent>
  <xr:revisionPtr revIDLastSave="0" documentId="13_ncr:1_{845FF64C-E11E-48BD-8ACE-842A6B0220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91029"/>
</workbook>
</file>

<file path=xl/calcChain.xml><?xml version="1.0" encoding="utf-8"?>
<calcChain xmlns="http://schemas.openxmlformats.org/spreadsheetml/2006/main">
  <c r="H21" i="1" l="1"/>
  <c r="H12" i="1"/>
  <c r="H7" i="1"/>
  <c r="H8" i="1"/>
  <c r="H9" i="1"/>
  <c r="H10" i="1"/>
  <c r="H11" i="1"/>
  <c r="H6" i="1"/>
  <c r="H13" i="1"/>
  <c r="H24" i="1" s="1"/>
  <c r="H5" i="1" l="1"/>
  <c r="H25" i="1" l="1"/>
  <c r="H23" i="1"/>
</calcChain>
</file>

<file path=xl/sharedStrings.xml><?xml version="1.0" encoding="utf-8"?>
<sst xmlns="http://schemas.openxmlformats.org/spreadsheetml/2006/main" count="25" uniqueCount="25">
  <si>
    <r>
      <rPr>
        <b/>
        <sz val="9"/>
        <rFont val="Arial"/>
        <family val="2"/>
      </rPr>
      <t>STT</t>
    </r>
  </si>
  <si>
    <r>
      <rPr>
        <b/>
        <sz val="9"/>
        <rFont val="Noto Sans CJK HK"/>
        <family val="2"/>
      </rPr>
      <t>商品コード</t>
    </r>
  </si>
  <si>
    <r>
      <rPr>
        <b/>
        <sz val="9"/>
        <rFont val="Noto Sans CJK HK"/>
        <family val="2"/>
      </rPr>
      <t>商品名</t>
    </r>
  </si>
  <si>
    <r>
      <rPr>
        <b/>
        <sz val="9"/>
        <rFont val="Noto Sans CJK HK"/>
        <family val="2"/>
      </rPr>
      <t>単位</t>
    </r>
  </si>
  <si>
    <r>
      <rPr>
        <b/>
        <sz val="9"/>
        <rFont val="Noto Sans CJK HK"/>
        <family val="2"/>
      </rPr>
      <t>数量</t>
    </r>
  </si>
  <si>
    <r>
      <rPr>
        <b/>
        <sz val="9"/>
        <rFont val="Noto Sans CJK HK"/>
        <family val="2"/>
      </rPr>
      <t>税率</t>
    </r>
    <r>
      <rPr>
        <b/>
        <sz val="9"/>
        <rFont val="Arial"/>
        <family val="2"/>
      </rPr>
      <t>(%)</t>
    </r>
  </si>
  <si>
    <r>
      <rPr>
        <b/>
        <sz val="9"/>
        <rFont val="Noto Sans CJK HK"/>
        <family val="2"/>
      </rPr>
      <t>小計</t>
    </r>
  </si>
  <si>
    <r>
      <rPr>
        <sz val="9"/>
        <rFont val="Arial"/>
        <family val="2"/>
      </rPr>
      <t>PVN3279</t>
    </r>
  </si>
  <si>
    <t xml:space="preserve"> </t>
    <phoneticPr fontId="8"/>
  </si>
  <si>
    <t>TỔNG HÓA ĐƠN</t>
    <phoneticPr fontId="8"/>
  </si>
  <si>
    <r>
      <t>Tổng số lượng (</t>
    </r>
    <r>
      <rPr>
        <sz val="10"/>
        <color rgb="FF000000"/>
        <rFont val="ＭＳ Ｐゴシック"/>
        <family val="1"/>
        <charset val="128"/>
      </rPr>
      <t>小計</t>
    </r>
    <r>
      <rPr>
        <sz val="10"/>
        <color rgb="FF000000"/>
        <rFont val="Times New Roman"/>
        <family val="1"/>
      </rPr>
      <t>)</t>
    </r>
    <rPh sb="15" eb="17">
      <t>ショウケイ</t>
    </rPh>
    <phoneticPr fontId="8"/>
  </si>
  <si>
    <r>
      <t>Chiết khấu (</t>
    </r>
    <r>
      <rPr>
        <sz val="10"/>
        <color rgb="FF000000"/>
        <rFont val="ＭＳ Ｐゴシック"/>
        <family val="1"/>
        <charset val="128"/>
      </rPr>
      <t>割引</t>
    </r>
    <r>
      <rPr>
        <sz val="10"/>
        <color rgb="FF000000"/>
        <rFont val="Times New Roman"/>
        <family val="1"/>
      </rPr>
      <t>)</t>
    </r>
    <rPh sb="12" eb="14">
      <t>ワリビキ</t>
    </rPh>
    <phoneticPr fontId="8"/>
  </si>
  <si>
    <r>
      <t>Thuế (</t>
    </r>
    <r>
      <rPr>
        <sz val="10"/>
        <color rgb="FF000000"/>
        <rFont val="ＭＳ Ｐゴシック"/>
        <family val="1"/>
        <charset val="128"/>
      </rPr>
      <t>内税</t>
    </r>
    <r>
      <rPr>
        <sz val="10"/>
        <color rgb="FF000000"/>
        <rFont val="Times New Roman"/>
        <family val="1"/>
      </rPr>
      <t>8%)</t>
    </r>
    <rPh sb="6" eb="8">
      <t>ウチゼイ</t>
    </rPh>
    <phoneticPr fontId="8"/>
  </si>
  <si>
    <r>
      <t>Thuế</t>
    </r>
    <r>
      <rPr>
        <sz val="10"/>
        <color rgb="FF000000"/>
        <rFont val="ＭＳ Ｐゴシック"/>
        <family val="1"/>
        <charset val="128"/>
      </rPr>
      <t>内税</t>
    </r>
    <r>
      <rPr>
        <sz val="10"/>
        <color rgb="FF000000"/>
        <rFont val="Times New Roman"/>
        <family val="1"/>
      </rPr>
      <t>(10%)</t>
    </r>
    <rPh sb="4" eb="6">
      <t>ウチゼイ</t>
    </rPh>
    <phoneticPr fontId="8"/>
  </si>
  <si>
    <t>単価（ 税込 ）</t>
    <phoneticPr fontId="8"/>
  </si>
  <si>
    <t>Phụ phí vùng xa</t>
    <phoneticPr fontId="8"/>
  </si>
  <si>
    <r>
      <rPr>
        <b/>
        <sz val="13"/>
        <color rgb="FF000000"/>
        <rFont val="ＭＳ Ｐゴシック"/>
        <family val="1"/>
        <charset val="128"/>
      </rPr>
      <t>振込先：ゆうちょ銀行</t>
    </r>
    <r>
      <rPr>
        <b/>
        <sz val="13"/>
        <color rgb="FF000000"/>
        <rFont val="Times New Roman"/>
        <family val="1"/>
      </rPr>
      <t xml:space="preserve">
</t>
    </r>
    <r>
      <rPr>
        <b/>
        <sz val="13"/>
        <color rgb="FF000000"/>
        <rFont val="ＭＳ Ｐゴシック"/>
        <family val="1"/>
        <charset val="128"/>
      </rPr>
      <t>店名：新小岩</t>
    </r>
    <r>
      <rPr>
        <b/>
        <sz val="13"/>
        <color rgb="FF000000"/>
        <rFont val="Times New Roman"/>
        <family val="1"/>
      </rPr>
      <t xml:space="preserve">     (</t>
    </r>
    <r>
      <rPr>
        <b/>
        <sz val="13"/>
        <color rgb="FF000000"/>
        <rFont val="ＭＳ Ｐゴシック"/>
        <family val="1"/>
        <charset val="128"/>
      </rPr>
      <t>しんこいわ）</t>
    </r>
    <r>
      <rPr>
        <b/>
        <sz val="13"/>
        <color rgb="FF000000"/>
        <rFont val="Times New Roman"/>
        <family val="1"/>
      </rPr>
      <t xml:space="preserve">
</t>
    </r>
    <r>
      <rPr>
        <b/>
        <sz val="13"/>
        <color rgb="FF000000"/>
        <rFont val="ＭＳ Ｐゴシック"/>
        <family val="1"/>
        <charset val="128"/>
      </rPr>
      <t>記号番号：</t>
    </r>
    <r>
      <rPr>
        <b/>
        <sz val="13"/>
        <color rgb="FF000000"/>
        <rFont val="Times New Roman"/>
        <family val="1"/>
      </rPr>
      <t>10110-95757981</t>
    </r>
    <phoneticPr fontId="8"/>
  </si>
  <si>
    <r>
      <rPr>
        <b/>
        <sz val="14"/>
        <rFont val="ＭＳ Ｐゴシック"/>
        <family val="1"/>
        <charset val="128"/>
      </rPr>
      <t>客様</t>
    </r>
    <r>
      <rPr>
        <b/>
        <sz val="14"/>
        <rFont val="Times New Roman"/>
        <family val="1"/>
      </rPr>
      <t xml:space="preserve"> :</t>
    </r>
    <r>
      <rPr>
        <b/>
        <sz val="14"/>
        <rFont val="游ゴシック"/>
        <family val="1"/>
        <charset val="128"/>
      </rPr>
      <t>合同会社</t>
    </r>
    <r>
      <rPr>
        <b/>
        <sz val="14"/>
        <rFont val="Times New Roman"/>
        <family val="1"/>
      </rPr>
      <t xml:space="preserve">TRUONG GIANG                                                                                                                                                                    </t>
    </r>
    <r>
      <rPr>
        <b/>
        <sz val="14"/>
        <rFont val="ＭＳ ゴシック"/>
        <family val="3"/>
        <charset val="128"/>
      </rPr>
      <t>住所</t>
    </r>
    <r>
      <rPr>
        <b/>
        <sz val="14"/>
        <rFont val="Times New Roman"/>
        <family val="1"/>
      </rPr>
      <t xml:space="preserve"> :  802-0001 </t>
    </r>
    <r>
      <rPr>
        <b/>
        <sz val="14"/>
        <rFont val="游ゴシック"/>
        <family val="1"/>
        <charset val="128"/>
      </rPr>
      <t>福岡県北九州市小倉北区浅野二丁目</t>
    </r>
    <r>
      <rPr>
        <b/>
        <sz val="14"/>
        <rFont val="Times New Roman"/>
        <family val="1"/>
      </rPr>
      <t>18</t>
    </r>
    <r>
      <rPr>
        <b/>
        <sz val="14"/>
        <rFont val="游ゴシック"/>
        <family val="1"/>
        <charset val="128"/>
      </rPr>
      <t>番地</t>
    </r>
    <r>
      <rPr>
        <b/>
        <sz val="14"/>
        <rFont val="Times New Roman"/>
        <family val="1"/>
      </rPr>
      <t>29</t>
    </r>
    <r>
      <rPr>
        <b/>
        <sz val="14"/>
        <rFont val="游ゴシック"/>
        <family val="1"/>
        <charset val="128"/>
      </rPr>
      <t>号</t>
    </r>
    <r>
      <rPr>
        <b/>
        <sz val="14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</t>
    </r>
    <r>
      <rPr>
        <b/>
        <sz val="14"/>
        <rFont val="ＭＳ ゴシック"/>
        <family val="3"/>
        <charset val="128"/>
      </rPr>
      <t>電話番号</t>
    </r>
    <r>
      <rPr>
        <b/>
        <sz val="14"/>
        <rFont val="Times New Roman"/>
        <family val="1"/>
      </rPr>
      <t xml:space="preserve">: 080-2372-6019            </t>
    </r>
    <r>
      <rPr>
        <sz val="14"/>
        <rFont val="Times New Roman"/>
        <family val="1"/>
      </rPr>
      <t xml:space="preserve">                                                                                                                                Email:</t>
    </r>
    <rPh sb="0" eb="2">
      <t>キャクサマ</t>
    </rPh>
    <phoneticPr fontId="8"/>
  </si>
  <si>
    <r>
      <rPr>
        <sz val="9"/>
        <rFont val="Arial"/>
        <family val="2"/>
      </rPr>
      <t>PVN3280</t>
    </r>
    <r>
      <rPr>
        <sz val="11"/>
        <color theme="1"/>
        <rFont val="Arial"/>
        <family val="2"/>
        <scheme val="minor"/>
      </rPr>
      <t/>
    </r>
  </si>
  <si>
    <t xml:space="preserve">Sườn già </t>
    <phoneticPr fontId="8"/>
  </si>
  <si>
    <r>
      <rPr>
        <b/>
        <sz val="23"/>
        <rFont val="Noto Sans CJK HK"/>
        <family val="2"/>
      </rPr>
      <t>領収書</t>
    </r>
  </si>
  <si>
    <t>PVN3306</t>
  </si>
  <si>
    <r>
      <t xml:space="preserve">                                                                                                  
スースーグループ株式会社
</t>
    </r>
    <r>
      <rPr>
        <sz val="9"/>
        <color rgb="FF000000"/>
        <rFont val="Times New Roman"/>
        <family val="1"/>
      </rPr>
      <t xml:space="preserve">〒     276-0033
千葉県八千代市八千代台南1-3-10
電話番号07038839831
phunghanh190792@gmail.com
</t>
    </r>
    <r>
      <rPr>
        <b/>
        <sz val="9"/>
        <color rgb="FF000000"/>
        <rFont val="Times New Roman"/>
        <family val="1"/>
      </rPr>
      <t>登録番号：Ｔ1040001115734</t>
    </r>
  </si>
  <si>
    <t>Sườn non</t>
  </si>
  <si>
    <r>
      <rPr>
        <sz val="10"/>
        <color rgb="FF000000"/>
        <rFont val="ＭＳ 明朝"/>
        <family val="1"/>
        <charset val="128"/>
      </rPr>
      <t>注文コード</t>
    </r>
    <r>
      <rPr>
        <sz val="10"/>
        <color rgb="FF000000"/>
        <rFont val="Times New Roman"/>
        <family val="1"/>
      </rPr>
      <t xml:space="preserve">: Tạp hóa sao mai
</t>
    </r>
    <r>
      <rPr>
        <sz val="10"/>
        <color rgb="FF000000"/>
        <rFont val="ＭＳ 明朝"/>
        <family val="1"/>
        <charset val="128"/>
      </rPr>
      <t>発注日</t>
    </r>
    <r>
      <rPr>
        <sz val="10"/>
        <color rgb="FF000000"/>
        <rFont val="Times New Roman"/>
        <family val="1"/>
      </rPr>
      <t>: 2025-03-03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</si>
</sst>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¥-411]#,##0"/>
    <numFmt numFmtId="165" formatCode="0.0"/>
    <numFmt numFmtId="166" formatCode="[$¥-411]#,##0_);[Red]\([$¥-411]#,##0\)"/>
  </numFmts>
  <fonts count="33">
    <font>
      <sz val="10"/>
      <color rgb="FF000000"/>
      <name val="Times New Roman"/>
      <charset val="204"/>
    </font>
    <font>
      <sz val="11"/>
      <color theme="1"/>
      <name val="Arial"/>
      <family val="2"/>
      <scheme val="minor"/>
    </font>
    <font>
      <b/>
      <sz val="9"/>
      <name val="Arial"/>
      <family val="2"/>
    </font>
    <font>
      <b/>
      <sz val="9"/>
      <name val="Noto Sans CJK HK"/>
    </font>
    <font>
      <sz val="9"/>
      <color rgb="FF000000"/>
      <name val="Arial"/>
      <family val="2"/>
    </font>
    <font>
      <sz val="9"/>
      <name val="Arial"/>
      <family val="2"/>
    </font>
    <font>
      <b/>
      <sz val="9"/>
      <name val="Noto Sans CJK HK"/>
      <family val="2"/>
    </font>
    <font>
      <sz val="10"/>
      <color rgb="FF000000"/>
      <name val="Times New Roman"/>
      <family val="1"/>
    </font>
    <font>
      <sz val="6"/>
      <name val="ＭＳ Ｐゴシック"/>
      <family val="3"/>
      <charset val="128"/>
    </font>
    <font>
      <b/>
      <sz val="9"/>
      <name val="ＭＳ ゴシック"/>
      <family val="3"/>
      <charset val="128"/>
    </font>
    <font>
      <b/>
      <sz val="14"/>
      <name val="ＭＳ ゴシック"/>
      <family val="3"/>
      <charset val="128"/>
    </font>
    <font>
      <sz val="8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4"/>
      <name val="游ゴシック"/>
      <family val="1"/>
      <charset val="128"/>
    </font>
    <font>
      <sz val="14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ＭＳ 明朝"/>
      <family val="1"/>
      <charset val="128"/>
    </font>
    <font>
      <sz val="10"/>
      <color rgb="FF000000"/>
      <name val="Times New Roman"/>
      <family val="1"/>
      <charset val="128"/>
    </font>
    <font>
      <sz val="10"/>
      <color rgb="FF000000"/>
      <name val="ＭＳ Ｐゴシック"/>
      <family val="1"/>
      <charset val="128"/>
    </font>
    <font>
      <sz val="12"/>
      <color rgb="FF000000"/>
      <name val="Arial"/>
      <family val="2"/>
    </font>
    <font>
      <b/>
      <sz val="13"/>
      <color rgb="FF000000"/>
      <name val="ＭＳ Ｐゴシック"/>
      <family val="1"/>
      <charset val="128"/>
    </font>
    <font>
      <b/>
      <sz val="13"/>
      <color rgb="FF000000"/>
      <name val="Times New Roman"/>
      <family val="1"/>
    </font>
    <font>
      <b/>
      <sz val="13"/>
      <color rgb="FF000000"/>
      <name val="Times New Roman"/>
      <family val="1"/>
      <charset val="128"/>
    </font>
    <font>
      <b/>
      <sz val="14"/>
      <name val="ＭＳ Ｐゴシック"/>
      <family val="1"/>
      <charset val="128"/>
    </font>
    <font>
      <sz val="14"/>
      <name val="Times New Roman"/>
      <family val="1"/>
      <charset val="128"/>
    </font>
    <font>
      <b/>
      <sz val="9"/>
      <color rgb="FF000000"/>
      <name val="Times New Roman"/>
      <family val="1"/>
    </font>
    <font>
      <sz val="10"/>
      <color rgb="FF000000"/>
      <name val="Times New Roman"/>
      <family val="1"/>
    </font>
    <font>
      <b/>
      <sz val="23"/>
      <name val="Times New Roman"/>
      <family val="1"/>
    </font>
    <font>
      <b/>
      <sz val="23"/>
      <name val="Noto Sans CJK HK"/>
      <family val="2"/>
    </font>
    <font>
      <b/>
      <sz val="18"/>
      <color theme="1"/>
      <name val="Times New Roman"/>
      <family val="1"/>
    </font>
    <font>
      <b/>
      <sz val="16"/>
      <color rgb="FF000000"/>
      <name val="Times New Roman"/>
      <family val="1"/>
    </font>
    <font>
      <sz val="9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rgb="FF797575"/>
      </left>
      <right style="thin">
        <color rgb="FF797575"/>
      </right>
      <top style="thin">
        <color rgb="FF797575"/>
      </top>
      <bottom style="thin">
        <color rgb="FF797575"/>
      </bottom>
      <diagonal/>
    </border>
    <border>
      <left/>
      <right/>
      <top/>
      <bottom style="thin">
        <color rgb="FF797575"/>
      </bottom>
      <diagonal/>
    </border>
    <border>
      <left/>
      <right/>
      <top style="thin">
        <color rgb="FF797575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rgb="FF797575"/>
      </top>
      <bottom/>
      <diagonal/>
    </border>
    <border>
      <left/>
      <right style="thick">
        <color auto="1"/>
      </right>
      <top/>
      <bottom/>
      <diagonal/>
    </border>
  </borders>
  <cellStyleXfs count="2">
    <xf numFmtId="0" fontId="0" fillId="0" borderId="0"/>
    <xf numFmtId="9" fontId="27" fillId="0" borderId="0" applyFont="0" applyFill="0" applyBorder="0" applyAlignment="0" applyProtection="0">
      <alignment vertical="center"/>
    </xf>
  </cellStyleXfs>
  <cellXfs count="37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7" fillId="0" borderId="0" xfId="0" applyFont="1" applyAlignment="1">
      <alignment horizontal="left" vertical="top"/>
    </xf>
    <xf numFmtId="0" fontId="16" fillId="0" borderId="0" xfId="0" applyFont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1" fontId="15" fillId="0" borderId="6" xfId="0" applyNumberFormat="1" applyFont="1" applyBorder="1" applyAlignment="1">
      <alignment vertical="top"/>
    </xf>
    <xf numFmtId="164" fontId="15" fillId="0" borderId="9" xfId="0" applyNumberFormat="1" applyFont="1" applyBorder="1" applyAlignment="1">
      <alignment vertical="top"/>
    </xf>
    <xf numFmtId="0" fontId="26" fillId="0" borderId="0" xfId="0" applyFont="1" applyAlignment="1">
      <alignment vertical="top" wrapText="1"/>
    </xf>
    <xf numFmtId="165" fontId="4" fillId="0" borderId="1" xfId="0" applyNumberFormat="1" applyFont="1" applyBorder="1" applyAlignment="1">
      <alignment horizontal="right" vertical="top" shrinkToFit="1"/>
    </xf>
    <xf numFmtId="9" fontId="4" fillId="0" borderId="1" xfId="1" applyFont="1" applyBorder="1" applyAlignment="1">
      <alignment horizontal="right" vertical="top" shrinkToFit="1"/>
    </xf>
    <xf numFmtId="166" fontId="4" fillId="0" borderId="1" xfId="0" applyNumberFormat="1" applyFont="1" applyBorder="1" applyAlignment="1">
      <alignment horizontal="right" vertical="top" shrinkToFit="1"/>
    </xf>
    <xf numFmtId="166" fontId="20" fillId="0" borderId="1" xfId="0" applyNumberFormat="1" applyFont="1" applyBorder="1" applyAlignment="1">
      <alignment horizontal="right" vertical="top" shrinkToFit="1"/>
    </xf>
    <xf numFmtId="164" fontId="30" fillId="2" borderId="9" xfId="0" applyNumberFormat="1" applyFont="1" applyFill="1" applyBorder="1" applyAlignment="1">
      <alignment vertical="top"/>
    </xf>
    <xf numFmtId="0" fontId="25" fillId="0" borderId="2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8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top" wrapText="1"/>
    </xf>
    <xf numFmtId="0" fontId="28" fillId="2" borderId="0" xfId="0" applyFont="1" applyFill="1" applyAlignment="1">
      <alignment horizontal="center" vertical="center" wrapText="1"/>
    </xf>
    <xf numFmtId="0" fontId="7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/>
    </xf>
    <xf numFmtId="0" fontId="7" fillId="0" borderId="7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0" fontId="31" fillId="0" borderId="10" xfId="0" applyFont="1" applyBorder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0" fontId="23" fillId="0" borderId="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/>
    </xf>
    <xf numFmtId="0" fontId="7" fillId="0" borderId="12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13" xfId="0" applyFont="1" applyBorder="1" applyAlignment="1">
      <alignment horizontal="left" vertical="top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0" xfId="0" applyNumberFormat="1" applyFont="1" applyBorder="1" applyAlignment="1">
      <alignment horizontal="center" vertical="top" shrinkToFi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904438" cy="95250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0"/>
          <a:ext cx="904438" cy="952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hunghanh19079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topLeftCell="A7" workbookViewId="0">
      <selection activeCell="O20" sqref="O20"/>
    </sheetView>
  </sheetViews>
  <sheetFormatPr defaultRowHeight="12.75"/>
  <cols>
    <col min="1" max="1" width="4.6640625" style="5" customWidth="1"/>
    <col min="2" max="2" width="15" style="5" customWidth="1"/>
    <col min="3" max="3" width="30" style="5" customWidth="1"/>
    <col min="4" max="4" width="5.33203125" style="5" customWidth="1"/>
    <col min="5" max="5" width="8.1640625" style="5" customWidth="1"/>
    <col min="6" max="6" width="9.5" style="5" customWidth="1"/>
    <col min="7" max="7" width="8.5" style="5" customWidth="1"/>
    <col min="8" max="8" width="16.33203125" style="5" customWidth="1"/>
    <col min="9" max="16384" width="9.33203125" style="5"/>
  </cols>
  <sheetData>
    <row r="1" spans="1:8" ht="104.25" customHeight="1">
      <c r="A1" s="22" t="s">
        <v>8</v>
      </c>
      <c r="B1" s="22"/>
      <c r="C1" s="12" t="s">
        <v>22</v>
      </c>
      <c r="D1" s="6"/>
      <c r="E1" s="20" t="s">
        <v>24</v>
      </c>
      <c r="F1" s="21"/>
      <c r="G1" s="21"/>
      <c r="H1" s="21"/>
    </row>
    <row r="2" spans="1:8" ht="32.25" customHeight="1">
      <c r="A2" s="23" t="s">
        <v>20</v>
      </c>
      <c r="B2" s="23"/>
      <c r="C2" s="23"/>
      <c r="D2" s="23"/>
      <c r="E2" s="23"/>
      <c r="F2" s="23"/>
      <c r="G2" s="23"/>
      <c r="H2" s="23"/>
    </row>
    <row r="3" spans="1:8" ht="84.75" customHeight="1">
      <c r="A3" s="18" t="s">
        <v>17</v>
      </c>
      <c r="B3" s="19"/>
      <c r="C3" s="19"/>
      <c r="D3" s="19"/>
      <c r="E3" s="19"/>
      <c r="F3" s="19"/>
      <c r="G3" s="19"/>
      <c r="H3" s="19"/>
    </row>
    <row r="4" spans="1:8" ht="24">
      <c r="A4" s="1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9" t="s">
        <v>14</v>
      </c>
      <c r="G4" s="8" t="s">
        <v>5</v>
      </c>
      <c r="H4" s="7" t="s">
        <v>6</v>
      </c>
    </row>
    <row r="5" spans="1:8" ht="24" customHeight="1">
      <c r="A5" s="2">
        <v>1</v>
      </c>
      <c r="B5" s="2" t="s">
        <v>7</v>
      </c>
      <c r="C5" s="3" t="s">
        <v>23</v>
      </c>
      <c r="D5" s="4"/>
      <c r="E5" s="13">
        <v>30</v>
      </c>
      <c r="F5" s="15">
        <v>750</v>
      </c>
      <c r="G5" s="14">
        <v>0.08</v>
      </c>
      <c r="H5" s="16">
        <f>F5*E5</f>
        <v>22500</v>
      </c>
    </row>
    <row r="6" spans="1:8" ht="24" customHeight="1">
      <c r="A6" s="2">
        <v>2</v>
      </c>
      <c r="B6" s="2" t="s">
        <v>18</v>
      </c>
      <c r="C6" s="3" t="s">
        <v>19</v>
      </c>
      <c r="D6" s="4"/>
      <c r="E6" s="13">
        <v>30</v>
      </c>
      <c r="F6" s="15">
        <v>890</v>
      </c>
      <c r="G6" s="14">
        <v>0.08</v>
      </c>
      <c r="H6" s="16">
        <f>F6*E6</f>
        <v>26700</v>
      </c>
    </row>
    <row r="7" spans="1:8" ht="24" customHeight="1">
      <c r="A7" s="2">
        <v>3</v>
      </c>
      <c r="B7" s="2"/>
      <c r="C7" s="3"/>
      <c r="D7" s="4"/>
      <c r="E7" s="13"/>
      <c r="F7" s="15"/>
      <c r="G7" s="14"/>
      <c r="H7" s="16">
        <f t="shared" ref="H7:H9" si="0">F7*E7</f>
        <v>0</v>
      </c>
    </row>
    <row r="8" spans="1:8" ht="24" customHeight="1">
      <c r="A8" s="2">
        <v>4</v>
      </c>
      <c r="B8" s="2"/>
      <c r="C8" s="3"/>
      <c r="D8" s="4"/>
      <c r="E8" s="13"/>
      <c r="F8" s="15"/>
      <c r="G8" s="14"/>
      <c r="H8" s="16">
        <f t="shared" si="0"/>
        <v>0</v>
      </c>
    </row>
    <row r="9" spans="1:8" ht="24" customHeight="1">
      <c r="A9" s="2">
        <v>5</v>
      </c>
      <c r="B9" s="2"/>
      <c r="C9" s="3"/>
      <c r="D9" s="4"/>
      <c r="E9" s="13"/>
      <c r="F9" s="15"/>
      <c r="G9" s="14"/>
      <c r="H9" s="16">
        <f t="shared" si="0"/>
        <v>0</v>
      </c>
    </row>
    <row r="10" spans="1:8" ht="24" customHeight="1">
      <c r="A10" s="2">
        <v>6</v>
      </c>
      <c r="B10" s="2"/>
      <c r="C10" s="3"/>
      <c r="D10" s="4"/>
      <c r="E10" s="13"/>
      <c r="F10" s="15"/>
      <c r="G10" s="14"/>
      <c r="H10" s="16">
        <f t="shared" ref="H10:H13" si="1">F10*E10</f>
        <v>0</v>
      </c>
    </row>
    <row r="11" spans="1:8" ht="24" customHeight="1">
      <c r="A11" s="2">
        <v>7</v>
      </c>
      <c r="B11" s="2"/>
      <c r="C11" s="3"/>
      <c r="D11" s="4"/>
      <c r="E11" s="13"/>
      <c r="F11" s="15"/>
      <c r="G11" s="14"/>
      <c r="H11" s="16">
        <f t="shared" si="1"/>
        <v>0</v>
      </c>
    </row>
    <row r="12" spans="1:8" ht="24" customHeight="1">
      <c r="A12" s="2">
        <v>8</v>
      </c>
      <c r="B12" s="2"/>
      <c r="C12" s="3"/>
      <c r="D12" s="4"/>
      <c r="E12" s="13"/>
      <c r="F12" s="15"/>
      <c r="G12" s="14"/>
      <c r="H12" s="16">
        <f t="shared" si="1"/>
        <v>0</v>
      </c>
    </row>
    <row r="13" spans="1:8" ht="24" customHeight="1">
      <c r="A13" s="2">
        <v>9</v>
      </c>
      <c r="B13" s="2" t="s">
        <v>21</v>
      </c>
      <c r="C13" s="3" t="s">
        <v>15</v>
      </c>
      <c r="D13" s="4"/>
      <c r="E13" s="13">
        <v>2</v>
      </c>
      <c r="F13" s="15">
        <v>400</v>
      </c>
      <c r="G13" s="14">
        <v>0.1</v>
      </c>
      <c r="H13" s="16">
        <f t="shared" si="1"/>
        <v>800</v>
      </c>
    </row>
    <row r="14" spans="1:8" ht="24" customHeight="1">
      <c r="A14" s="35"/>
      <c r="B14" s="35"/>
      <c r="C14" s="35"/>
      <c r="D14" s="35"/>
      <c r="E14" s="35"/>
      <c r="F14" s="35"/>
      <c r="G14" s="35"/>
      <c r="H14" s="35"/>
    </row>
    <row r="15" spans="1:8" ht="24" customHeight="1">
      <c r="A15" s="36"/>
      <c r="B15" s="36"/>
      <c r="C15" s="36"/>
      <c r="D15" s="36"/>
      <c r="E15" s="36"/>
      <c r="F15" s="36"/>
      <c r="G15" s="36"/>
      <c r="H15" s="36"/>
    </row>
    <row r="16" spans="1:8" ht="24" customHeight="1">
      <c r="A16" s="36"/>
      <c r="B16" s="36"/>
      <c r="C16" s="36"/>
      <c r="D16" s="36"/>
      <c r="E16" s="36"/>
      <c r="F16" s="36"/>
      <c r="G16" s="36"/>
      <c r="H16" s="36"/>
    </row>
    <row r="17" spans="1:8" ht="24" customHeight="1">
      <c r="A17" s="36"/>
      <c r="B17" s="36"/>
      <c r="C17" s="36"/>
      <c r="D17" s="36"/>
      <c r="E17" s="36"/>
      <c r="F17" s="36"/>
      <c r="G17" s="36"/>
      <c r="H17" s="36"/>
    </row>
    <row r="18" spans="1:8" ht="24" customHeight="1">
      <c r="A18" s="36"/>
      <c r="B18" s="36"/>
      <c r="C18" s="36"/>
      <c r="D18" s="36"/>
      <c r="E18" s="36"/>
      <c r="F18" s="36"/>
      <c r="G18" s="36"/>
      <c r="H18" s="36"/>
    </row>
    <row r="19" spans="1:8" ht="24" customHeight="1">
      <c r="A19" s="36"/>
      <c r="B19" s="36"/>
      <c r="C19" s="36"/>
      <c r="D19" s="36"/>
      <c r="E19" s="36"/>
      <c r="F19" s="36"/>
      <c r="G19" s="36"/>
      <c r="H19" s="36"/>
    </row>
    <row r="20" spans="1:8" ht="24" customHeight="1" thickBot="1">
      <c r="A20" s="36"/>
      <c r="B20" s="36"/>
      <c r="C20" s="36"/>
      <c r="D20" s="36"/>
      <c r="E20" s="36"/>
      <c r="F20" s="36"/>
      <c r="G20" s="36"/>
      <c r="H20" s="36"/>
    </row>
    <row r="21" spans="1:8" ht="18" customHeight="1" thickTop="1">
      <c r="A21" s="30" t="s">
        <v>16</v>
      </c>
      <c r="B21" s="31"/>
      <c r="C21" s="32"/>
      <c r="D21" s="24" t="s">
        <v>10</v>
      </c>
      <c r="E21" s="25"/>
      <c r="F21" s="25"/>
      <c r="G21" s="25"/>
      <c r="H21" s="10">
        <f>SUM(E5:E13)</f>
        <v>62</v>
      </c>
    </row>
    <row r="22" spans="1:8" ht="18" customHeight="1">
      <c r="A22" s="33"/>
      <c r="B22" s="33"/>
      <c r="C22" s="34"/>
      <c r="D22" s="26" t="s">
        <v>11</v>
      </c>
      <c r="E22" s="27"/>
      <c r="F22" s="27"/>
      <c r="G22" s="27"/>
      <c r="H22" s="11">
        <v>0</v>
      </c>
    </row>
    <row r="23" spans="1:8" ht="18" customHeight="1">
      <c r="A23" s="33"/>
      <c r="B23" s="33"/>
      <c r="C23" s="34"/>
      <c r="D23" s="26" t="s">
        <v>12</v>
      </c>
      <c r="E23" s="27"/>
      <c r="F23" s="27"/>
      <c r="G23" s="27"/>
      <c r="H23" s="11">
        <f>SUM(H5:H12)*0.08</f>
        <v>3936</v>
      </c>
    </row>
    <row r="24" spans="1:8" ht="18" customHeight="1">
      <c r="A24" s="33"/>
      <c r="B24" s="33"/>
      <c r="C24" s="34"/>
      <c r="D24" s="26" t="s">
        <v>13</v>
      </c>
      <c r="E24" s="27"/>
      <c r="F24" s="27"/>
      <c r="G24" s="27"/>
      <c r="H24" s="11">
        <f>H13*0.1</f>
        <v>80</v>
      </c>
    </row>
    <row r="25" spans="1:8" ht="28.5" customHeight="1" thickBot="1">
      <c r="A25" s="33"/>
      <c r="B25" s="33"/>
      <c r="C25" s="34"/>
      <c r="D25" s="28" t="s">
        <v>9</v>
      </c>
      <c r="E25" s="29"/>
      <c r="F25" s="29"/>
      <c r="G25" s="29"/>
      <c r="H25" s="17">
        <f>SUM(H5:H13)</f>
        <v>50000</v>
      </c>
    </row>
    <row r="26" spans="1:8" ht="13.5" thickTop="1"/>
  </sheetData>
  <mergeCells count="11">
    <mergeCell ref="D24:G24"/>
    <mergeCell ref="D25:G25"/>
    <mergeCell ref="A21:C25"/>
    <mergeCell ref="D22:G22"/>
    <mergeCell ref="D23:G23"/>
    <mergeCell ref="A14:H20"/>
    <mergeCell ref="A3:H3"/>
    <mergeCell ref="E1:H1"/>
    <mergeCell ref="A1:B1"/>
    <mergeCell ref="A2:H2"/>
    <mergeCell ref="D21:G21"/>
  </mergeCells>
  <phoneticPr fontId="8"/>
  <hyperlinks>
    <hyperlink ref="A1" r:id="rId1" display="mailto:phunghanh190792@gmail.com" xr:uid="{00000000-0004-0000-0000-000000000000}"/>
  </hyperlinks>
  <pageMargins left="0.7" right="0.7" top="0.75" bottom="0.75" header="0.3" footer="0.3"/>
  <pageSetup paperSize="9" orientation="portrait" horizontalDpi="300" verticalDpi="3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LeVeL infinity</cp:lastModifiedBy>
  <cp:lastPrinted>2025-03-03T03:27:42Z</cp:lastPrinted>
  <dcterms:created xsi:type="dcterms:W3CDTF">2024-04-15T22:02:07Z</dcterms:created>
  <dcterms:modified xsi:type="dcterms:W3CDTF">2025-03-03T03:27:59Z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2024-04-16T00:00:00Z</vt:filetime>
  </property>
  <property fmtid="{D5CDD505-2E9C-101B-9397-08002B2CF9AE}" pid="3" name="Creator">
    <vt:lpwstr>PDFium</vt:lpwstr>
  </property>
  <property fmtid="{D5CDD505-2E9C-101B-9397-08002B2CF9AE}" pid="4" name="LastSaved">
    <vt:filetime>2024-04-15T00:00:00Z</vt:filetime>
  </property>
  <property fmtid="{D5CDD505-2E9C-101B-9397-08002B2CF9AE}" pid="5" name="Producer">
    <vt:lpwstr>3-Heights(TM) PDF Security Shell 4.8.25.2 (http://www.pdf-tools.com)</vt:lpwstr>
  </property>
</Properties>
</file>