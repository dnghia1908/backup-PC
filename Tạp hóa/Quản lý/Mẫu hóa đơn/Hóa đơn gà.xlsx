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Mẫu hóa đơn\"/>
    </mc:Choice>
  </mc:AlternateContent>
  <xr:revisionPtr revIDLastSave="0" documentId="13_ncr:1_{EC959927-2C22-43D9-92BD-9A45A274FC31}" xr6:coauthVersionLast="47" xr6:coauthVersionMax="47" xr10:uidLastSave="{00000000-0000-0000-0000-000000000000}"/>
  <bookViews>
    <workbookView xWindow="-120" yWindow="-120" windowWidth="29040" windowHeight="15720" xr2:uid="{DAB5AF4D-74FC-42D0-8240-B7A2BDCE6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8" i="1"/>
  <c r="I16" i="1"/>
  <c r="I14" i="1"/>
  <c r="I15" i="1"/>
  <c r="I23" i="1" l="1"/>
  <c r="I24" i="1" s="1"/>
  <c r="I25" i="1"/>
  <c r="I26" i="1" s="1"/>
  <c r="I19" i="1"/>
  <c r="B12" i="1" l="1"/>
  <c r="A12" i="1"/>
  <c r="C12" i="1" l="1"/>
</calcChain>
</file>

<file path=xl/sharedStrings.xml><?xml version="1.0" encoding="utf-8"?>
<sst xmlns="http://schemas.openxmlformats.org/spreadsheetml/2006/main" count="33" uniqueCount="32">
  <si>
    <t>領収書</t>
  </si>
  <si>
    <t>合同会社TRUONGGIANG</t>
  </si>
  <si>
    <t>福岡県北九州市小倉北区浅野二丁目18番地29号</t>
  </si>
  <si>
    <t>080-2372-6019</t>
  </si>
  <si>
    <t>納品日</t>
  </si>
  <si>
    <t>納品番号</t>
  </si>
  <si>
    <t>登録番号</t>
  </si>
  <si>
    <t>DEL-000001248</t>
  </si>
  <si>
    <t>T4260001039198</t>
  </si>
  <si>
    <t>株式会社再輝フーズ</t>
  </si>
  <si>
    <t>709-1203</t>
  </si>
  <si>
    <t>岡山県岡山市南区西紅陽台１丁目５８番地６２７</t>
  </si>
  <si>
    <t>090-7132-0888</t>
  </si>
  <si>
    <t>下記の通り納品いたします</t>
  </si>
  <si>
    <t>小計</t>
  </si>
  <si>
    <t>消費税</t>
  </si>
  <si>
    <t>合計金額</t>
  </si>
  <si>
    <t>商品名</t>
  </si>
  <si>
    <t>数量</t>
  </si>
  <si>
    <t>単価</t>
  </si>
  <si>
    <t>金額</t>
  </si>
  <si>
    <t>内訳</t>
  </si>
  <si>
    <t>10％対象金額</t>
  </si>
  <si>
    <t>10％消費税</t>
  </si>
  <si>
    <t>8％対象金額</t>
  </si>
  <si>
    <t>8％消費税</t>
  </si>
  <si>
    <t>モミジ</t>
  </si>
  <si>
    <t>親鶏中抜き</t>
  </si>
  <si>
    <t>牛シャンクミート</t>
  </si>
  <si>
    <t>送料　①</t>
  </si>
  <si>
    <t>送料　②</t>
  </si>
  <si>
    <t>2024-02-28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</si>
</sst>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12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b/>
      <sz val="28"/>
      <color theme="1"/>
      <name val="35"/>
      <charset val="163"/>
    </font>
    <font>
      <b/>
      <sz val="12"/>
      <color rgb="FF212529"/>
      <name val="Meiryo"/>
      <family val="2"/>
    </font>
    <font>
      <b/>
      <sz val="12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9"/>
      <color theme="1"/>
      <name val="Arial"/>
      <family val="2"/>
      <charset val="163"/>
      <scheme val="minor"/>
    </font>
    <font>
      <sz val="10"/>
      <color theme="1"/>
      <name val="Arial"/>
      <family val="2"/>
      <charset val="163"/>
      <scheme val="minor"/>
    </font>
    <font>
      <b/>
      <sz val="15"/>
      <color theme="1"/>
      <name val="Arial"/>
      <family val="2"/>
      <scheme val="minor"/>
    </font>
    <font>
      <sz val="8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11" fillId="2" borderId="5" xfId="0" applyNumberFormat="1" applyFont="1" applyFill="1" applyBorder="1" applyAlignment="1">
      <alignment horizontal="center"/>
    </xf>
    <xf numFmtId="164" fontId="11" fillId="2" borderId="6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1" fillId="2" borderId="5" xfId="0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5</xdr:row>
      <xdr:rowOff>66675</xdr:rowOff>
    </xdr:from>
    <xdr:to>
      <xdr:col>8</xdr:col>
      <xdr:colOff>552449</xdr:colOff>
      <xdr:row>7</xdr:row>
      <xdr:rowOff>20601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DFE61-C8E0-48BF-8163-6E61FD92A8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8822" r="7055"/>
        <a:stretch/>
      </xdr:blipFill>
      <xdr:spPr>
        <a:xfrm>
          <a:off x="4743450" y="2009775"/>
          <a:ext cx="761999" cy="715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6FE0-8E5B-4EF8-B442-E216D7F68534}">
  <dimension ref="A1:J26"/>
  <sheetViews>
    <sheetView tabSelected="1" topLeftCell="A7" workbookViewId="0">
      <selection activeCell="T17" sqref="T17"/>
    </sheetView>
  </sheetViews>
  <sheetFormatPr defaultRowHeight="14.25"/>
  <cols>
    <col min="1" max="4" width="7.375" customWidth="1"/>
    <col min="5" max="10" width="8.125" customWidth="1"/>
  </cols>
  <sheetData>
    <row r="1" spans="1:10" ht="33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30" customHeight="1">
      <c r="A2" s="31" t="s">
        <v>1</v>
      </c>
      <c r="B2" s="31"/>
      <c r="C2" s="31"/>
      <c r="D2" s="31"/>
      <c r="E2" s="31"/>
      <c r="F2" s="1" t="s">
        <v>4</v>
      </c>
      <c r="G2" s="34" t="s">
        <v>31</v>
      </c>
      <c r="H2" s="34"/>
    </row>
    <row r="3" spans="1:10" ht="30" customHeight="1">
      <c r="A3" s="32" t="s">
        <v>2</v>
      </c>
      <c r="B3" s="32"/>
      <c r="C3" s="32"/>
      <c r="D3" s="32"/>
      <c r="E3" s="32"/>
      <c r="F3" s="1" t="s">
        <v>5</v>
      </c>
      <c r="G3" s="33" t="s">
        <v>7</v>
      </c>
      <c r="H3" s="33"/>
    </row>
    <row r="4" spans="1:10" ht="30" customHeight="1">
      <c r="A4" s="33" t="s">
        <v>3</v>
      </c>
      <c r="B4" s="33"/>
      <c r="C4" s="33"/>
      <c r="D4" s="33"/>
      <c r="E4" s="33"/>
      <c r="F4" s="1" t="s">
        <v>6</v>
      </c>
      <c r="G4" s="33" t="s">
        <v>8</v>
      </c>
      <c r="H4" s="33"/>
    </row>
    <row r="5" spans="1:10" ht="30" customHeight="1"/>
    <row r="6" spans="1:10" ht="30" customHeight="1">
      <c r="E6" s="28" t="s">
        <v>9</v>
      </c>
      <c r="F6" s="28"/>
      <c r="G6" s="28"/>
      <c r="H6" s="26"/>
      <c r="I6" s="26"/>
    </row>
    <row r="7" spans="1:10" ht="30" customHeight="1">
      <c r="E7" s="29" t="s">
        <v>10</v>
      </c>
      <c r="F7" s="29"/>
      <c r="G7" s="29"/>
      <c r="H7" s="26"/>
      <c r="I7" s="26"/>
    </row>
    <row r="8" spans="1:10" ht="30" customHeight="1">
      <c r="E8" s="29" t="s">
        <v>11</v>
      </c>
      <c r="F8" s="29"/>
      <c r="G8" s="29"/>
      <c r="H8" s="29"/>
      <c r="I8" s="29"/>
      <c r="J8" s="29"/>
    </row>
    <row r="9" spans="1:10" ht="30" customHeight="1">
      <c r="E9" s="29" t="s">
        <v>12</v>
      </c>
      <c r="F9" s="29"/>
      <c r="G9" s="29"/>
      <c r="H9" s="29"/>
      <c r="I9" s="29"/>
      <c r="J9" s="29"/>
    </row>
    <row r="10" spans="1:10" ht="30" customHeight="1">
      <c r="A10" s="27" t="s">
        <v>13</v>
      </c>
      <c r="B10" s="27"/>
      <c r="C10" s="27"/>
      <c r="D10" s="27"/>
    </row>
    <row r="11" spans="1:10" ht="30" customHeight="1">
      <c r="A11" s="2" t="s">
        <v>14</v>
      </c>
      <c r="B11" s="2" t="s">
        <v>15</v>
      </c>
      <c r="C11" s="8" t="s">
        <v>16</v>
      </c>
      <c r="D11" s="8"/>
      <c r="E11" s="8"/>
      <c r="F11" s="8"/>
    </row>
    <row r="12" spans="1:10" ht="30" customHeight="1">
      <c r="A12" s="3">
        <f>I23+I25</f>
        <v>51030</v>
      </c>
      <c r="B12" s="3">
        <f>I24+I26</f>
        <v>4292.3999999999996</v>
      </c>
      <c r="C12" s="9">
        <f>A12+B12</f>
        <v>55322.400000000001</v>
      </c>
      <c r="D12" s="9"/>
      <c r="E12" s="9"/>
      <c r="F12" s="9"/>
    </row>
    <row r="13" spans="1:10" ht="30" customHeight="1">
      <c r="A13" s="24" t="s">
        <v>17</v>
      </c>
      <c r="B13" s="24"/>
      <c r="C13" s="24"/>
      <c r="D13" s="24"/>
      <c r="E13" s="24" t="s">
        <v>18</v>
      </c>
      <c r="F13" s="24"/>
      <c r="G13" s="24" t="s">
        <v>19</v>
      </c>
      <c r="H13" s="24"/>
      <c r="I13" s="24" t="s">
        <v>20</v>
      </c>
      <c r="J13" s="24"/>
    </row>
    <row r="14" spans="1:10" ht="30" customHeight="1">
      <c r="A14" s="25" t="s">
        <v>26</v>
      </c>
      <c r="B14" s="25"/>
      <c r="C14" s="25"/>
      <c r="D14" s="25"/>
      <c r="E14" s="23">
        <v>50</v>
      </c>
      <c r="F14" s="23"/>
      <c r="G14" s="23">
        <v>230</v>
      </c>
      <c r="H14" s="23"/>
      <c r="I14" s="15">
        <f>G14*E14</f>
        <v>11500</v>
      </c>
      <c r="J14" s="15"/>
    </row>
    <row r="15" spans="1:10" ht="30" customHeight="1">
      <c r="A15" s="25" t="s">
        <v>27</v>
      </c>
      <c r="B15" s="25"/>
      <c r="C15" s="25"/>
      <c r="D15" s="25"/>
      <c r="E15" s="23">
        <v>40</v>
      </c>
      <c r="F15" s="23"/>
      <c r="G15" s="23">
        <v>360</v>
      </c>
      <c r="H15" s="23"/>
      <c r="I15" s="15">
        <f t="shared" ref="I15:I18" si="0">G15*E15</f>
        <v>14400</v>
      </c>
      <c r="J15" s="15"/>
    </row>
    <row r="16" spans="1:10" ht="30" customHeight="1">
      <c r="A16" s="25" t="s">
        <v>28</v>
      </c>
      <c r="B16" s="25"/>
      <c r="C16" s="25"/>
      <c r="D16" s="25"/>
      <c r="E16" s="23">
        <v>26.6</v>
      </c>
      <c r="F16" s="23"/>
      <c r="G16" s="23">
        <v>550</v>
      </c>
      <c r="H16" s="23"/>
      <c r="I16" s="15">
        <f t="shared" si="0"/>
        <v>14630</v>
      </c>
      <c r="J16" s="15"/>
    </row>
    <row r="17" spans="1:10" ht="30" customHeight="1">
      <c r="A17" s="25" t="s">
        <v>29</v>
      </c>
      <c r="B17" s="25"/>
      <c r="C17" s="25"/>
      <c r="D17" s="25"/>
      <c r="E17" s="23">
        <v>5</v>
      </c>
      <c r="F17" s="23"/>
      <c r="G17" s="23">
        <v>2100</v>
      </c>
      <c r="H17" s="23"/>
      <c r="I17" s="15">
        <f t="shared" si="0"/>
        <v>10500</v>
      </c>
      <c r="J17" s="15"/>
    </row>
    <row r="18" spans="1:10" ht="30" customHeight="1">
      <c r="A18" s="39" t="s">
        <v>30</v>
      </c>
      <c r="B18" s="40"/>
      <c r="C18" s="40"/>
      <c r="D18" s="41"/>
      <c r="E18" s="35">
        <v>0</v>
      </c>
      <c r="F18" s="36"/>
      <c r="G18" s="35">
        <v>1300</v>
      </c>
      <c r="H18" s="36"/>
      <c r="I18" s="37">
        <f t="shared" si="0"/>
        <v>0</v>
      </c>
      <c r="J18" s="38"/>
    </row>
    <row r="19" spans="1:10" ht="30" customHeight="1">
      <c r="A19" s="8" t="s">
        <v>16</v>
      </c>
      <c r="B19" s="8"/>
      <c r="C19" s="8"/>
      <c r="D19" s="8"/>
      <c r="E19" s="8"/>
      <c r="F19" s="8"/>
      <c r="G19" s="8"/>
      <c r="H19" s="8"/>
      <c r="I19" s="14">
        <f>SUM(I14:J18)</f>
        <v>51030</v>
      </c>
      <c r="J19" s="14"/>
    </row>
    <row r="20" spans="1:10" ht="30" customHeight="1">
      <c r="A20" s="4"/>
      <c r="B20" s="4"/>
      <c r="C20" s="4"/>
      <c r="D20" s="4"/>
      <c r="E20" s="4"/>
      <c r="F20" s="4"/>
      <c r="G20" s="4"/>
      <c r="H20" s="4"/>
      <c r="I20" s="4"/>
      <c r="J20" s="5"/>
    </row>
    <row r="21" spans="1:10" ht="30" customHeight="1">
      <c r="A21" s="6"/>
      <c r="B21" s="6"/>
      <c r="C21" s="6"/>
      <c r="D21" s="6"/>
      <c r="E21" s="6"/>
      <c r="F21" s="6"/>
      <c r="G21" s="6"/>
      <c r="H21" s="6"/>
      <c r="I21" s="6"/>
      <c r="J21" s="7"/>
    </row>
    <row r="22" spans="1:10" ht="30" customHeight="1">
      <c r="A22" s="6"/>
      <c r="B22" s="6"/>
      <c r="C22" s="6"/>
      <c r="D22" s="6"/>
      <c r="E22" s="6"/>
      <c r="F22" s="6"/>
      <c r="G22" s="6"/>
      <c r="H22" s="6"/>
      <c r="I22" s="6"/>
      <c r="J22" s="7"/>
    </row>
    <row r="23" spans="1:10">
      <c r="F23" s="16" t="s">
        <v>21</v>
      </c>
      <c r="G23" s="19" t="s">
        <v>22</v>
      </c>
      <c r="H23" s="20"/>
      <c r="I23" s="10">
        <f>I18+I17</f>
        <v>10500</v>
      </c>
      <c r="J23" s="11"/>
    </row>
    <row r="24" spans="1:10">
      <c r="F24" s="17"/>
      <c r="G24" s="21" t="s">
        <v>23</v>
      </c>
      <c r="H24" s="22"/>
      <c r="I24" s="12">
        <f>I23*0.1</f>
        <v>1050</v>
      </c>
      <c r="J24" s="13"/>
    </row>
    <row r="25" spans="1:10">
      <c r="F25" s="17"/>
      <c r="G25" s="19" t="s">
        <v>24</v>
      </c>
      <c r="H25" s="20"/>
      <c r="I25" s="10">
        <f>I16+I15+I14</f>
        <v>40530</v>
      </c>
      <c r="J25" s="11"/>
    </row>
    <row r="26" spans="1:10">
      <c r="F26" s="18"/>
      <c r="G26" s="21" t="s">
        <v>25</v>
      </c>
      <c r="H26" s="22"/>
      <c r="I26" s="12">
        <f>I25*0.08</f>
        <v>3242.4</v>
      </c>
      <c r="J26" s="13"/>
    </row>
  </sheetData>
  <mergeCells count="51">
    <mergeCell ref="A1:J1"/>
    <mergeCell ref="A2:E2"/>
    <mergeCell ref="A3:E3"/>
    <mergeCell ref="A4:E4"/>
    <mergeCell ref="G2:H2"/>
    <mergeCell ref="G3:H3"/>
    <mergeCell ref="G4:H4"/>
    <mergeCell ref="A18:D18"/>
    <mergeCell ref="H6:I7"/>
    <mergeCell ref="A10:D10"/>
    <mergeCell ref="E6:G6"/>
    <mergeCell ref="E7:G7"/>
    <mergeCell ref="E8:J8"/>
    <mergeCell ref="E9:J9"/>
    <mergeCell ref="A13:D13"/>
    <mergeCell ref="A14:D14"/>
    <mergeCell ref="A15:D15"/>
    <mergeCell ref="A16:D16"/>
    <mergeCell ref="A17:D17"/>
    <mergeCell ref="I25:J25"/>
    <mergeCell ref="I26:J26"/>
    <mergeCell ref="A19:H19"/>
    <mergeCell ref="I19:J19"/>
    <mergeCell ref="I14:J14"/>
    <mergeCell ref="I15:J15"/>
    <mergeCell ref="I16:J16"/>
    <mergeCell ref="I17:J17"/>
    <mergeCell ref="I18:J18"/>
    <mergeCell ref="F23:F26"/>
    <mergeCell ref="G23:H23"/>
    <mergeCell ref="G26:H26"/>
    <mergeCell ref="G25:H25"/>
    <mergeCell ref="G24:H24"/>
    <mergeCell ref="E18:F18"/>
    <mergeCell ref="G14:H14"/>
    <mergeCell ref="A20:J22"/>
    <mergeCell ref="C11:F11"/>
    <mergeCell ref="C12:F12"/>
    <mergeCell ref="I23:J23"/>
    <mergeCell ref="I24:J24"/>
    <mergeCell ref="G15:H15"/>
    <mergeCell ref="G16:H16"/>
    <mergeCell ref="G17:H17"/>
    <mergeCell ref="G18:H18"/>
    <mergeCell ref="I13:J13"/>
    <mergeCell ref="G13:H13"/>
    <mergeCell ref="E13:F13"/>
    <mergeCell ref="E14:F14"/>
    <mergeCell ref="E15:F15"/>
    <mergeCell ref="E16:F16"/>
    <mergeCell ref="E17:F17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2025-03-03T03:17:04Z</cp:lastPrinted>
  <dcterms:created xsi:type="dcterms:W3CDTF">2025-02-23T17:31:06Z</dcterms:created>
  <dcterms:modified xsi:type="dcterms:W3CDTF">2025-03-03T03:17:08Z</dcterms:modified>
</cp:coreProperties>
</file>