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ạp hóa\Quản lý\Mẫu hóa đơn\"/>
    </mc:Choice>
  </mc:AlternateContent>
  <xr:revisionPtr revIDLastSave="0" documentId="13_ncr:1_{486E9D0C-FE18-4018-80FB-9EC9533CAEAA}" xr6:coauthVersionLast="47" xr6:coauthVersionMax="47" xr10:uidLastSave="{00000000-0000-0000-0000-000000000000}"/>
  <bookViews>
    <workbookView xWindow="3120" yWindow="720" windowWidth="19065" windowHeight="15480" xr2:uid="{B918B44E-27DD-4491-8071-174082FBED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G14" i="1"/>
  <c r="G15" i="1"/>
  <c r="G16" i="1"/>
  <c r="G17" i="1"/>
  <c r="G18" i="1"/>
  <c r="G19" i="1"/>
  <c r="G12" i="1"/>
  <c r="E21" i="1" l="1"/>
  <c r="E24" i="1" s="1"/>
  <c r="E23" i="1" l="1"/>
</calcChain>
</file>

<file path=xl/sharedStrings.xml><?xml version="1.0" encoding="utf-8"?>
<sst xmlns="http://schemas.openxmlformats.org/spreadsheetml/2006/main" count="39" uniqueCount="39">
  <si>
    <t>VIETCOOK JAPAN</t>
    <phoneticPr fontId="1"/>
  </si>
  <si>
    <r>
      <rPr>
        <sz val="9"/>
        <color rgb="FF71777D"/>
        <rFont val="ＭＳ Ｐ明朝"/>
        <family val="1"/>
        <charset val="128"/>
      </rPr>
      <t>〒</t>
    </r>
    <r>
      <rPr>
        <b/>
        <sz val="9"/>
        <color rgb="FF767676"/>
        <rFont val="Times New Roman"/>
        <family val="1"/>
      </rPr>
      <t>480-0103</t>
    </r>
    <r>
      <rPr>
        <sz val="9"/>
        <color rgb="FF71777D"/>
        <rFont val="Times New Roman"/>
        <family val="1"/>
      </rPr>
      <t> </t>
    </r>
    <r>
      <rPr>
        <sz val="9"/>
        <color rgb="FF71777D"/>
        <rFont val="ＭＳ Ｐ明朝"/>
        <family val="1"/>
        <charset val="128"/>
      </rPr>
      <t>愛知県</t>
    </r>
    <r>
      <rPr>
        <sz val="9"/>
        <color rgb="FF71777D"/>
        <rFont val="Times New Roman"/>
        <family val="1"/>
      </rPr>
      <t xml:space="preserve"> </t>
    </r>
    <r>
      <rPr>
        <sz val="9"/>
        <color rgb="FF71777D"/>
        <rFont val="ＭＳ Ｐ明朝"/>
        <family val="1"/>
        <charset val="128"/>
      </rPr>
      <t>丹羽郡扶桑町柏森辻田</t>
    </r>
    <r>
      <rPr>
        <sz val="9"/>
        <color rgb="FF71777D"/>
        <rFont val="Times New Roman"/>
        <family val="1"/>
      </rPr>
      <t>729 </t>
    </r>
    <phoneticPr fontId="1"/>
  </si>
  <si>
    <t>HÓA ĐƠN BÁN HÀNG</t>
    <phoneticPr fontId="1"/>
  </si>
  <si>
    <r>
      <rPr>
        <sz val="11"/>
        <color theme="1"/>
        <rFont val="ＭＳ Ｐ明朝"/>
        <family val="1"/>
        <charset val="128"/>
      </rPr>
      <t>価格</t>
    </r>
    <rPh sb="0" eb="2">
      <t>カカク</t>
    </rPh>
    <phoneticPr fontId="1"/>
  </si>
  <si>
    <r>
      <rPr>
        <sz val="11"/>
        <color theme="1"/>
        <rFont val="ＭＳ Ｐ明朝"/>
        <family val="1"/>
        <charset val="128"/>
      </rPr>
      <t>割引</t>
    </r>
    <rPh sb="0" eb="2">
      <t>ワリビキ</t>
    </rPh>
    <phoneticPr fontId="1"/>
  </si>
  <si>
    <r>
      <rPr>
        <sz val="11"/>
        <color theme="1"/>
        <rFont val="ＭＳ Ｐ明朝"/>
        <family val="1"/>
        <charset val="128"/>
      </rPr>
      <t>参考</t>
    </r>
    <rPh sb="0" eb="2">
      <t>サンコウ</t>
    </rPh>
    <phoneticPr fontId="1"/>
  </si>
  <si>
    <r>
      <rPr>
        <sz val="11"/>
        <color theme="1"/>
        <rFont val="ＭＳ Ｐ明朝"/>
        <family val="1"/>
        <charset val="128"/>
      </rPr>
      <t>名古屋銀行　</t>
    </r>
    <r>
      <rPr>
        <sz val="11"/>
        <color theme="1"/>
        <rFont val="Times New Roman"/>
        <family val="1"/>
      </rPr>
      <t>3328220 (</t>
    </r>
    <r>
      <rPr>
        <sz val="11"/>
        <color theme="1"/>
        <rFont val="ＭＳ Ｐ明朝"/>
        <family val="1"/>
        <charset val="128"/>
      </rPr>
      <t>扶桑支店</t>
    </r>
    <r>
      <rPr>
        <sz val="11"/>
        <color theme="1"/>
        <rFont val="Times New Roman"/>
        <family val="1"/>
      </rPr>
      <t>)</t>
    </r>
    <r>
      <rPr>
        <sz val="11"/>
        <color theme="1"/>
        <rFont val="ＭＳ Ｐ明朝"/>
        <family val="1"/>
        <charset val="128"/>
      </rPr>
      <t>　</t>
    </r>
    <rPh sb="0" eb="3">
      <t>ナゴヤ</t>
    </rPh>
    <rPh sb="3" eb="5">
      <t>ギンコウ</t>
    </rPh>
    <rPh sb="17" eb="19">
      <t>シテン</t>
    </rPh>
    <phoneticPr fontId="1"/>
  </si>
  <si>
    <r>
      <t>VTECH</t>
    </r>
    <r>
      <rPr>
        <b/>
        <sz val="11"/>
        <color theme="1"/>
        <rFont val="ＭＳ Ｐ明朝"/>
        <family val="1"/>
        <charset val="128"/>
      </rPr>
      <t>ジャパン株式会社</t>
    </r>
    <rPh sb="9" eb="13">
      <t>カブシキカイシャ</t>
    </rPh>
    <phoneticPr fontId="1"/>
  </si>
  <si>
    <r>
      <rPr>
        <b/>
        <sz val="15"/>
        <color theme="1"/>
        <rFont val="ＭＳ Ｐ明朝"/>
        <family val="1"/>
        <charset val="128"/>
      </rPr>
      <t>納品書・請求書</t>
    </r>
    <rPh sb="0" eb="3">
      <t>ノウヒンショ</t>
    </rPh>
    <rPh sb="4" eb="7">
      <t>セイキュウショ</t>
    </rPh>
    <phoneticPr fontId="1"/>
  </si>
  <si>
    <r>
      <rPr>
        <sz val="11"/>
        <color theme="1"/>
        <rFont val="ＭＳ Ｐ明朝"/>
        <family val="1"/>
        <charset val="128"/>
      </rPr>
      <t xml:space="preserve">お客様 </t>
    </r>
    <r>
      <rPr>
        <sz val="11"/>
        <color theme="1"/>
        <rFont val="Times New Roman"/>
        <family val="1"/>
      </rPr>
      <t>:</t>
    </r>
    <r>
      <rPr>
        <sz val="11"/>
        <color theme="1"/>
        <rFont val="ＭＳ Ｐ明朝"/>
        <family val="1"/>
        <charset val="128"/>
      </rPr>
      <t>　合同会社</t>
    </r>
    <r>
      <rPr>
        <sz val="11"/>
        <color theme="1"/>
        <rFont val="Times New Roman"/>
        <family val="1"/>
      </rPr>
      <t>TRUONG GIANG</t>
    </r>
    <rPh sb="1" eb="3">
      <t>キャクサマ</t>
    </rPh>
    <rPh sb="6" eb="10">
      <t>ゴウドウガイシャ</t>
    </rPh>
    <phoneticPr fontId="1"/>
  </si>
  <si>
    <r>
      <rPr>
        <sz val="11"/>
        <color theme="1"/>
        <rFont val="ＭＳ Ｐ明朝"/>
        <family val="1"/>
        <charset val="128"/>
      </rPr>
      <t>住所</t>
    </r>
    <r>
      <rPr>
        <sz val="11"/>
        <color theme="1"/>
        <rFont val="Times New Roman"/>
        <family val="1"/>
      </rPr>
      <t xml:space="preserve"> :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 xml:space="preserve">802-0001  </t>
    </r>
    <r>
      <rPr>
        <sz val="11"/>
        <color theme="1"/>
        <rFont val="ＭＳ Ｐ明朝"/>
        <family val="1"/>
        <charset val="128"/>
      </rPr>
      <t>福岡県北九州市小倉北区浅野</t>
    </r>
    <r>
      <rPr>
        <sz val="11"/>
        <color theme="1"/>
        <rFont val="Times New Roman"/>
        <family val="1"/>
      </rPr>
      <t>2</t>
    </r>
    <r>
      <rPr>
        <sz val="11"/>
        <color theme="1"/>
        <rFont val="ＭＳ Ｐ明朝"/>
        <family val="1"/>
        <charset val="128"/>
      </rPr>
      <t>丁目</t>
    </r>
    <r>
      <rPr>
        <sz val="11"/>
        <color theme="1"/>
        <rFont val="Times New Roman"/>
        <family val="1"/>
      </rPr>
      <t>18</t>
    </r>
    <r>
      <rPr>
        <sz val="11"/>
        <color theme="1"/>
        <rFont val="ＭＳ Ｐ明朝"/>
        <family val="1"/>
        <charset val="128"/>
      </rPr>
      <t>番地</t>
    </r>
    <r>
      <rPr>
        <sz val="11"/>
        <color theme="1"/>
        <rFont val="Times New Roman"/>
        <family val="1"/>
      </rPr>
      <t>29</t>
    </r>
    <r>
      <rPr>
        <sz val="11"/>
        <color theme="1"/>
        <rFont val="ＭＳ Ｐ明朝"/>
        <family val="1"/>
        <charset val="128"/>
      </rPr>
      <t>号</t>
    </r>
    <rPh sb="0" eb="2">
      <t>ジュウショ</t>
    </rPh>
    <rPh sb="15" eb="28">
      <t>フクオカケンキタキュウシュウシコクラキタクアサノ</t>
    </rPh>
    <rPh sb="29" eb="31">
      <t>チョウメ</t>
    </rPh>
    <rPh sb="33" eb="35">
      <t>バンチ</t>
    </rPh>
    <rPh sb="37" eb="38">
      <t>ゴウ</t>
    </rPh>
    <phoneticPr fontId="1"/>
  </si>
  <si>
    <r>
      <rPr>
        <sz val="11"/>
        <color theme="1"/>
        <rFont val="ＭＳ Ｐ明朝"/>
        <family val="1"/>
        <charset val="128"/>
      </rPr>
      <t>電話番号</t>
    </r>
    <r>
      <rPr>
        <sz val="11"/>
        <color theme="1"/>
        <rFont val="Times New Roman"/>
        <family val="1"/>
      </rPr>
      <t>: 080-2372-6019</t>
    </r>
    <rPh sb="0" eb="4">
      <t>デンワバンゴウ</t>
    </rPh>
    <phoneticPr fontId="1"/>
  </si>
  <si>
    <t>振込先 :VTECH株式会社</t>
    <rPh sb="0" eb="3">
      <t>フリコミサキ</t>
    </rPh>
    <phoneticPr fontId="1"/>
  </si>
  <si>
    <r>
      <rPr>
        <sz val="11"/>
        <color theme="1"/>
        <rFont val="ＭＳ Ｐ明朝"/>
        <family val="1"/>
        <charset val="128"/>
      </rPr>
      <t>内税</t>
    </r>
    <r>
      <rPr>
        <sz val="11"/>
        <color theme="1"/>
        <rFont val="Times New Roman"/>
        <family val="1"/>
      </rPr>
      <t>(8%)</t>
    </r>
    <rPh sb="0" eb="2">
      <t>ウチゼイ</t>
    </rPh>
    <phoneticPr fontId="1"/>
  </si>
  <si>
    <r>
      <rPr>
        <b/>
        <sz val="11"/>
        <color theme="1"/>
        <rFont val="ＭＳ Ｐ明朝"/>
        <family val="1"/>
        <charset val="128"/>
      </rPr>
      <t>番号</t>
    </r>
    <rPh sb="0" eb="2">
      <t>バンゴウ</t>
    </rPh>
    <phoneticPr fontId="1"/>
  </si>
  <si>
    <r>
      <rPr>
        <b/>
        <sz val="11"/>
        <color theme="1"/>
        <rFont val="ＭＳ Ｐ明朝"/>
        <family val="1"/>
        <charset val="128"/>
      </rPr>
      <t>品目</t>
    </r>
    <rPh sb="0" eb="2">
      <t>ヒンモク</t>
    </rPh>
    <phoneticPr fontId="1"/>
  </si>
  <si>
    <r>
      <rPr>
        <b/>
        <sz val="11"/>
        <color theme="1"/>
        <rFont val="ＭＳ Ｐ明朝"/>
        <family val="1"/>
        <charset val="128"/>
      </rPr>
      <t>品名</t>
    </r>
    <rPh sb="0" eb="2">
      <t>ヒンメイ</t>
    </rPh>
    <phoneticPr fontId="1"/>
  </si>
  <si>
    <r>
      <rPr>
        <b/>
        <sz val="11"/>
        <color theme="1"/>
        <rFont val="ＭＳ Ｐ明朝"/>
        <family val="1"/>
        <charset val="128"/>
      </rPr>
      <t>単位</t>
    </r>
    <rPh sb="0" eb="2">
      <t>タンイ</t>
    </rPh>
    <phoneticPr fontId="1"/>
  </si>
  <si>
    <r>
      <rPr>
        <b/>
        <sz val="11"/>
        <color theme="1"/>
        <rFont val="ＭＳ Ｐ明朝"/>
        <family val="1"/>
        <charset val="128"/>
      </rPr>
      <t>個数</t>
    </r>
    <rPh sb="0" eb="2">
      <t>コスウ</t>
    </rPh>
    <phoneticPr fontId="1"/>
  </si>
  <si>
    <r>
      <rPr>
        <b/>
        <sz val="11"/>
        <color theme="1"/>
        <rFont val="ＭＳ Ｐ明朝"/>
        <family val="1"/>
        <charset val="128"/>
      </rPr>
      <t>単価</t>
    </r>
    <rPh sb="0" eb="2">
      <t>タンカ</t>
    </rPh>
    <phoneticPr fontId="1"/>
  </si>
  <si>
    <r>
      <rPr>
        <b/>
        <sz val="11"/>
        <color theme="1"/>
        <rFont val="ＭＳ Ｐ明朝"/>
        <family val="1"/>
        <charset val="128"/>
      </rPr>
      <t>全額</t>
    </r>
    <rPh sb="0" eb="2">
      <t>ゼンガク</t>
    </rPh>
    <phoneticPr fontId="1"/>
  </si>
  <si>
    <t>Giò lụa</t>
    <phoneticPr fontId="1"/>
  </si>
  <si>
    <t xml:space="preserve">Giò bò </t>
    <phoneticPr fontId="1"/>
  </si>
  <si>
    <t>Giò bì</t>
    <phoneticPr fontId="1"/>
  </si>
  <si>
    <t>Giò tai</t>
    <phoneticPr fontId="1"/>
  </si>
  <si>
    <t>Chả lụa</t>
    <phoneticPr fontId="1"/>
  </si>
  <si>
    <t>Chả quế</t>
    <phoneticPr fontId="1"/>
  </si>
  <si>
    <t>Chả mực</t>
    <phoneticPr fontId="1"/>
  </si>
  <si>
    <t>Chả cốm</t>
    <phoneticPr fontId="1"/>
  </si>
  <si>
    <t>VC2022255</t>
    <phoneticPr fontId="1"/>
  </si>
  <si>
    <t>VC2022257</t>
    <phoneticPr fontId="1"/>
  </si>
  <si>
    <t>VC2022252</t>
    <phoneticPr fontId="1"/>
  </si>
  <si>
    <t>VC2022254</t>
    <phoneticPr fontId="1"/>
  </si>
  <si>
    <t>VC202254</t>
    <phoneticPr fontId="1"/>
  </si>
  <si>
    <t>VC2021244</t>
    <phoneticPr fontId="1"/>
  </si>
  <si>
    <t>VC2020447</t>
    <phoneticPr fontId="1"/>
  </si>
  <si>
    <t>VC2022447</t>
    <phoneticPr fontId="1"/>
  </si>
  <si>
    <r>
      <rPr>
        <b/>
        <sz val="22"/>
        <color theme="1"/>
        <rFont val="ＭＳ Ｐ明朝"/>
        <family val="1"/>
        <charset val="128"/>
      </rPr>
      <t>全額</t>
    </r>
    <rPh sb="0" eb="2">
      <t>ゼンガク</t>
    </rPh>
    <phoneticPr fontId="1"/>
  </si>
  <si>
    <r>
      <t>2023</t>
    </r>
    <r>
      <rPr>
        <sz val="11"/>
        <color theme="1"/>
        <rFont val="ＭＳ Ｐ明朝"/>
        <family val="1"/>
        <charset val="128"/>
      </rPr>
      <t>年</t>
    </r>
    <r>
      <rPr>
        <sz val="11"/>
        <color theme="1"/>
        <rFont val="Times New Roman"/>
        <family val="1"/>
      </rPr>
      <t>05</t>
    </r>
    <r>
      <rPr>
        <sz val="11"/>
        <color theme="1"/>
        <rFont val="ＭＳ Ｐ明朝"/>
        <family val="1"/>
        <charset val="128"/>
      </rPr>
      <t>月</t>
    </r>
    <r>
      <rPr>
        <sz val="11"/>
        <color theme="1"/>
        <rFont val="Times New Roman"/>
        <family val="1"/>
      </rPr>
      <t>05</t>
    </r>
    <r>
      <rPr>
        <sz val="11"/>
        <color theme="1"/>
        <rFont val="ＭＳ Ｐ明朝"/>
        <family val="1"/>
        <charset val="128"/>
      </rPr>
      <t>日</t>
    </r>
    <rPh sb="4" eb="5">
      <t>ネン</t>
    </rPh>
    <rPh sb="7" eb="8">
      <t>ガツ</t>
    </rPh>
    <rPh sb="10" eb="11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</si>
</sst>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¥-804]#,##0"/>
  </numFmts>
  <fonts count="1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sz val="9"/>
      <color rgb="FF71777D"/>
      <name val="ＭＳ Ｐ明朝"/>
      <family val="1"/>
      <charset val="128"/>
    </font>
    <font>
      <sz val="11"/>
      <color theme="1"/>
      <name val="Times New Roman"/>
      <family val="1"/>
    </font>
    <font>
      <sz val="9"/>
      <color rgb="FF71777D"/>
      <name val="Times New Roman"/>
      <family val="1"/>
    </font>
    <font>
      <b/>
      <sz val="9"/>
      <color rgb="FF767676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ＭＳ Ｐ明朝"/>
      <family val="1"/>
      <charset val="128"/>
    </font>
    <font>
      <b/>
      <sz val="15"/>
      <color theme="1"/>
      <name val="Times New Roman"/>
      <family val="1"/>
    </font>
    <font>
      <b/>
      <sz val="15"/>
      <color theme="1"/>
      <name val="ＭＳ Ｐ明朝"/>
      <family val="1"/>
      <charset val="128"/>
    </font>
    <font>
      <sz val="11"/>
      <color theme="1"/>
      <name val="Times New Roman"/>
      <family val="1"/>
      <charset val="128"/>
    </font>
    <font>
      <b/>
      <sz val="22"/>
      <color theme="1"/>
      <name val="Times New Roman"/>
      <family val="1"/>
    </font>
    <font>
      <b/>
      <sz val="22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12" fillId="0" borderId="1" xfId="0" applyFont="1" applyBorder="1">
      <alignment vertical="center"/>
    </xf>
    <xf numFmtId="0" fontId="8" fillId="0" borderId="1" xfId="0" applyFont="1" applyBorder="1" applyAlignment="1">
      <alignment horizontal="center" vertical="center"/>
    </xf>
    <xf numFmtId="0" fontId="13" fillId="0" borderId="1" xfId="0" applyFont="1" applyBorder="1">
      <alignment vertical="center"/>
    </xf>
    <xf numFmtId="176" fontId="4" fillId="0" borderId="2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4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76" fontId="13" fillId="0" borderId="2" xfId="0" applyNumberFormat="1" applyFont="1" applyBorder="1" applyAlignment="1">
      <alignment horizontal="center" vertical="center"/>
    </xf>
    <xf numFmtId="176" fontId="13" fillId="0" borderId="3" xfId="0" applyNumberFormat="1" applyFont="1" applyBorder="1" applyAlignment="1">
      <alignment horizontal="center" vertical="center"/>
    </xf>
    <xf numFmtId="176" fontId="13" fillId="0" borderId="4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685800</xdr:colOff>
      <xdr:row>0</xdr:row>
      <xdr:rowOff>76200</xdr:rowOff>
    </xdr:from>
    <xdr:to>
      <xdr:col>7</xdr:col>
      <xdr:colOff>720252</xdr:colOff>
      <xdr:row>4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EA7663-1348-55F3-DC50-0D02D07EA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00550" y="76200"/>
          <a:ext cx="1520352" cy="1181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8C973-01AA-43CB-8D57-5AE2B20D8EF0}">
  <dimension ref="A1:H28"/>
  <sheetViews>
    <sheetView tabSelected="1" workbookViewId="0">
      <selection activeCell="K20" sqref="K20"/>
    </sheetView>
  </sheetViews>
  <sheetFormatPr defaultRowHeight="15" x14ac:dyDescent="0.4"/>
  <cols>
    <col min="1" max="8" width="9.75" style="1" customWidth="1"/>
    <col min="9" max="16384" width="9" style="1"/>
  </cols>
  <sheetData>
    <row r="1" spans="1:8" ht="19.5" customHeight="1" x14ac:dyDescent="0.4">
      <c r="A1" s="20" t="s">
        <v>0</v>
      </c>
      <c r="B1" s="20"/>
      <c r="C1" s="18" t="s">
        <v>7</v>
      </c>
      <c r="D1" s="18"/>
      <c r="E1" s="18"/>
      <c r="F1" s="18"/>
      <c r="G1" s="10"/>
      <c r="H1" s="10"/>
    </row>
    <row r="2" spans="1:8" ht="19.5" customHeight="1" x14ac:dyDescent="0.4">
      <c r="A2" s="20"/>
      <c r="B2" s="20"/>
      <c r="C2" s="19" t="s">
        <v>1</v>
      </c>
      <c r="D2" s="19"/>
      <c r="E2" s="19"/>
      <c r="F2" s="19"/>
      <c r="G2" s="10"/>
      <c r="H2" s="10"/>
    </row>
    <row r="3" spans="1:8" x14ac:dyDescent="0.4">
      <c r="A3" s="20"/>
      <c r="B3" s="20"/>
      <c r="G3" s="10"/>
      <c r="H3" s="10"/>
    </row>
    <row r="4" spans="1:8" ht="24" customHeight="1" x14ac:dyDescent="0.4">
      <c r="A4" s="9" t="s">
        <v>2</v>
      </c>
      <c r="B4" s="9"/>
      <c r="C4" s="9"/>
      <c r="D4" s="9"/>
      <c r="E4" s="9"/>
      <c r="F4" s="9"/>
      <c r="G4" s="10"/>
      <c r="H4" s="10"/>
    </row>
    <row r="5" spans="1:8" ht="23.25" customHeight="1" x14ac:dyDescent="0.4">
      <c r="A5" s="9" t="s">
        <v>8</v>
      </c>
      <c r="B5" s="9"/>
      <c r="C5" s="9"/>
      <c r="D5" s="9"/>
      <c r="E5" s="9"/>
      <c r="F5" s="9"/>
      <c r="G5" s="10"/>
      <c r="H5" s="10"/>
    </row>
    <row r="6" spans="1:8" ht="24" customHeight="1" x14ac:dyDescent="0.4">
      <c r="A6" s="10" t="s">
        <v>38</v>
      </c>
      <c r="B6" s="10"/>
      <c r="C6" s="10"/>
      <c r="D6" s="10"/>
      <c r="E6" s="10"/>
      <c r="F6" s="10"/>
      <c r="G6" s="10"/>
    </row>
    <row r="7" spans="1:8" x14ac:dyDescent="0.4">
      <c r="A7" s="21" t="s">
        <v>9</v>
      </c>
      <c r="B7" s="22"/>
      <c r="C7" s="22"/>
      <c r="D7" s="22"/>
      <c r="E7" s="22"/>
      <c r="F7" s="22"/>
      <c r="G7" s="22"/>
    </row>
    <row r="8" spans="1:8" x14ac:dyDescent="0.4">
      <c r="A8" s="21" t="s">
        <v>10</v>
      </c>
      <c r="B8" s="22"/>
      <c r="C8" s="22"/>
      <c r="D8" s="22"/>
      <c r="E8" s="22"/>
      <c r="F8" s="22"/>
      <c r="G8" s="22"/>
    </row>
    <row r="9" spans="1:8" x14ac:dyDescent="0.4">
      <c r="A9" s="21" t="s">
        <v>11</v>
      </c>
      <c r="B9" s="22"/>
      <c r="C9" s="22"/>
      <c r="D9" s="22"/>
      <c r="E9" s="22"/>
      <c r="F9" s="22"/>
      <c r="G9" s="22"/>
    </row>
    <row r="11" spans="1:8" x14ac:dyDescent="0.4">
      <c r="A11" s="4" t="s">
        <v>14</v>
      </c>
      <c r="B11" s="4" t="s">
        <v>15</v>
      </c>
      <c r="C11" s="4" t="s">
        <v>16</v>
      </c>
      <c r="D11" s="4" t="s">
        <v>17</v>
      </c>
      <c r="E11" s="4" t="s">
        <v>18</v>
      </c>
      <c r="F11" s="4" t="s">
        <v>19</v>
      </c>
      <c r="G11" s="4" t="s">
        <v>20</v>
      </c>
    </row>
    <row r="12" spans="1:8" x14ac:dyDescent="0.4">
      <c r="A12" s="2">
        <v>1</v>
      </c>
      <c r="B12" s="2" t="s">
        <v>29</v>
      </c>
      <c r="C12" s="2" t="s">
        <v>21</v>
      </c>
      <c r="D12" s="2"/>
      <c r="E12" s="2">
        <v>300</v>
      </c>
      <c r="F12" s="2">
        <v>500</v>
      </c>
      <c r="G12" s="2">
        <f>E12*F12</f>
        <v>150000</v>
      </c>
    </row>
    <row r="13" spans="1:8" x14ac:dyDescent="0.4">
      <c r="A13" s="2">
        <v>2</v>
      </c>
      <c r="B13" s="2" t="s">
        <v>31</v>
      </c>
      <c r="C13" s="2" t="s">
        <v>22</v>
      </c>
      <c r="D13" s="2"/>
      <c r="E13" s="2">
        <v>300</v>
      </c>
      <c r="F13" s="2">
        <v>650</v>
      </c>
      <c r="G13" s="2">
        <f t="shared" ref="G13:G19" si="0">E13*F13</f>
        <v>195000</v>
      </c>
    </row>
    <row r="14" spans="1:8" x14ac:dyDescent="0.4">
      <c r="A14" s="2">
        <v>3</v>
      </c>
      <c r="B14" s="2" t="s">
        <v>36</v>
      </c>
      <c r="C14" s="2" t="s">
        <v>23</v>
      </c>
      <c r="D14" s="2"/>
      <c r="E14" s="2">
        <v>500</v>
      </c>
      <c r="F14" s="2">
        <v>570</v>
      </c>
      <c r="G14" s="2">
        <f t="shared" si="0"/>
        <v>285000</v>
      </c>
    </row>
    <row r="15" spans="1:8" x14ac:dyDescent="0.4">
      <c r="A15" s="2">
        <v>4</v>
      </c>
      <c r="B15" s="2" t="s">
        <v>30</v>
      </c>
      <c r="C15" s="2" t="s">
        <v>24</v>
      </c>
      <c r="D15" s="2"/>
      <c r="E15" s="2">
        <v>50</v>
      </c>
      <c r="F15" s="2">
        <v>570</v>
      </c>
      <c r="G15" s="2">
        <f t="shared" si="0"/>
        <v>28500</v>
      </c>
    </row>
    <row r="16" spans="1:8" x14ac:dyDescent="0.4">
      <c r="A16" s="2">
        <v>5</v>
      </c>
      <c r="B16" s="2" t="s">
        <v>34</v>
      </c>
      <c r="C16" s="2" t="s">
        <v>25</v>
      </c>
      <c r="D16" s="2"/>
      <c r="E16" s="2">
        <v>50</v>
      </c>
      <c r="F16" s="2">
        <v>620</v>
      </c>
      <c r="G16" s="2">
        <f t="shared" si="0"/>
        <v>31000</v>
      </c>
    </row>
    <row r="17" spans="1:7" x14ac:dyDescent="0.4">
      <c r="A17" s="2">
        <v>6</v>
      </c>
      <c r="B17" s="2" t="s">
        <v>35</v>
      </c>
      <c r="C17" s="2" t="s">
        <v>26</v>
      </c>
      <c r="D17" s="2"/>
      <c r="E17" s="2">
        <v>50</v>
      </c>
      <c r="F17" s="2">
        <v>620</v>
      </c>
      <c r="G17" s="2">
        <f t="shared" si="0"/>
        <v>31000</v>
      </c>
    </row>
    <row r="18" spans="1:7" x14ac:dyDescent="0.4">
      <c r="A18" s="2">
        <v>7</v>
      </c>
      <c r="B18" s="2" t="s">
        <v>32</v>
      </c>
      <c r="C18" s="2" t="s">
        <v>27</v>
      </c>
      <c r="D18" s="2"/>
      <c r="E18" s="2">
        <v>50</v>
      </c>
      <c r="F18" s="2">
        <v>750</v>
      </c>
      <c r="G18" s="2">
        <f t="shared" si="0"/>
        <v>37500</v>
      </c>
    </row>
    <row r="19" spans="1:7" x14ac:dyDescent="0.4">
      <c r="A19" s="2">
        <v>8</v>
      </c>
      <c r="B19" s="2" t="s">
        <v>33</v>
      </c>
      <c r="C19" s="2" t="s">
        <v>28</v>
      </c>
      <c r="D19" s="2"/>
      <c r="E19" s="2">
        <v>60</v>
      </c>
      <c r="F19" s="2">
        <v>700</v>
      </c>
      <c r="G19" s="2">
        <f t="shared" si="0"/>
        <v>42000</v>
      </c>
    </row>
    <row r="21" spans="1:7" x14ac:dyDescent="0.4">
      <c r="D21" s="2" t="s">
        <v>3</v>
      </c>
      <c r="E21" s="6">
        <f>SUM(G12:G19)</f>
        <v>800000</v>
      </c>
      <c r="F21" s="7"/>
      <c r="G21" s="8"/>
    </row>
    <row r="22" spans="1:7" x14ac:dyDescent="0.4">
      <c r="D22" s="2" t="s">
        <v>4</v>
      </c>
      <c r="E22" s="6">
        <v>0</v>
      </c>
      <c r="F22" s="7"/>
      <c r="G22" s="8"/>
    </row>
    <row r="23" spans="1:7" x14ac:dyDescent="0.4">
      <c r="D23" s="3" t="s">
        <v>13</v>
      </c>
      <c r="E23" s="6">
        <f>E21*0.08</f>
        <v>64000</v>
      </c>
      <c r="F23" s="7"/>
      <c r="G23" s="8"/>
    </row>
    <row r="24" spans="1:7" ht="26.25" customHeight="1" x14ac:dyDescent="0.4">
      <c r="D24" s="5" t="s">
        <v>37</v>
      </c>
      <c r="E24" s="15">
        <f>SUM(E21:G22)</f>
        <v>800000</v>
      </c>
      <c r="F24" s="16"/>
      <c r="G24" s="17"/>
    </row>
    <row r="25" spans="1:7" ht="16.5" customHeight="1" x14ac:dyDescent="0.4"/>
    <row r="26" spans="1:7" x14ac:dyDescent="0.4">
      <c r="A26" s="14" t="s">
        <v>5</v>
      </c>
      <c r="B26" s="14"/>
      <c r="C26" s="14"/>
      <c r="D26" s="14"/>
    </row>
    <row r="27" spans="1:7" x14ac:dyDescent="0.4">
      <c r="A27" s="11" t="s">
        <v>12</v>
      </c>
      <c r="B27" s="12"/>
      <c r="C27" s="12"/>
      <c r="D27" s="13"/>
    </row>
    <row r="28" spans="1:7" x14ac:dyDescent="0.4">
      <c r="A28" s="3" t="s">
        <v>6</v>
      </c>
      <c r="B28" s="3"/>
      <c r="C28" s="3"/>
      <c r="D28" s="3"/>
    </row>
  </sheetData>
  <mergeCells count="16">
    <mergeCell ref="A27:D27"/>
    <mergeCell ref="A26:D26"/>
    <mergeCell ref="E24:G24"/>
    <mergeCell ref="E23:G23"/>
    <mergeCell ref="C1:F1"/>
    <mergeCell ref="C2:F2"/>
    <mergeCell ref="A1:B3"/>
    <mergeCell ref="A6:G6"/>
    <mergeCell ref="A7:G7"/>
    <mergeCell ref="A8:G8"/>
    <mergeCell ref="A9:G9"/>
    <mergeCell ref="E22:G22"/>
    <mergeCell ref="E21:G21"/>
    <mergeCell ref="A4:F4"/>
    <mergeCell ref="A5:F5"/>
    <mergeCell ref="G1:H5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グェン　ドック ギャ</dc:creator>
  <cp:lastModifiedBy>グェン　ドック ギャ</cp:lastModifiedBy>
  <cp:lastPrinted>2024-04-16T04:34:50Z</cp:lastPrinted>
  <dcterms:created xsi:type="dcterms:W3CDTF">2024-04-15T22:52:08Z</dcterms:created>
  <dcterms:modified xsi:type="dcterms:W3CDTF">2024-04-17T00:45:05Z</dcterms:modified>
</cp:coreProperties>
</file>