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VeL infinity\Desktop\Tạp hóa\Quản lý\Mẫu hóa đơn\"/>
    </mc:Choice>
  </mc:AlternateContent>
  <xr:revisionPtr revIDLastSave="0" documentId="13_ncr:1_{C5B5076D-DC26-44C9-BC3B-7D0124CBED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91029"/>
</workbook>
</file>

<file path=xl/calcChain.xml><?xml version="1.0" encoding="utf-8"?>
<calcChain xmlns="http://schemas.openxmlformats.org/spreadsheetml/2006/main">
  <c r="L12" i="1" l="1"/>
  <c r="L13" i="1"/>
  <c r="L14" i="1"/>
  <c r="L15" i="1"/>
  <c r="H17" i="1" l="1"/>
  <c r="L11" i="1"/>
  <c r="L17" i="1" s="1"/>
  <c r="H19" i="1" l="1"/>
  <c r="D9" i="1"/>
  <c r="F9" i="1"/>
  <c r="H9" i="1" l="1"/>
  <c r="K9" i="1" s="1"/>
  <c r="C7" i="1" s="1"/>
</calcChain>
</file>

<file path=xl/sharedStrings.xml><?xml version="1.0" encoding="utf-8"?>
<sst xmlns="http://schemas.openxmlformats.org/spreadsheetml/2006/main" count="44" uniqueCount="41">
  <si>
    <r>
      <rPr>
        <sz val="22"/>
        <rFont val="kiloji"/>
        <family val="3"/>
      </rPr>
      <t>請求書</t>
    </r>
  </si>
  <si>
    <r>
      <rPr>
        <sz val="7"/>
        <rFont val="kiloji"/>
        <family val="3"/>
      </rPr>
      <t xml:space="preserve">作成日
</t>
    </r>
    <r>
      <rPr>
        <sz val="7"/>
        <rFont val="Times New Roman"/>
        <family val="1"/>
      </rPr>
      <t>(Ngày tạo hóa đơn)</t>
    </r>
  </si>
  <si>
    <r>
      <rPr>
        <sz val="9.5"/>
        <rFont val="Times New Roman"/>
        <family val="1"/>
      </rPr>
      <t>TEL / FAX : 0536257592</t>
    </r>
  </si>
  <si>
    <r>
      <rPr>
        <sz val="8.5"/>
        <rFont val="Times New Roman"/>
        <family val="1"/>
      </rPr>
      <t>FAX :</t>
    </r>
  </si>
  <si>
    <r>
      <rPr>
        <sz val="8.5"/>
        <rFont val="kiloji"/>
        <family val="3"/>
      </rPr>
      <t>下記の通り御請求申し上げます。</t>
    </r>
  </si>
  <si>
    <r>
      <rPr>
        <sz val="9.5"/>
        <rFont val="kiloji"/>
        <family val="3"/>
      </rPr>
      <t>ご請求金額</t>
    </r>
  </si>
  <si>
    <r>
      <rPr>
        <sz val="6.5"/>
        <rFont val="kiloji"/>
        <family val="3"/>
      </rPr>
      <t>（税込）</t>
    </r>
  </si>
  <si>
    <r>
      <rPr>
        <sz val="9.5"/>
        <rFont val="ＭＳ ゴシック"/>
        <family val="3"/>
        <charset val="128"/>
      </rPr>
      <t>登録番号：</t>
    </r>
    <r>
      <rPr>
        <sz val="9.5"/>
        <rFont val="Times New Roman"/>
        <family val="1"/>
      </rPr>
      <t>T1180303004778</t>
    </r>
    <phoneticPr fontId="14"/>
  </si>
  <si>
    <t>合同会社TRUONG GIANG</t>
    <rPh sb="0" eb="4">
      <t>ゴウドウガイシャ</t>
    </rPh>
    <phoneticPr fontId="14"/>
  </si>
  <si>
    <t>TEL :  080-2372-6019</t>
    <phoneticPr fontId="14"/>
  </si>
  <si>
    <r>
      <rPr>
        <sz val="13"/>
        <rFont val="kiloji"/>
        <family val="3"/>
      </rPr>
      <t>合計金額（税抜</t>
    </r>
    <r>
      <rPr>
        <sz val="13"/>
        <rFont val="Times New Roman"/>
        <family val="1"/>
      </rPr>
      <t>) 8%</t>
    </r>
  </si>
  <si>
    <r>
      <rPr>
        <sz val="13"/>
        <rFont val="kiloji"/>
        <family val="3"/>
      </rPr>
      <t>消費税額合計</t>
    </r>
  </si>
  <si>
    <r>
      <rPr>
        <sz val="13"/>
        <rFont val="kiloji"/>
        <family val="3"/>
      </rPr>
      <t>合計金額（税抜</t>
    </r>
    <r>
      <rPr>
        <sz val="13"/>
        <rFont val="Times New Roman"/>
        <family val="1"/>
      </rPr>
      <t>) 10%</t>
    </r>
  </si>
  <si>
    <r>
      <rPr>
        <sz val="13"/>
        <rFont val="kiloji"/>
        <family val="3"/>
      </rPr>
      <t>合計（税込</t>
    </r>
    <r>
      <rPr>
        <sz val="13"/>
        <rFont val="Times New Roman"/>
        <family val="1"/>
      </rPr>
      <t>)</t>
    </r>
  </si>
  <si>
    <t>NO.</t>
  </si>
  <si>
    <r>
      <rPr>
        <sz val="8"/>
        <rFont val="kiloji"/>
        <family val="3"/>
      </rPr>
      <t xml:space="preserve">取引日 </t>
    </r>
    <r>
      <rPr>
        <sz val="8"/>
        <rFont val="Times New Roman"/>
        <family val="1"/>
      </rPr>
      <t>(Ngày giao dịch)</t>
    </r>
  </si>
  <si>
    <r>
      <rPr>
        <sz val="8"/>
        <rFont val="kiloji"/>
        <family val="3"/>
      </rPr>
      <t xml:space="preserve">商品名
</t>
    </r>
    <r>
      <rPr>
        <sz val="8"/>
        <rFont val="Times New Roman"/>
        <family val="1"/>
      </rPr>
      <t>(Tên sản phẩm)</t>
    </r>
  </si>
  <si>
    <r>
      <rPr>
        <sz val="8"/>
        <rFont val="kiloji"/>
        <family val="3"/>
      </rPr>
      <t xml:space="preserve">税
</t>
    </r>
    <r>
      <rPr>
        <sz val="8"/>
        <rFont val="Times New Roman"/>
        <family val="1"/>
      </rPr>
      <t>(Thuế)</t>
    </r>
  </si>
  <si>
    <r>
      <rPr>
        <sz val="8"/>
        <rFont val="kiloji"/>
        <family val="3"/>
      </rPr>
      <t xml:space="preserve">単位
</t>
    </r>
    <r>
      <rPr>
        <sz val="8"/>
        <rFont val="Times New Roman"/>
        <family val="1"/>
      </rPr>
      <t>(Đơn vị tính)</t>
    </r>
  </si>
  <si>
    <r>
      <rPr>
        <sz val="8"/>
        <rFont val="kiloji"/>
        <family val="3"/>
      </rPr>
      <t xml:space="preserve">数量
</t>
    </r>
    <r>
      <rPr>
        <sz val="8"/>
        <rFont val="Times New Roman"/>
        <family val="1"/>
      </rPr>
      <t>(Số lượng)</t>
    </r>
  </si>
  <si>
    <r>
      <rPr>
        <sz val="8"/>
        <rFont val="kiloji"/>
        <family val="3"/>
      </rPr>
      <t xml:space="preserve">単価（税込）
</t>
    </r>
    <r>
      <rPr>
        <sz val="8"/>
        <rFont val="Times New Roman"/>
        <family val="1"/>
      </rPr>
      <t>(Đơn giá đã bao gồm thuế)</t>
    </r>
  </si>
  <si>
    <r>
      <rPr>
        <sz val="8"/>
        <rFont val="kiloji"/>
        <family val="3"/>
      </rPr>
      <t xml:space="preserve">合計（税込） </t>
    </r>
    <r>
      <rPr>
        <sz val="8"/>
        <rFont val="Times New Roman"/>
        <family val="1"/>
      </rPr>
      <t>(Tổng cộng đã bao gồm thuế)</t>
    </r>
  </si>
  <si>
    <r>
      <rPr>
        <b/>
        <sz val="10"/>
        <rFont val="kiloji"/>
        <family val="3"/>
      </rPr>
      <t>御買上額</t>
    </r>
  </si>
  <si>
    <r>
      <rPr>
        <b/>
        <sz val="10"/>
        <rFont val="kiloji"/>
        <family val="3"/>
      </rPr>
      <t>消費税額</t>
    </r>
  </si>
  <si>
    <r>
      <rPr>
        <b/>
        <sz val="10"/>
        <rFont val="kiloji"/>
        <family val="3"/>
      </rPr>
      <t>御買上計</t>
    </r>
  </si>
  <si>
    <r>
      <rPr>
        <b/>
        <sz val="10"/>
        <rFont val="kiloji"/>
        <family val="3"/>
      </rPr>
      <t>今回卸請求額</t>
    </r>
  </si>
  <si>
    <t>Túi bóng</t>
    <phoneticPr fontId="14"/>
  </si>
  <si>
    <t>消費税額合計</t>
    <phoneticPr fontId="14"/>
  </si>
  <si>
    <t>Cái</t>
    <phoneticPr fontId="14"/>
  </si>
  <si>
    <r>
      <rPr>
        <sz val="8.5"/>
        <rFont val="ＭＳ ゴシック"/>
        <family val="3"/>
        <charset val="128"/>
      </rPr>
      <t>蒲郡信用金庫</t>
    </r>
    <r>
      <rPr>
        <sz val="8.5"/>
        <rFont val="Arial"/>
        <family val="2"/>
      </rPr>
      <t xml:space="preserve">    </t>
    </r>
    <r>
      <rPr>
        <sz val="8.5"/>
        <rFont val="ＭＳ Ｐゴシック"/>
        <family val="2"/>
        <charset val="128"/>
      </rPr>
      <t>ガマ</t>
    </r>
    <r>
      <rPr>
        <sz val="8.5"/>
        <rFont val="ＭＳ ゴシック"/>
        <family val="3"/>
        <charset val="128"/>
      </rPr>
      <t>シンヨギンコ
蒲郡信用金庫</t>
    </r>
    <r>
      <rPr>
        <sz val="8.5"/>
        <rFont val="Arial"/>
        <family val="2"/>
      </rPr>
      <t xml:space="preserve">   </t>
    </r>
    <r>
      <rPr>
        <sz val="8.5"/>
        <rFont val="Times New Roman"/>
        <family val="2"/>
      </rPr>
      <t>GAMA</t>
    </r>
    <r>
      <rPr>
        <sz val="8.5"/>
        <rFont val="Times New Roman"/>
        <family val="1"/>
      </rPr>
      <t xml:space="preserve"> SHINYOUKINKO
</t>
    </r>
    <r>
      <rPr>
        <sz val="8.5"/>
        <rFont val="ＭＳ ゴシック"/>
        <family val="3"/>
        <charset val="128"/>
      </rPr>
      <t>新城支店</t>
    </r>
    <r>
      <rPr>
        <sz val="8.5"/>
        <rFont val="Arial"/>
        <family val="2"/>
      </rPr>
      <t xml:space="preserve">  </t>
    </r>
    <r>
      <rPr>
        <sz val="8.5"/>
        <rFont val="Times New Roman"/>
        <family val="1"/>
      </rPr>
      <t xml:space="preserve">098    </t>
    </r>
    <r>
      <rPr>
        <sz val="8.5"/>
        <rFont val="ＭＳ ゴシック"/>
        <family val="3"/>
        <charset val="128"/>
      </rPr>
      <t>シンシロチュウオウシテン     新城支店</t>
    </r>
    <r>
      <rPr>
        <sz val="8.5"/>
        <rFont val="Arial"/>
        <family val="2"/>
      </rPr>
      <t xml:space="preserve">  </t>
    </r>
    <r>
      <rPr>
        <sz val="8.5"/>
        <rFont val="Times New Roman"/>
        <family val="1"/>
      </rPr>
      <t>098    SHINSHIRO SHITEN                     TPX</t>
    </r>
    <r>
      <rPr>
        <sz val="8.5"/>
        <rFont val="ＭＳ ゴシック"/>
        <family val="3"/>
        <charset val="128"/>
      </rPr>
      <t>株式会社</t>
    </r>
    <r>
      <rPr>
        <sz val="8.5"/>
        <rFont val="Arial"/>
        <family val="2"/>
      </rPr>
      <t xml:space="preserve">    </t>
    </r>
    <r>
      <rPr>
        <sz val="8.5"/>
        <rFont val="Times New Roman"/>
        <family val="1"/>
      </rPr>
      <t xml:space="preserve">CÔNG TY TPX
</t>
    </r>
    <r>
      <rPr>
        <sz val="8.5"/>
        <rFont val="ＭＳ ゴシック"/>
        <family val="3"/>
        <charset val="128"/>
      </rPr>
      <t>ティーピーエックスカブシキガイシャ         口座番号</t>
    </r>
    <r>
      <rPr>
        <sz val="8.5"/>
        <rFont val="Times New Roman"/>
        <family val="1"/>
      </rPr>
      <t xml:space="preserve">               0061818
SỐ TÀI KHOẢN     0061818</t>
    </r>
    <rPh sb="0" eb="2">
      <t>ガマゴオリ</t>
    </rPh>
    <phoneticPr fontId="14"/>
  </si>
  <si>
    <r>
      <rPr>
        <sz val="9.5"/>
        <rFont val="Times New Roman"/>
        <family val="1"/>
      </rPr>
      <t xml:space="preserve">441-1343
</t>
    </r>
    <r>
      <rPr>
        <sz val="9.5"/>
        <rFont val="ＭＳ ゴシック"/>
        <family val="3"/>
        <charset val="128"/>
      </rPr>
      <t>愛知県新城市野田字西浄悦</t>
    </r>
    <r>
      <rPr>
        <sz val="9.5"/>
        <rFont val="Times New Roman"/>
        <family val="1"/>
      </rPr>
      <t>65</t>
    </r>
    <phoneticPr fontId="14"/>
  </si>
  <si>
    <t>19日</t>
  </si>
  <si>
    <r>
      <rPr>
        <sz val="9"/>
        <rFont val="Times New Roman"/>
        <family val="1"/>
      </rPr>
      <t>2024</t>
    </r>
    <r>
      <rPr>
        <sz val="9"/>
        <rFont val="ＭＳ ゴシック"/>
        <family val="3"/>
        <charset val="128"/>
      </rPr>
      <t>年</t>
    </r>
  </si>
  <si>
    <t>Thùng</t>
  </si>
  <si>
    <t>Omachi sườn hầm</t>
  </si>
  <si>
    <t>Omachi chua cay</t>
  </si>
  <si>
    <t>Hảo hảo</t>
  </si>
  <si>
    <t>11月</t>
  </si>
  <si>
    <r>
      <rPr>
        <sz val="8.5"/>
        <rFont val="ＭＳ Ｐゴシック"/>
        <family val="1"/>
        <charset val="128"/>
      </rPr>
      <t>　福岡県北九州市小倉北区浅野二丁目</t>
    </r>
    <r>
      <rPr>
        <sz val="8.5"/>
        <rFont val="Times New Roman"/>
        <family val="1"/>
      </rPr>
      <t>18</t>
    </r>
    <r>
      <rPr>
        <sz val="8.5"/>
        <rFont val="ＭＳ Ｐゴシック"/>
        <family val="1"/>
        <charset val="128"/>
      </rPr>
      <t>番地</t>
    </r>
    <r>
      <rPr>
        <sz val="8.5"/>
        <rFont val="Times New Roman"/>
        <family val="1"/>
      </rPr>
      <t>29</t>
    </r>
    <r>
      <rPr>
        <sz val="8.5"/>
        <rFont val="ＭＳ Ｐゴシック"/>
        <family val="1"/>
        <charset val="128"/>
      </rPr>
      <t>号</t>
    </r>
  </si>
  <si>
    <r>
      <rPr>
        <b/>
        <sz val="13.5"/>
        <rFont val="Times New Roman"/>
        <family val="1"/>
      </rPr>
      <t xml:space="preserve">TPX </t>
    </r>
    <r>
      <rPr>
        <b/>
        <sz val="13.5"/>
        <rFont val="kiloji"/>
        <family val="3"/>
      </rPr>
      <t>株式会社</t>
    </r>
  </si>
  <si>
    <t>Lẩu thái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</si>
</sst>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¥#,##0"/>
    <numFmt numFmtId="165" formatCode="yyyy/mm/dd;@"/>
    <numFmt numFmtId="166" formatCode="\¥0"/>
  </numFmts>
  <fonts count="51">
    <font>
      <sz val="10"/>
      <color rgb="FF000000"/>
      <name val="Times New Roman"/>
      <charset val="204"/>
    </font>
    <font>
      <sz val="22"/>
      <name val="kiloji"/>
    </font>
    <font>
      <sz val="8.5"/>
      <name val="Times New Roman"/>
      <family val="1"/>
    </font>
    <font>
      <sz val="9.5"/>
      <name val="Times New Roman"/>
      <family val="1"/>
    </font>
    <font>
      <sz val="8.5"/>
      <name val="kiloji"/>
    </font>
    <font>
      <sz val="9.5"/>
      <name val="kiloji"/>
    </font>
    <font>
      <sz val="17"/>
      <color rgb="FF000000"/>
      <name val="Times New Roman"/>
      <family val="2"/>
    </font>
    <font>
      <sz val="6.5"/>
      <name val="kiloji"/>
    </font>
    <font>
      <sz val="7"/>
      <name val="Times New Roman"/>
      <family val="1"/>
    </font>
    <font>
      <sz val="22"/>
      <name val="kiloji"/>
      <family val="3"/>
    </font>
    <font>
      <sz val="7"/>
      <name val="kiloji"/>
      <family val="3"/>
    </font>
    <font>
      <sz val="8.5"/>
      <name val="kiloji"/>
      <family val="3"/>
    </font>
    <font>
      <sz val="9.5"/>
      <name val="kiloji"/>
      <family val="3"/>
    </font>
    <font>
      <sz val="6.5"/>
      <name val="kiloji"/>
      <family val="3"/>
    </font>
    <font>
      <sz val="6"/>
      <name val="ＭＳ Ｐゴシック"/>
      <family val="3"/>
      <charset val="128"/>
    </font>
    <font>
      <sz val="9.5"/>
      <name val="ＭＳ ゴシック"/>
      <family val="3"/>
      <charset val="128"/>
    </font>
    <font>
      <sz val="9.5"/>
      <name val="Times New Roman"/>
      <family val="3"/>
      <charset val="128"/>
    </font>
    <font>
      <sz val="8.5"/>
      <name val="ＭＳ Ｐゴシック"/>
      <family val="1"/>
      <charset val="128"/>
    </font>
    <font>
      <sz val="12"/>
      <name val="Times New Roman"/>
      <family val="1"/>
    </font>
    <font>
      <sz val="8.5"/>
      <name val="ＭＳ ゴシック"/>
      <family val="3"/>
      <charset val="128"/>
    </font>
    <font>
      <sz val="8.5"/>
      <name val="Times New Roman"/>
      <family val="3"/>
      <charset val="128"/>
    </font>
    <font>
      <sz val="13"/>
      <color rgb="FF000000"/>
      <name val="Times New Roman"/>
      <family val="1"/>
    </font>
    <font>
      <sz val="13"/>
      <name val="kiloji"/>
      <family val="3"/>
    </font>
    <font>
      <sz val="13"/>
      <name val="Times New Roman"/>
      <family val="1"/>
    </font>
    <font>
      <b/>
      <sz val="13"/>
      <color rgb="FF000000"/>
      <name val="Times New Roman"/>
      <family val="2"/>
    </font>
    <font>
      <sz val="13"/>
      <name val="kiloji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8"/>
      <name val="Times New Roman"/>
      <family val="1"/>
    </font>
    <font>
      <sz val="8"/>
      <color rgb="FF000000"/>
      <name val="Times New Roman"/>
      <family val="1"/>
    </font>
    <font>
      <sz val="8"/>
      <name val="kiloji"/>
      <family val="3"/>
    </font>
    <font>
      <b/>
      <sz val="10"/>
      <name val="kiloji"/>
    </font>
    <font>
      <b/>
      <sz val="10"/>
      <name val="kiloji"/>
      <family val="3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2"/>
    </font>
    <font>
      <b/>
      <sz val="16"/>
      <color rgb="FF000000"/>
      <name val="Times New Roman"/>
      <family val="2"/>
    </font>
    <font>
      <b/>
      <sz val="14"/>
      <color rgb="FFFF0000"/>
      <name val="Times New Roman"/>
      <family val="2"/>
    </font>
    <font>
      <sz val="13"/>
      <name val="ＭＳ ゴシック"/>
      <family val="3"/>
      <charset val="128"/>
    </font>
    <font>
      <sz val="9"/>
      <name val="Times New Roman"/>
      <family val="1"/>
      <charset val="204"/>
    </font>
    <font>
      <sz val="9"/>
      <name val="Times New Roman"/>
      <family val="1"/>
    </font>
    <font>
      <sz val="9"/>
      <name val="ＭＳ ゴシック"/>
      <family val="3"/>
      <charset val="128"/>
    </font>
    <font>
      <sz val="8.5"/>
      <name val="Arial"/>
      <family val="2"/>
    </font>
    <font>
      <sz val="8.5"/>
      <name val="ＭＳ Ｐゴシック"/>
      <family val="2"/>
      <charset val="128"/>
    </font>
    <font>
      <sz val="8.5"/>
      <name val="Times New Roman"/>
      <family val="2"/>
    </font>
    <font>
      <sz val="9.5"/>
      <name val="Times New Roman"/>
      <family val="1"/>
      <charset val="204"/>
    </font>
    <font>
      <sz val="8.5"/>
      <name val="Times New Roman"/>
      <family val="1"/>
      <charset val="128"/>
    </font>
    <font>
      <b/>
      <sz val="13"/>
      <name val="ＭＳ Ｐゴシック"/>
      <charset val="163"/>
    </font>
    <font>
      <b/>
      <sz val="13.5"/>
      <name val="Times New Roman"/>
      <family val="1"/>
    </font>
    <font>
      <b/>
      <sz val="13.5"/>
      <name val="kiloji"/>
      <family val="3"/>
    </font>
    <font>
      <sz val="13"/>
      <name val="Times New Roman"/>
      <family val="3"/>
    </font>
    <font>
      <sz val="13"/>
      <color rgb="FF000000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rgb="FFFCD768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164" fontId="24" fillId="0" borderId="4" xfId="0" applyNumberFormat="1" applyFont="1" applyBorder="1" applyAlignment="1">
      <alignment horizontal="right" vertical="top" shrinkToFit="1"/>
    </xf>
    <xf numFmtId="166" fontId="24" fillId="0" borderId="4" xfId="0" applyNumberFormat="1" applyFont="1" applyBorder="1" applyAlignment="1">
      <alignment horizontal="right" vertical="top" shrinkToFit="1"/>
    </xf>
    <xf numFmtId="1" fontId="26" fillId="0" borderId="4" xfId="0" applyNumberFormat="1" applyFont="1" applyBorder="1" applyAlignment="1">
      <alignment horizontal="center" vertical="top" shrinkToFit="1"/>
    </xf>
    <xf numFmtId="165" fontId="26" fillId="0" borderId="4" xfId="0" applyNumberFormat="1" applyFont="1" applyBorder="1" applyAlignment="1">
      <alignment horizontal="center" vertical="top" shrinkToFit="1"/>
    </xf>
    <xf numFmtId="9" fontId="26" fillId="0" borderId="4" xfId="0" applyNumberFormat="1" applyFont="1" applyBorder="1" applyAlignment="1">
      <alignment horizontal="center" vertical="top" shrinkToFit="1"/>
    </xf>
    <xf numFmtId="164" fontId="27" fillId="0" borderId="4" xfId="0" applyNumberFormat="1" applyFont="1" applyBorder="1" applyAlignment="1">
      <alignment horizontal="right" vertical="top" shrinkToFit="1"/>
    </xf>
    <xf numFmtId="0" fontId="28" fillId="2" borderId="4" xfId="0" applyFont="1" applyFill="1" applyBorder="1" applyAlignment="1">
      <alignment horizontal="center" vertical="center" wrapText="1"/>
    </xf>
    <xf numFmtId="0" fontId="29" fillId="2" borderId="4" xfId="0" applyFont="1" applyFill="1" applyBorder="1" applyAlignment="1">
      <alignment horizontal="center" vertical="center" wrapText="1"/>
    </xf>
    <xf numFmtId="0" fontId="38" fillId="0" borderId="1" xfId="0" applyFont="1" applyBorder="1" applyAlignment="1">
      <alignment horizontal="left" vertical="top" wrapText="1" indent="1"/>
    </xf>
    <xf numFmtId="0" fontId="40" fillId="0" borderId="1" xfId="0" applyFont="1" applyBorder="1" applyAlignment="1">
      <alignment horizontal="left" vertical="top" wrapText="1" indent="1"/>
    </xf>
    <xf numFmtId="0" fontId="18" fillId="0" borderId="9" xfId="0" applyFont="1" applyBorder="1" applyAlignment="1">
      <alignment horizontal="left" vertical="top" wrapText="1"/>
    </xf>
    <xf numFmtId="0" fontId="18" fillId="0" borderId="13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166" fontId="26" fillId="0" borderId="9" xfId="0" applyNumberFormat="1" applyFont="1" applyBorder="1" applyAlignment="1">
      <alignment horizontal="center" vertical="top" shrinkToFit="1"/>
    </xf>
    <xf numFmtId="166" fontId="26" fillId="0" borderId="10" xfId="0" applyNumberFormat="1" applyFont="1" applyBorder="1" applyAlignment="1">
      <alignment horizontal="center" vertical="top" shrinkToFit="1"/>
    </xf>
    <xf numFmtId="0" fontId="26" fillId="0" borderId="9" xfId="0" applyFont="1" applyBorder="1" applyAlignment="1">
      <alignment vertical="top"/>
    </xf>
    <xf numFmtId="0" fontId="26" fillId="0" borderId="10" xfId="0" applyFont="1" applyBorder="1" applyAlignment="1">
      <alignment vertical="top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29" fillId="2" borderId="9" xfId="0" applyFont="1" applyFill="1" applyBorder="1" applyAlignment="1">
      <alignment horizontal="center" vertical="center" wrapText="1"/>
    </xf>
    <xf numFmtId="0" fontId="29" fillId="2" borderId="13" xfId="0" applyFont="1" applyFill="1" applyBorder="1" applyAlignment="1">
      <alignment horizontal="center" vertical="center" wrapText="1"/>
    </xf>
    <xf numFmtId="0" fontId="29" fillId="2" borderId="1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0" fillId="0" borderId="5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5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left" vertical="center" wrapText="1"/>
    </xf>
    <xf numFmtId="164" fontId="6" fillId="0" borderId="0" xfId="0" applyNumberFormat="1" applyFont="1" applyAlignment="1">
      <alignment horizontal="center" vertical="top" shrinkToFit="1"/>
    </xf>
    <xf numFmtId="0" fontId="44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6" fillId="0" borderId="1" xfId="0" applyFont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4"/>
    </xf>
    <xf numFmtId="0" fontId="0" fillId="0" borderId="2" xfId="0" applyBorder="1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164" fontId="35" fillId="0" borderId="10" xfId="0" applyNumberFormat="1" applyFont="1" applyBorder="1" applyAlignment="1">
      <alignment horizontal="center" vertical="center" shrinkToFit="1"/>
    </xf>
    <xf numFmtId="0" fontId="37" fillId="2" borderId="9" xfId="0" applyFont="1" applyFill="1" applyBorder="1" applyAlignment="1">
      <alignment horizontal="left" vertical="top" wrapText="1" indent="3"/>
    </xf>
    <xf numFmtId="0" fontId="25" fillId="2" borderId="10" xfId="0" applyFont="1" applyFill="1" applyBorder="1" applyAlignment="1">
      <alignment horizontal="left" vertical="top" wrapText="1" indent="3"/>
    </xf>
    <xf numFmtId="0" fontId="31" fillId="2" borderId="9" xfId="0" applyFont="1" applyFill="1" applyBorder="1" applyAlignment="1">
      <alignment horizontal="center" vertical="center" wrapText="1"/>
    </xf>
    <xf numFmtId="0" fontId="31" fillId="2" borderId="10" xfId="0" applyFont="1" applyFill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/>
    </xf>
    <xf numFmtId="164" fontId="34" fillId="0" borderId="9" xfId="0" applyNumberFormat="1" applyFont="1" applyBorder="1" applyAlignment="1">
      <alignment horizontal="center" vertical="center" shrinkToFit="1"/>
    </xf>
    <xf numFmtId="164" fontId="34" fillId="0" borderId="10" xfId="0" applyNumberFormat="1" applyFont="1" applyBorder="1" applyAlignment="1">
      <alignment horizontal="center" vertical="center" shrinkToFit="1"/>
    </xf>
    <xf numFmtId="0" fontId="20" fillId="0" borderId="0" xfId="0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6" fillId="0" borderId="2" xfId="0" applyFont="1" applyBorder="1" applyAlignment="1">
      <alignment horizontal="center" vertical="center" wrapText="1"/>
    </xf>
    <xf numFmtId="0" fontId="33" fillId="0" borderId="2" xfId="0" applyFont="1" applyBorder="1" applyAlignment="1">
      <alignment horizontal="left" vertical="center" wrapText="1" indent="1"/>
    </xf>
    <xf numFmtId="0" fontId="0" fillId="0" borderId="0" xfId="0" applyAlignment="1">
      <alignment vertical="top" wrapText="1"/>
    </xf>
    <xf numFmtId="166" fontId="24" fillId="0" borderId="10" xfId="0" applyNumberFormat="1" applyFont="1" applyBorder="1" applyAlignment="1">
      <alignment vertical="top" shrinkToFit="1"/>
    </xf>
    <xf numFmtId="0" fontId="25" fillId="2" borderId="9" xfId="0" applyFont="1" applyFill="1" applyBorder="1" applyAlignment="1">
      <alignment vertical="top" wrapText="1"/>
    </xf>
    <xf numFmtId="0" fontId="25" fillId="2" borderId="10" xfId="0" applyFont="1" applyFill="1" applyBorder="1" applyAlignment="1">
      <alignment vertical="top" wrapText="1"/>
    </xf>
    <xf numFmtId="164" fontId="36" fillId="3" borderId="13" xfId="0" applyNumberFormat="1" applyFont="1" applyFill="1" applyBorder="1" applyAlignment="1">
      <alignment horizontal="center" vertical="top" shrinkToFit="1"/>
    </xf>
    <xf numFmtId="164" fontId="36" fillId="3" borderId="10" xfId="0" applyNumberFormat="1" applyFont="1" applyFill="1" applyBorder="1" applyAlignment="1">
      <alignment horizontal="center" vertical="top" shrinkToFit="1"/>
    </xf>
    <xf numFmtId="164" fontId="35" fillId="0" borderId="13" xfId="0" applyNumberFormat="1" applyFont="1" applyBorder="1" applyAlignment="1">
      <alignment horizontal="center" vertical="center" shrinkToFit="1"/>
    </xf>
    <xf numFmtId="166" fontId="24" fillId="0" borderId="13" xfId="0" applyNumberFormat="1" applyFont="1" applyBorder="1" applyAlignment="1">
      <alignment vertical="top" shrinkToFit="1"/>
    </xf>
    <xf numFmtId="0" fontId="50" fillId="2" borderId="14" xfId="0" applyFont="1" applyFill="1" applyBorder="1" applyAlignment="1">
      <alignment horizontal="center" vertical="center" wrapText="1"/>
    </xf>
    <xf numFmtId="0" fontId="49" fillId="2" borderId="14" xfId="0" applyFont="1" applyFill="1" applyBorder="1" applyAlignment="1">
      <alignment horizontal="center" vertical="top" wrapText="1"/>
    </xf>
    <xf numFmtId="0" fontId="21" fillId="2" borderId="1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317330</xdr:rowOff>
    </xdr:from>
    <xdr:ext cx="2768600" cy="2286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2768600" cy="22860"/>
        </a:xfrm>
        <a:custGeom>
          <a:avLst/>
          <a:gdLst/>
          <a:ahLst/>
          <a:cxnLst/>
          <a:rect l="0" t="0" r="0" b="0"/>
          <a:pathLst>
            <a:path w="2768600" h="22860">
              <a:moveTo>
                <a:pt x="2768218" y="0"/>
              </a:moveTo>
              <a:lnTo>
                <a:pt x="0" y="0"/>
              </a:lnTo>
              <a:lnTo>
                <a:pt x="0" y="22859"/>
              </a:lnTo>
              <a:lnTo>
                <a:pt x="2768218" y="22859"/>
              </a:lnTo>
              <a:lnTo>
                <a:pt x="2768218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335152</xdr:colOff>
      <xdr:row>1</xdr:row>
      <xdr:rowOff>215138</xdr:rowOff>
    </xdr:from>
    <xdr:ext cx="740003" cy="954024"/>
    <xdr:pic>
      <xdr:nvPicPr>
        <xdr:cNvPr id="3" name="image1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40003" cy="9540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O11" sqref="O11"/>
    </sheetView>
  </sheetViews>
  <sheetFormatPr defaultRowHeight="12.75"/>
  <cols>
    <col min="1" max="1" width="3.33203125" customWidth="1"/>
    <col min="2" max="2" width="11.83203125" customWidth="1"/>
    <col min="3" max="3" width="11.1640625" customWidth="1"/>
    <col min="4" max="4" width="5.1640625" customWidth="1"/>
    <col min="5" max="5" width="8" customWidth="1"/>
    <col min="6" max="6" width="6" customWidth="1"/>
    <col min="7" max="8" width="5.5" customWidth="1"/>
    <col min="9" max="9" width="9.6640625" customWidth="1"/>
    <col min="10" max="11" width="8.5" customWidth="1"/>
    <col min="12" max="12" width="13" customWidth="1"/>
  </cols>
  <sheetData>
    <row r="1" spans="1:12" ht="34.5" customHeight="1">
      <c r="A1" s="26" t="s">
        <v>0</v>
      </c>
      <c r="B1" s="26"/>
      <c r="C1" s="26"/>
      <c r="D1" s="26"/>
      <c r="E1" s="26"/>
      <c r="F1" s="1"/>
      <c r="G1" s="27" t="s">
        <v>1</v>
      </c>
      <c r="H1" s="27"/>
      <c r="I1" s="27"/>
      <c r="J1" s="17" t="s">
        <v>32</v>
      </c>
      <c r="K1" s="18" t="s">
        <v>37</v>
      </c>
      <c r="L1" s="18" t="s">
        <v>31</v>
      </c>
    </row>
    <row r="2" spans="1:12" ht="40.5" customHeight="1">
      <c r="A2" s="61" t="s">
        <v>8</v>
      </c>
      <c r="B2" s="61"/>
      <c r="C2" s="61"/>
      <c r="D2" s="61"/>
      <c r="E2" s="61"/>
      <c r="F2" s="2"/>
      <c r="G2" s="2"/>
      <c r="H2" s="2"/>
      <c r="I2" s="2"/>
      <c r="J2" s="62" t="s">
        <v>39</v>
      </c>
      <c r="K2" s="62"/>
      <c r="L2" s="62"/>
    </row>
    <row r="3" spans="1:12" ht="31.35" customHeight="1">
      <c r="A3" s="60" t="s">
        <v>38</v>
      </c>
      <c r="B3" s="59"/>
      <c r="C3" s="59"/>
      <c r="D3" s="59"/>
      <c r="E3" s="59"/>
      <c r="F3" s="59"/>
      <c r="G3" s="3"/>
      <c r="H3" s="3"/>
      <c r="I3" s="41" t="s">
        <v>30</v>
      </c>
      <c r="J3" s="42"/>
      <c r="K3" s="42"/>
      <c r="L3" s="42"/>
    </row>
    <row r="4" spans="1:12" ht="24" customHeight="1">
      <c r="A4" s="39" t="s">
        <v>9</v>
      </c>
      <c r="B4" s="39"/>
      <c r="C4" s="39"/>
      <c r="D4" s="3"/>
      <c r="E4" s="3"/>
      <c r="F4" s="3"/>
      <c r="G4" s="3"/>
      <c r="H4" s="3"/>
      <c r="I4" s="3"/>
      <c r="J4" s="43" t="s">
        <v>2</v>
      </c>
      <c r="K4" s="43"/>
      <c r="L4" s="43"/>
    </row>
    <row r="5" spans="1:12" ht="22.7" customHeight="1">
      <c r="A5" s="44" t="s">
        <v>3</v>
      </c>
      <c r="B5" s="44"/>
      <c r="C5" s="3"/>
      <c r="D5" s="3"/>
      <c r="E5" s="3"/>
      <c r="F5" s="3"/>
      <c r="G5" s="3"/>
      <c r="H5" s="4"/>
      <c r="I5" s="45" t="s">
        <v>7</v>
      </c>
      <c r="J5" s="46"/>
      <c r="K5" s="46"/>
      <c r="L5" s="46"/>
    </row>
    <row r="6" spans="1:12" ht="25.5" customHeight="1">
      <c r="A6" s="31" t="s">
        <v>4</v>
      </c>
      <c r="B6" s="31"/>
      <c r="C6" s="31"/>
      <c r="D6" s="3"/>
      <c r="E6" s="3"/>
      <c r="F6" s="3"/>
      <c r="G6" s="5"/>
      <c r="H6" s="32" t="s">
        <v>29</v>
      </c>
      <c r="I6" s="33"/>
      <c r="J6" s="33"/>
      <c r="K6" s="33"/>
      <c r="L6" s="34"/>
    </row>
    <row r="7" spans="1:12" ht="65.45" customHeight="1">
      <c r="A7" s="38" t="s">
        <v>5</v>
      </c>
      <c r="B7" s="38"/>
      <c r="C7" s="40">
        <f>K9</f>
        <v>155500</v>
      </c>
      <c r="D7" s="40"/>
      <c r="E7" s="7" t="s">
        <v>6</v>
      </c>
      <c r="F7" s="6"/>
      <c r="G7" s="8"/>
      <c r="H7" s="35"/>
      <c r="I7" s="36"/>
      <c r="J7" s="36"/>
      <c r="K7" s="36"/>
      <c r="L7" s="37"/>
    </row>
    <row r="8" spans="1:12" ht="23.25" customHeight="1">
      <c r="A8" s="48"/>
      <c r="B8" s="48"/>
      <c r="C8" s="49"/>
      <c r="D8" s="53" t="s">
        <v>22</v>
      </c>
      <c r="E8" s="54"/>
      <c r="F8" s="53" t="s">
        <v>23</v>
      </c>
      <c r="G8" s="54"/>
      <c r="H8" s="53" t="s">
        <v>24</v>
      </c>
      <c r="I8" s="54"/>
      <c r="J8" s="55"/>
      <c r="K8" s="53" t="s">
        <v>25</v>
      </c>
      <c r="L8" s="54"/>
    </row>
    <row r="9" spans="1:12" ht="23.85" customHeight="1">
      <c r="A9" s="36"/>
      <c r="B9" s="36"/>
      <c r="C9" s="37"/>
      <c r="D9" s="57">
        <f>H17</f>
        <v>143060</v>
      </c>
      <c r="E9" s="58"/>
      <c r="F9" s="57">
        <f>L17</f>
        <v>12440</v>
      </c>
      <c r="G9" s="58"/>
      <c r="H9" s="57">
        <f>SUM(D9:G9)</f>
        <v>155500</v>
      </c>
      <c r="I9" s="58"/>
      <c r="J9" s="56"/>
      <c r="K9" s="57">
        <f>H9</f>
        <v>155500</v>
      </c>
      <c r="L9" s="58"/>
    </row>
    <row r="10" spans="1:12" ht="39" customHeight="1">
      <c r="A10" s="15" t="s">
        <v>14</v>
      </c>
      <c r="B10" s="16" t="s">
        <v>15</v>
      </c>
      <c r="C10" s="28" t="s">
        <v>16</v>
      </c>
      <c r="D10" s="29"/>
      <c r="E10" s="30"/>
      <c r="F10" s="16" t="s">
        <v>17</v>
      </c>
      <c r="G10" s="28" t="s">
        <v>18</v>
      </c>
      <c r="H10" s="30"/>
      <c r="I10" s="16" t="s">
        <v>19</v>
      </c>
      <c r="J10" s="28" t="s">
        <v>20</v>
      </c>
      <c r="K10" s="30"/>
      <c r="L10" s="16" t="s">
        <v>21</v>
      </c>
    </row>
    <row r="11" spans="1:12" ht="21.75" customHeight="1">
      <c r="A11" s="11">
        <v>1</v>
      </c>
      <c r="B11" s="12">
        <v>45615</v>
      </c>
      <c r="C11" s="19" t="s">
        <v>36</v>
      </c>
      <c r="D11" s="20"/>
      <c r="E11" s="21"/>
      <c r="F11" s="13">
        <v>0.08</v>
      </c>
      <c r="G11" s="24" t="s">
        <v>33</v>
      </c>
      <c r="H11" s="25"/>
      <c r="I11" s="11">
        <v>20</v>
      </c>
      <c r="J11" s="22">
        <v>2150</v>
      </c>
      <c r="K11" s="23"/>
      <c r="L11" s="14">
        <f t="shared" ref="L11:L15" si="0">J11*I11</f>
        <v>43000</v>
      </c>
    </row>
    <row r="12" spans="1:12" ht="21.75" customHeight="1">
      <c r="A12" s="11">
        <v>2</v>
      </c>
      <c r="B12" s="12">
        <v>45615</v>
      </c>
      <c r="C12" s="19" t="s">
        <v>34</v>
      </c>
      <c r="D12" s="20"/>
      <c r="E12" s="21"/>
      <c r="F12" s="13">
        <v>0.08</v>
      </c>
      <c r="G12" s="24" t="s">
        <v>33</v>
      </c>
      <c r="H12" s="25"/>
      <c r="I12" s="11">
        <v>20</v>
      </c>
      <c r="J12" s="22">
        <v>2150</v>
      </c>
      <c r="K12" s="23"/>
      <c r="L12" s="14">
        <f t="shared" si="0"/>
        <v>43000</v>
      </c>
    </row>
    <row r="13" spans="1:12" ht="21.75" customHeight="1">
      <c r="A13" s="11">
        <v>3</v>
      </c>
      <c r="B13" s="12">
        <v>45615</v>
      </c>
      <c r="C13" s="19" t="s">
        <v>35</v>
      </c>
      <c r="D13" s="20"/>
      <c r="E13" s="21"/>
      <c r="F13" s="13">
        <v>0.08</v>
      </c>
      <c r="G13" s="24" t="s">
        <v>33</v>
      </c>
      <c r="H13" s="25"/>
      <c r="I13" s="11">
        <v>25</v>
      </c>
      <c r="J13" s="22">
        <v>2150</v>
      </c>
      <c r="K13" s="23"/>
      <c r="L13" s="14">
        <f t="shared" si="0"/>
        <v>53750</v>
      </c>
    </row>
    <row r="14" spans="1:12" ht="21.75" customHeight="1">
      <c r="A14" s="11">
        <v>9</v>
      </c>
      <c r="B14" s="12">
        <v>45615</v>
      </c>
      <c r="C14" s="19" t="s">
        <v>40</v>
      </c>
      <c r="D14" s="20"/>
      <c r="E14" s="21"/>
      <c r="F14" s="13">
        <v>0.08</v>
      </c>
      <c r="G14" s="24" t="s">
        <v>33</v>
      </c>
      <c r="H14" s="25"/>
      <c r="I14" s="11">
        <v>10</v>
      </c>
      <c r="J14" s="22">
        <v>1400</v>
      </c>
      <c r="K14" s="23"/>
      <c r="L14" s="14">
        <f t="shared" si="0"/>
        <v>14000</v>
      </c>
    </row>
    <row r="15" spans="1:12" ht="21.75" customHeight="1">
      <c r="A15" s="11">
        <v>10</v>
      </c>
      <c r="B15" s="12">
        <v>45615</v>
      </c>
      <c r="C15" s="19" t="s">
        <v>26</v>
      </c>
      <c r="D15" s="20"/>
      <c r="E15" s="21"/>
      <c r="F15" s="13">
        <v>0.08</v>
      </c>
      <c r="G15" s="19" t="s">
        <v>28</v>
      </c>
      <c r="H15" s="21"/>
      <c r="I15" s="11">
        <v>175</v>
      </c>
      <c r="J15" s="22">
        <v>10</v>
      </c>
      <c r="K15" s="23"/>
      <c r="L15" s="14">
        <f t="shared" si="0"/>
        <v>1750</v>
      </c>
    </row>
    <row r="16" spans="1:12" ht="8.85" customHeight="1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</row>
    <row r="17" spans="1:12" ht="30.75" customHeight="1">
      <c r="A17" s="63"/>
      <c r="B17" s="63"/>
      <c r="C17" s="71" t="s">
        <v>10</v>
      </c>
      <c r="D17" s="71"/>
      <c r="E17" s="71"/>
      <c r="F17" s="71"/>
      <c r="G17" s="71"/>
      <c r="H17" s="69">
        <f>SUM(L11:L15)*0.92</f>
        <v>143060</v>
      </c>
      <c r="I17" s="50"/>
      <c r="J17" s="51" t="s">
        <v>27</v>
      </c>
      <c r="K17" s="52"/>
      <c r="L17" s="9">
        <f>SUM(L11:L15)*0.08</f>
        <v>12440</v>
      </c>
    </row>
    <row r="18" spans="1:12" ht="19.5" customHeight="1">
      <c r="A18" s="63"/>
      <c r="B18" s="63"/>
      <c r="C18" s="72" t="s">
        <v>12</v>
      </c>
      <c r="D18" s="72"/>
      <c r="E18" s="72"/>
      <c r="F18" s="72"/>
      <c r="G18" s="72"/>
      <c r="H18" s="70">
        <v>0</v>
      </c>
      <c r="I18" s="64"/>
      <c r="J18" s="65" t="s">
        <v>11</v>
      </c>
      <c r="K18" s="66"/>
      <c r="L18" s="10">
        <v>0</v>
      </c>
    </row>
    <row r="19" spans="1:12" ht="19.5" customHeight="1">
      <c r="A19" s="63"/>
      <c r="B19" s="63"/>
      <c r="C19" s="73" t="s">
        <v>13</v>
      </c>
      <c r="D19" s="73"/>
      <c r="E19" s="73"/>
      <c r="F19" s="73"/>
      <c r="G19" s="73"/>
      <c r="H19" s="67">
        <f>H17+L17</f>
        <v>155500</v>
      </c>
      <c r="I19" s="67"/>
      <c r="J19" s="67"/>
      <c r="K19" s="67"/>
      <c r="L19" s="68"/>
    </row>
  </sheetData>
  <mergeCells count="49">
    <mergeCell ref="A3:F3"/>
    <mergeCell ref="C17:G17"/>
    <mergeCell ref="C18:G18"/>
    <mergeCell ref="H19:L19"/>
    <mergeCell ref="C19:G19"/>
    <mergeCell ref="J10:K10"/>
    <mergeCell ref="A8:C9"/>
    <mergeCell ref="D8:E8"/>
    <mergeCell ref="F8:G8"/>
    <mergeCell ref="H8:I8"/>
    <mergeCell ref="J8:J9"/>
    <mergeCell ref="K8:L8"/>
    <mergeCell ref="D9:E9"/>
    <mergeCell ref="F9:G9"/>
    <mergeCell ref="H9:I9"/>
    <mergeCell ref="K9:L9"/>
    <mergeCell ref="C11:E11"/>
    <mergeCell ref="G11:H11"/>
    <mergeCell ref="J11:K11"/>
    <mergeCell ref="A16:L16"/>
    <mergeCell ref="H17:I17"/>
    <mergeCell ref="J17:K17"/>
    <mergeCell ref="A2:E2"/>
    <mergeCell ref="A1:E1"/>
    <mergeCell ref="G1:I1"/>
    <mergeCell ref="C10:E10"/>
    <mergeCell ref="G10:H10"/>
    <mergeCell ref="A6:C6"/>
    <mergeCell ref="H6:L7"/>
    <mergeCell ref="A7:B7"/>
    <mergeCell ref="A4:C4"/>
    <mergeCell ref="C7:D7"/>
    <mergeCell ref="J2:L2"/>
    <mergeCell ref="I3:L3"/>
    <mergeCell ref="J4:L4"/>
    <mergeCell ref="A5:B5"/>
    <mergeCell ref="I5:L5"/>
    <mergeCell ref="C15:E15"/>
    <mergeCell ref="J15:K15"/>
    <mergeCell ref="C13:E13"/>
    <mergeCell ref="G12:H12"/>
    <mergeCell ref="G13:H13"/>
    <mergeCell ref="J12:K12"/>
    <mergeCell ref="J13:K13"/>
    <mergeCell ref="G15:H15"/>
    <mergeCell ref="G14:H14"/>
    <mergeCell ref="C14:E14"/>
    <mergeCell ref="J14:K14"/>
    <mergeCell ref="C12:E12"/>
  </mergeCells>
  <phoneticPr fontId="14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LeVeL infinity</cp:lastModifiedBy>
  <cp:lastPrinted>2025-02-23T17:26:55Z</cp:lastPrinted>
  <dcterms:created xsi:type="dcterms:W3CDTF">2024-04-01T23:16:17Z</dcterms:created>
  <dcterms:modified xsi:type="dcterms:W3CDTF">2025-02-23T17:31:02Z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2024-01-02T00:00:00Z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2024-04-01T00:00:00Z</vt:filetime>
  </property>
  <property fmtid="{D5CDD505-2E9C-101B-9397-08002B2CF9AE}" pid="5" name="Producer">
    <vt:lpwstr>3-Heights(TM) PDF Security Shell 4.8.25.2 (http://www.pdf-tools.com)</vt:lpwstr>
  </property>
</Properties>
</file>