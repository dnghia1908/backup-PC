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VeL infinity\Desktop\BackUp\backup-PC\File tài chính cá nhân\"/>
    </mc:Choice>
  </mc:AlternateContent>
  <xr:revisionPtr revIDLastSave="0" documentId="13_ncr:1_{FB375904-413F-4F12-B5BE-4EF32973CCF3}" xr6:coauthVersionLast="47" xr6:coauthVersionMax="47" xr10:uidLastSave="{00000000-0000-0000-0000-000000000000}"/>
  <bookViews>
    <workbookView xWindow="-120" yWindow="-120" windowWidth="29040" windowHeight="15720" activeTab="2" xr2:uid="{01424E0D-5617-48C9-A47B-ABAE5C326979}"/>
  </bookViews>
  <sheets>
    <sheet name="FCO" sheetId="2" r:id="rId1"/>
    <sheet name="Mục tiêu" sheetId="1" r:id="rId2"/>
    <sheet name="NĂM 1 (01 05 2026 - 01 05 2027)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3" l="1"/>
  <c r="F4" i="3" s="1"/>
  <c r="G4" i="3" s="1"/>
  <c r="C3" i="3"/>
  <c r="W3" i="3"/>
  <c r="G6" i="3" s="1"/>
  <c r="F6" i="3" s="1"/>
  <c r="Q3" i="3"/>
  <c r="F5" i="3" s="1"/>
  <c r="G5" i="3" s="1"/>
  <c r="E8" i="1"/>
  <c r="E7" i="1"/>
  <c r="B1" i="2"/>
  <c r="B2" i="2"/>
  <c r="H6" i="1" l="1"/>
  <c r="I6" i="1" s="1"/>
</calcChain>
</file>

<file path=xl/sharedStrings.xml><?xml version="1.0" encoding="utf-8"?>
<sst xmlns="http://schemas.openxmlformats.org/spreadsheetml/2006/main" count="64" uniqueCount="48">
  <si>
    <t>NẠP FCO</t>
  </si>
  <si>
    <t>TIỀN NHẬT</t>
  </si>
  <si>
    <t>TIỀN VIỆT</t>
  </si>
  <si>
    <t>MỤC TIÊU ĐẦU TƯ</t>
  </si>
  <si>
    <t>ĐẦU TƯ DÀI HẠN</t>
  </si>
  <si>
    <t>ĐẦU TƯ ĐIỀU</t>
  </si>
  <si>
    <t>TĂNG SỐ TIỀN ĐẦU TƯ NẾU CÓ THỂ</t>
  </si>
  <si>
    <t>ĐA DẠNG DANH MỤC ĐẦU TƯ ĐỂ GIẢM RỦI RO</t>
  </si>
  <si>
    <t>KHÔNG RÚT RA VỚI BẤT KÌ LÝ DO GÌ</t>
  </si>
  <si>
    <t>THỜI GIAN BẮT ĐẦU ĐẦU TƯ</t>
  </si>
  <si>
    <t>MỐC THỜI GIAN</t>
  </si>
  <si>
    <t>TỔNG TÀI SẢN</t>
  </si>
  <si>
    <t>NĂM 1 (01/05/2027)</t>
  </si>
  <si>
    <t>NĂM 2 (01/05/2028)</t>
  </si>
  <si>
    <t>NĂM 3 (01/05/2029)</t>
  </si>
  <si>
    <t>NĂM 4 (01/05/2030)</t>
  </si>
  <si>
    <t>NĂM 1 (01/05/2026 - 01/05/2027)</t>
  </si>
  <si>
    <t>MỤC TIÊU</t>
  </si>
  <si>
    <t>TÀI SẢN HIỆN TẠI</t>
  </si>
  <si>
    <t>TÀI SẢN NGUỒN</t>
  </si>
  <si>
    <t>TÊN DANH MỤC</t>
  </si>
  <si>
    <t>SỐ TIỀN</t>
  </si>
  <si>
    <t>JPY</t>
  </si>
  <si>
    <t>VND</t>
  </si>
  <si>
    <t>Quỹ dự phòng tiền mặt</t>
  </si>
  <si>
    <t>Đầu tư NISA</t>
  </si>
  <si>
    <t>CCQ Việt Nam</t>
  </si>
  <si>
    <t>QUỸ DỰ PHÒNG TIỀN MẶT</t>
  </si>
  <si>
    <t>NGÀY ĐẦU TƯ</t>
  </si>
  <si>
    <t>LŨY KẾ</t>
  </si>
  <si>
    <t>Ngày lương 10</t>
  </si>
  <si>
    <t>Trích 20.000</t>
  </si>
  <si>
    <t xml:space="preserve">Ngày lương 25 </t>
  </si>
  <si>
    <t>Ngày thưởng</t>
  </si>
  <si>
    <t>Trích 50.000</t>
  </si>
  <si>
    <t>ĐẦU TƯ NISA</t>
  </si>
  <si>
    <t>Ngày 27_ TK NH</t>
  </si>
  <si>
    <t>CHỨNG CHỈ QUỸ VIỆT NAM</t>
  </si>
  <si>
    <t>CÒN THIẾU</t>
  </si>
  <si>
    <t>Ngày 12_ Credit</t>
  </si>
  <si>
    <t>Ngày 07_ TK NH</t>
  </si>
  <si>
    <t>LƯƠNG 25</t>
  </si>
  <si>
    <t>LƯƠNG 10</t>
  </si>
  <si>
    <t>NGÀY 07</t>
  </si>
  <si>
    <t>THƯỞNG 06/2026</t>
  </si>
  <si>
    <t>NGÀY 12</t>
  </si>
  <si>
    <t>KÌ T5</t>
  </si>
  <si>
    <t>KÌ T6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</si>
</sst>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[$VND]"/>
    <numFmt numFmtId="165" formatCode="[$¥-411]#,##0"/>
    <numFmt numFmtId="166" formatCode="[$¥-411]#,##0.00"/>
  </numFmts>
  <fonts count="17">
    <font>
      <sz val="11"/>
      <color theme="1"/>
      <name val="Arial"/>
      <family val="2"/>
      <charset val="128"/>
      <scheme val="minor"/>
    </font>
    <font>
      <sz val="6"/>
      <name val="Arial"/>
      <family val="2"/>
      <charset val="128"/>
      <scheme val="minor"/>
    </font>
    <font>
      <sz val="14"/>
      <color theme="1"/>
      <name val="Times New Roman"/>
      <family val="1"/>
    </font>
    <font>
      <b/>
      <sz val="20"/>
      <color theme="1"/>
      <name val="Times New Roman"/>
      <family val="1"/>
    </font>
    <font>
      <sz val="18"/>
      <color theme="1"/>
      <name val="Times New Roman"/>
      <family val="1"/>
      <scheme val="major"/>
    </font>
    <font>
      <sz val="16"/>
      <color rgb="FFFF0000"/>
      <name val="Times New Roman"/>
      <family val="1"/>
      <scheme val="major"/>
    </font>
    <font>
      <sz val="16"/>
      <color theme="1"/>
      <name val="Times New Roman"/>
      <family val="1"/>
      <scheme val="major"/>
    </font>
    <font>
      <b/>
      <sz val="20"/>
      <color rgb="FFFF0000"/>
      <name val="Times New Roman"/>
      <family val="1"/>
    </font>
    <font>
      <b/>
      <sz val="14"/>
      <color theme="1"/>
      <name val="Times New Roman"/>
      <family val="1"/>
    </font>
    <font>
      <b/>
      <sz val="18"/>
      <color theme="1"/>
      <name val="Times New Roman"/>
      <family val="1"/>
    </font>
    <font>
      <sz val="14"/>
      <color theme="1"/>
      <name val="Times New Roman"/>
      <family val="1"/>
      <scheme val="major"/>
    </font>
    <font>
      <b/>
      <sz val="20"/>
      <color theme="1"/>
      <name val="Times New Roman"/>
      <family val="1"/>
      <scheme val="major"/>
    </font>
    <font>
      <b/>
      <sz val="14"/>
      <color theme="1"/>
      <name val="Times New Roman"/>
      <family val="1"/>
      <scheme val="major"/>
    </font>
    <font>
      <b/>
      <sz val="18"/>
      <color theme="1"/>
      <name val="Times New Roman"/>
      <family val="1"/>
      <scheme val="major"/>
    </font>
    <font>
      <b/>
      <sz val="16"/>
      <color theme="1"/>
      <name val="Times New Roman"/>
      <family val="1"/>
      <scheme val="major"/>
    </font>
    <font>
      <b/>
      <sz val="15"/>
      <color theme="1"/>
      <name val="Times New Roman"/>
      <family val="1"/>
      <scheme val="major"/>
    </font>
    <font>
      <sz val="20"/>
      <color rgb="FFFF0000"/>
      <name val="Times New Roman"/>
      <family val="1"/>
      <scheme val="maj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8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uble">
        <color auto="1"/>
      </right>
      <top style="medium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medium">
        <color auto="1"/>
      </top>
      <bottom style="double">
        <color auto="1"/>
      </bottom>
      <diagonal/>
    </border>
    <border>
      <left style="double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medium">
        <color auto="1"/>
      </right>
      <top style="double">
        <color auto="1"/>
      </top>
      <bottom style="double">
        <color auto="1"/>
      </bottom>
      <diagonal/>
    </border>
    <border>
      <left style="medium">
        <color auto="1"/>
      </left>
      <right style="double">
        <color auto="1"/>
      </right>
      <top style="double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medium">
        <color auto="1"/>
      </bottom>
      <diagonal/>
    </border>
    <border>
      <left style="double">
        <color auto="1"/>
      </left>
      <right style="medium">
        <color auto="1"/>
      </right>
      <top style="double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/>
      <right style="medium">
        <color auto="1"/>
      </right>
      <top style="medium">
        <color auto="1"/>
      </top>
      <bottom style="double">
        <color auto="1"/>
      </bottom>
      <diagonal/>
    </border>
  </borders>
  <cellStyleXfs count="1">
    <xf numFmtId="0" fontId="0" fillId="0" borderId="0">
      <alignment vertical="center"/>
    </xf>
  </cellStyleXfs>
  <cellXfs count="74">
    <xf numFmtId="0" fontId="0" fillId="0" borderId="0" xfId="0">
      <alignment vertical="center"/>
    </xf>
    <xf numFmtId="0" fontId="2" fillId="0" borderId="0" xfId="0" applyFont="1" applyAlignment="1">
      <alignment vertical="center" shrinkToFit="1"/>
    </xf>
    <xf numFmtId="0" fontId="3" fillId="0" borderId="0" xfId="0" applyFont="1" applyAlignment="1">
      <alignment vertical="center" shrinkToFit="1"/>
    </xf>
    <xf numFmtId="0" fontId="4" fillId="0" borderId="0" xfId="0" applyFont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 shrinkToFit="1"/>
    </xf>
    <xf numFmtId="0" fontId="3" fillId="3" borderId="1" xfId="0" applyFont="1" applyFill="1" applyBorder="1" applyAlignment="1">
      <alignment horizontal="center" vertical="center" shrinkToFit="1"/>
    </xf>
    <xf numFmtId="14" fontId="7" fillId="4" borderId="5" xfId="0" applyNumberFormat="1" applyFont="1" applyFill="1" applyBorder="1" applyAlignment="1">
      <alignment vertical="center" shrinkToFit="1"/>
    </xf>
    <xf numFmtId="0" fontId="8" fillId="0" borderId="1" xfId="0" applyFont="1" applyBorder="1" applyAlignment="1">
      <alignment horizontal="center" vertical="center" shrinkToFit="1"/>
    </xf>
    <xf numFmtId="0" fontId="8" fillId="0" borderId="10" xfId="0" applyFont="1" applyBorder="1" applyAlignment="1">
      <alignment horizontal="center" vertical="center" shrinkToFit="1"/>
    </xf>
    <xf numFmtId="0" fontId="2" fillId="0" borderId="9" xfId="0" applyFont="1" applyBorder="1" applyAlignment="1">
      <alignment vertical="center" shrinkToFit="1"/>
    </xf>
    <xf numFmtId="165" fontId="2" fillId="0" borderId="1" xfId="0" applyNumberFormat="1" applyFont="1" applyBorder="1" applyAlignment="1">
      <alignment vertical="center" shrinkToFit="1"/>
    </xf>
    <xf numFmtId="164" fontId="2" fillId="0" borderId="10" xfId="0" applyNumberFormat="1" applyFont="1" applyBorder="1" applyAlignment="1">
      <alignment vertical="center" shrinkToFit="1"/>
    </xf>
    <xf numFmtId="0" fontId="2" fillId="0" borderId="11" xfId="0" applyFont="1" applyBorder="1" applyAlignment="1">
      <alignment vertical="center" shrinkToFit="1"/>
    </xf>
    <xf numFmtId="165" fontId="2" fillId="0" borderId="12" xfId="0" applyNumberFormat="1" applyFont="1" applyBorder="1" applyAlignment="1">
      <alignment vertical="center" shrinkToFit="1"/>
    </xf>
    <xf numFmtId="164" fontId="2" fillId="0" borderId="13" xfId="0" applyNumberFormat="1" applyFont="1" applyBorder="1" applyAlignment="1">
      <alignment vertical="center" shrinkToFit="1"/>
    </xf>
    <xf numFmtId="0" fontId="14" fillId="4" borderId="2" xfId="0" applyFont="1" applyFill="1" applyBorder="1" applyAlignment="1">
      <alignment vertical="center" shrinkToFit="1"/>
    </xf>
    <xf numFmtId="0" fontId="10" fillId="0" borderId="2" xfId="0" applyFont="1" applyBorder="1" applyAlignment="1">
      <alignment vertical="center" shrinkToFit="1"/>
    </xf>
    <xf numFmtId="0" fontId="10" fillId="0" borderId="0" xfId="0" applyFont="1" applyAlignment="1">
      <alignment vertical="center" shrinkToFit="1"/>
    </xf>
    <xf numFmtId="0" fontId="12" fillId="9" borderId="2" xfId="0" applyFont="1" applyFill="1" applyBorder="1" applyAlignment="1">
      <alignment vertical="center" shrinkToFit="1"/>
    </xf>
    <xf numFmtId="165" fontId="10" fillId="0" borderId="1" xfId="0" applyNumberFormat="1" applyFont="1" applyBorder="1" applyAlignment="1">
      <alignment vertical="center" shrinkToFit="1"/>
    </xf>
    <xf numFmtId="164" fontId="10" fillId="0" borderId="1" xfId="0" applyNumberFormat="1" applyFont="1" applyBorder="1" applyAlignment="1">
      <alignment vertical="center" shrinkToFit="1"/>
    </xf>
    <xf numFmtId="0" fontId="13" fillId="0" borderId="1" xfId="0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center" vertical="center" shrinkToFit="1"/>
    </xf>
    <xf numFmtId="0" fontId="15" fillId="7" borderId="9" xfId="0" applyFont="1" applyFill="1" applyBorder="1" applyAlignment="1">
      <alignment horizontal="center" vertical="center" shrinkToFit="1"/>
    </xf>
    <xf numFmtId="165" fontId="15" fillId="7" borderId="1" xfId="0" applyNumberFormat="1" applyFont="1" applyFill="1" applyBorder="1" applyAlignment="1">
      <alignment horizontal="center" vertical="center" shrinkToFit="1"/>
    </xf>
    <xf numFmtId="166" fontId="15" fillId="7" borderId="10" xfId="0" applyNumberFormat="1" applyFont="1" applyFill="1" applyBorder="1" applyAlignment="1">
      <alignment horizontal="center" vertical="center" shrinkToFit="1"/>
    </xf>
    <xf numFmtId="164" fontId="15" fillId="7" borderId="10" xfId="0" applyNumberFormat="1" applyFont="1" applyFill="1" applyBorder="1" applyAlignment="1">
      <alignment horizontal="center" vertical="center" shrinkToFit="1"/>
    </xf>
    <xf numFmtId="14" fontId="10" fillId="0" borderId="9" xfId="0" applyNumberFormat="1" applyFont="1" applyBorder="1" applyAlignment="1">
      <alignment vertical="center" shrinkToFit="1"/>
    </xf>
    <xf numFmtId="165" fontId="16" fillId="8" borderId="10" xfId="0" applyNumberFormat="1" applyFont="1" applyFill="1" applyBorder="1" applyAlignment="1">
      <alignment vertical="center" shrinkToFit="1"/>
    </xf>
    <xf numFmtId="164" fontId="16" fillId="8" borderId="10" xfId="0" applyNumberFormat="1" applyFont="1" applyFill="1" applyBorder="1" applyAlignment="1">
      <alignment vertical="center" shrinkToFit="1"/>
    </xf>
    <xf numFmtId="0" fontId="10" fillId="0" borderId="9" xfId="0" applyFont="1" applyBorder="1" applyAlignment="1">
      <alignment vertical="center" shrinkToFit="1"/>
    </xf>
    <xf numFmtId="164" fontId="10" fillId="0" borderId="10" xfId="0" applyNumberFormat="1" applyFont="1" applyBorder="1" applyAlignment="1">
      <alignment vertical="center" shrinkToFit="1"/>
    </xf>
    <xf numFmtId="166" fontId="10" fillId="0" borderId="10" xfId="0" applyNumberFormat="1" applyFont="1" applyBorder="1" applyAlignment="1">
      <alignment vertical="center" shrinkToFit="1"/>
    </xf>
    <xf numFmtId="0" fontId="0" fillId="0" borderId="0" xfId="0" applyAlignment="1">
      <alignment vertical="center" shrinkToFit="1"/>
    </xf>
    <xf numFmtId="0" fontId="10" fillId="0" borderId="11" xfId="0" applyFont="1" applyBorder="1" applyAlignment="1">
      <alignment vertical="center" shrinkToFit="1"/>
    </xf>
    <xf numFmtId="165" fontId="10" fillId="0" borderId="12" xfId="0" applyNumberFormat="1" applyFont="1" applyBorder="1" applyAlignment="1">
      <alignment vertical="center" shrinkToFit="1"/>
    </xf>
    <xf numFmtId="166" fontId="10" fillId="0" borderId="13" xfId="0" applyNumberFormat="1" applyFont="1" applyBorder="1" applyAlignment="1">
      <alignment vertical="center" shrinkToFit="1"/>
    </xf>
    <xf numFmtId="164" fontId="10" fillId="0" borderId="12" xfId="0" applyNumberFormat="1" applyFont="1" applyBorder="1" applyAlignment="1">
      <alignment vertical="center" shrinkToFit="1"/>
    </xf>
    <xf numFmtId="164" fontId="10" fillId="0" borderId="13" xfId="0" applyNumberFormat="1" applyFont="1" applyBorder="1" applyAlignment="1">
      <alignment vertical="center" shrinkToFit="1"/>
    </xf>
    <xf numFmtId="165" fontId="10" fillId="0" borderId="0" xfId="0" applyNumberFormat="1" applyFont="1" applyAlignment="1">
      <alignment vertical="center" shrinkToFit="1"/>
    </xf>
    <xf numFmtId="166" fontId="10" fillId="0" borderId="0" xfId="0" applyNumberFormat="1" applyFont="1" applyAlignment="1">
      <alignment vertical="center" shrinkToFit="1"/>
    </xf>
    <xf numFmtId="164" fontId="10" fillId="0" borderId="0" xfId="0" applyNumberFormat="1" applyFont="1" applyAlignment="1">
      <alignment vertical="center" shrinkToFit="1"/>
    </xf>
    <xf numFmtId="165" fontId="2" fillId="11" borderId="13" xfId="0" applyNumberFormat="1" applyFont="1" applyFill="1" applyBorder="1" applyAlignment="1">
      <alignment horizontal="center" vertical="center" shrinkToFit="1"/>
    </xf>
    <xf numFmtId="0" fontId="8" fillId="0" borderId="9" xfId="0" applyFont="1" applyBorder="1" applyAlignment="1">
      <alignment horizontal="center" vertical="center" shrinkToFit="1"/>
    </xf>
    <xf numFmtId="0" fontId="8" fillId="6" borderId="9" xfId="0" applyFont="1" applyFill="1" applyBorder="1" applyAlignment="1">
      <alignment horizontal="center" vertical="center" shrinkToFit="1"/>
    </xf>
    <xf numFmtId="165" fontId="2" fillId="6" borderId="1" xfId="0" applyNumberFormat="1" applyFont="1" applyFill="1" applyBorder="1" applyAlignment="1">
      <alignment vertical="center" shrinkToFit="1"/>
    </xf>
    <xf numFmtId="164" fontId="12" fillId="10" borderId="1" xfId="0" applyNumberFormat="1" applyFont="1" applyFill="1" applyBorder="1" applyAlignment="1">
      <alignment vertical="center" shrinkToFit="1"/>
    </xf>
    <xf numFmtId="0" fontId="3" fillId="0" borderId="3" xfId="0" applyFont="1" applyBorder="1" applyAlignment="1">
      <alignment horizontal="center" vertical="center" shrinkToFit="1"/>
    </xf>
    <xf numFmtId="0" fontId="3" fillId="0" borderId="4" xfId="0" applyFont="1" applyBorder="1" applyAlignment="1">
      <alignment horizontal="center" vertical="center" shrinkToFit="1"/>
    </xf>
    <xf numFmtId="0" fontId="9" fillId="0" borderId="7" xfId="0" applyFont="1" applyBorder="1" applyAlignment="1">
      <alignment horizontal="center" vertical="center" shrinkToFit="1"/>
    </xf>
    <xf numFmtId="0" fontId="9" fillId="0" borderId="8" xfId="0" applyFont="1" applyBorder="1" applyAlignment="1">
      <alignment horizontal="center" vertical="center" shrinkToFit="1"/>
    </xf>
    <xf numFmtId="0" fontId="9" fillId="0" borderId="6" xfId="0" applyFont="1" applyBorder="1" applyAlignment="1">
      <alignment horizontal="center" vertical="center" shrinkToFit="1"/>
    </xf>
    <xf numFmtId="0" fontId="9" fillId="0" borderId="9" xfId="0" applyFont="1" applyBorder="1" applyAlignment="1">
      <alignment horizontal="center" vertical="center" shrinkToFit="1"/>
    </xf>
    <xf numFmtId="0" fontId="2" fillId="10" borderId="14" xfId="0" applyFont="1" applyFill="1" applyBorder="1" applyAlignment="1">
      <alignment horizontal="center" vertical="center" shrinkToFit="1"/>
    </xf>
    <xf numFmtId="0" fontId="2" fillId="10" borderId="0" xfId="0" applyFont="1" applyFill="1" applyAlignment="1">
      <alignment horizontal="center" vertical="center" shrinkToFit="1"/>
    </xf>
    <xf numFmtId="0" fontId="13" fillId="7" borderId="6" xfId="0" applyFont="1" applyFill="1" applyBorder="1" applyAlignment="1">
      <alignment horizontal="center" vertical="center" shrinkToFit="1"/>
    </xf>
    <xf numFmtId="0" fontId="13" fillId="7" borderId="7" xfId="0" applyFont="1" applyFill="1" applyBorder="1" applyAlignment="1">
      <alignment horizontal="center" vertical="center" shrinkToFit="1"/>
    </xf>
    <xf numFmtId="0" fontId="13" fillId="7" borderId="8" xfId="0" applyFont="1" applyFill="1" applyBorder="1" applyAlignment="1">
      <alignment horizontal="center" vertical="center" shrinkToFit="1"/>
    </xf>
    <xf numFmtId="0" fontId="13" fillId="7" borderId="15" xfId="0" applyFont="1" applyFill="1" applyBorder="1" applyAlignment="1">
      <alignment horizontal="center" vertical="center" shrinkToFit="1"/>
    </xf>
    <xf numFmtId="0" fontId="13" fillId="7" borderId="16" xfId="0" applyFont="1" applyFill="1" applyBorder="1" applyAlignment="1">
      <alignment horizontal="center" vertical="center" shrinkToFit="1"/>
    </xf>
    <xf numFmtId="0" fontId="13" fillId="7" borderId="17" xfId="0" applyFont="1" applyFill="1" applyBorder="1" applyAlignment="1">
      <alignment horizontal="center" vertical="center" shrinkToFit="1"/>
    </xf>
    <xf numFmtId="164" fontId="13" fillId="7" borderId="16" xfId="0" applyNumberFormat="1" applyFont="1" applyFill="1" applyBorder="1" applyAlignment="1">
      <alignment horizontal="center" vertical="center" shrinkToFit="1"/>
    </xf>
    <xf numFmtId="164" fontId="13" fillId="7" borderId="17" xfId="0" applyNumberFormat="1" applyFont="1" applyFill="1" applyBorder="1" applyAlignment="1">
      <alignment horizontal="center" vertical="center" shrinkToFit="1"/>
    </xf>
    <xf numFmtId="0" fontId="14" fillId="4" borderId="2" xfId="0" applyFont="1" applyFill="1" applyBorder="1" applyAlignment="1">
      <alignment horizontal="center" vertical="center" shrinkToFit="1"/>
    </xf>
    <xf numFmtId="0" fontId="13" fillId="0" borderId="1" xfId="0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center" vertical="center" shrinkToFit="1"/>
    </xf>
    <xf numFmtId="0" fontId="13" fillId="6" borderId="9" xfId="0" applyFont="1" applyFill="1" applyBorder="1" applyAlignment="1">
      <alignment horizontal="center" vertical="center" shrinkToFit="1"/>
    </xf>
    <xf numFmtId="0" fontId="11" fillId="5" borderId="6" xfId="0" applyFont="1" applyFill="1" applyBorder="1" applyAlignment="1">
      <alignment horizontal="center" vertical="center" shrinkToFit="1"/>
    </xf>
    <xf numFmtId="0" fontId="11" fillId="5" borderId="7" xfId="0" applyFont="1" applyFill="1" applyBorder="1" applyAlignment="1">
      <alignment horizontal="center" vertical="center" shrinkToFit="1"/>
    </xf>
    <xf numFmtId="0" fontId="11" fillId="5" borderId="8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vi-VN"/>
              <a:t>NĂM 1 (01/05/2026 - 01/05/2027)</a:t>
            </a:r>
          </a:p>
        </c:rich>
      </c:tx>
      <c:layout>
        <c:manualLayout>
          <c:xMode val="edge"/>
          <c:yMode val="edge"/>
          <c:x val="0.11626377952755904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E76A-4803-BE7F-9AE651C17D9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E76A-4803-BE7F-9AE651C17D9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vi-VN"/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'Mục tiêu'!$H$5:$I$5</c:f>
              <c:strCache>
                <c:ptCount val="2"/>
                <c:pt idx="0">
                  <c:v>TÀI SẢN HIỆN TẠI</c:v>
                </c:pt>
                <c:pt idx="1">
                  <c:v>CÒN THIẾU</c:v>
                </c:pt>
              </c:strCache>
            </c:strRef>
          </c:cat>
          <c:val>
            <c:numRef>
              <c:f>'Mục tiêu'!$H$6:$I$6</c:f>
              <c:numCache>
                <c:formatCode>[$¥-411]#,##0</c:formatCode>
                <c:ptCount val="2"/>
                <c:pt idx="0">
                  <c:v>540240.96385542164</c:v>
                </c:pt>
                <c:pt idx="1">
                  <c:v>-2459759.0361445784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44-4409-8DB8-2D9672169A96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133350</xdr:colOff>
      <xdr:row>8</xdr:row>
      <xdr:rowOff>0</xdr:rowOff>
    </xdr:from>
    <xdr:to>
      <xdr:col>8</xdr:col>
      <xdr:colOff>1535430</xdr:colOff>
      <xdr:row>16</xdr:row>
      <xdr:rowOff>182880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6B5ED4A-6EA6-3CBD-22F7-38E3347BC9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47ADB-D9E0-48C5-AF00-F0C27A9CBC6C}">
  <dimension ref="A1:B4"/>
  <sheetViews>
    <sheetView workbookViewId="0">
      <selection activeCell="C4" sqref="C4"/>
    </sheetView>
  </sheetViews>
  <sheetFormatPr defaultColWidth="14.25" defaultRowHeight="23.25"/>
  <cols>
    <col min="1" max="1" width="19" style="3" customWidth="1"/>
    <col min="2" max="2" width="25.125" style="3" customWidth="1"/>
    <col min="3" max="16384" width="14.25" style="3"/>
  </cols>
  <sheetData>
    <row r="1" spans="1:2" ht="24.75" thickTop="1" thickBot="1">
      <c r="A1" s="6" t="s">
        <v>0</v>
      </c>
      <c r="B1" s="4">
        <f>B2+B3</f>
        <v>62414710</v>
      </c>
    </row>
    <row r="2" spans="1:2" ht="24.75" thickTop="1" thickBot="1">
      <c r="A2" s="7" t="s">
        <v>1</v>
      </c>
      <c r="B2" s="5">
        <f>198574*165</f>
        <v>32764710</v>
      </c>
    </row>
    <row r="3" spans="1:2" ht="24.75" thickTop="1" thickBot="1">
      <c r="A3" s="7" t="s">
        <v>2</v>
      </c>
      <c r="B3" s="5">
        <v>29650000</v>
      </c>
    </row>
    <row r="4" spans="1:2" ht="24" thickTop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75988-4B25-4375-8D7D-9D83919DB7AD}">
  <dimension ref="A1:I8"/>
  <sheetViews>
    <sheetView workbookViewId="0">
      <selection activeCell="D11" sqref="D11"/>
    </sheetView>
  </sheetViews>
  <sheetFormatPr defaultColWidth="22.625" defaultRowHeight="25.15" customHeight="1"/>
  <cols>
    <col min="1" max="1" width="55.25" style="1" customWidth="1"/>
    <col min="2" max="3" width="22.625" style="1"/>
    <col min="4" max="5" width="29.125" style="1" customWidth="1"/>
    <col min="6" max="6" width="22.625" style="1"/>
    <col min="7" max="9" width="20.75" style="1" customWidth="1"/>
    <col min="10" max="16384" width="22.625" style="1"/>
  </cols>
  <sheetData>
    <row r="1" spans="1:9" s="2" customFormat="1" ht="25.15" customHeight="1" thickTop="1" thickBot="1">
      <c r="A1" s="9" t="s">
        <v>3</v>
      </c>
      <c r="C1" s="51" t="s">
        <v>9</v>
      </c>
      <c r="D1" s="52"/>
      <c r="E1" s="10">
        <v>46143</v>
      </c>
    </row>
    <row r="2" spans="1:9" ht="25.15" customHeight="1" thickTop="1" thickBot="1">
      <c r="A2" s="8" t="s">
        <v>4</v>
      </c>
    </row>
    <row r="3" spans="1:9" ht="25.15" customHeight="1" thickTop="1" thickBot="1">
      <c r="A3" s="8" t="s">
        <v>5</v>
      </c>
      <c r="C3" s="55" t="s">
        <v>10</v>
      </c>
      <c r="D3" s="53" t="s">
        <v>11</v>
      </c>
      <c r="E3" s="54"/>
    </row>
    <row r="4" spans="1:9" ht="25.15" customHeight="1" thickTop="1" thickBot="1">
      <c r="A4" s="8" t="s">
        <v>6</v>
      </c>
      <c r="C4" s="56"/>
      <c r="D4" s="11" t="s">
        <v>1</v>
      </c>
      <c r="E4" s="12" t="s">
        <v>2</v>
      </c>
      <c r="G4" s="57" t="s">
        <v>16</v>
      </c>
      <c r="H4" s="58"/>
      <c r="I4" s="58"/>
    </row>
    <row r="5" spans="1:9" ht="25.15" customHeight="1" thickTop="1" thickBot="1">
      <c r="A5" s="8" t="s">
        <v>7</v>
      </c>
      <c r="C5" s="13" t="s">
        <v>12</v>
      </c>
      <c r="D5" s="14">
        <v>3000000</v>
      </c>
      <c r="E5" s="15">
        <v>500000000</v>
      </c>
      <c r="G5" s="47" t="s">
        <v>17</v>
      </c>
      <c r="H5" s="12" t="s">
        <v>18</v>
      </c>
      <c r="I5" s="48" t="s">
        <v>38</v>
      </c>
    </row>
    <row r="6" spans="1:9" ht="25.15" customHeight="1" thickTop="1" thickBot="1">
      <c r="A6" s="8" t="s">
        <v>8</v>
      </c>
      <c r="C6" s="13" t="s">
        <v>13</v>
      </c>
      <c r="D6" s="14">
        <v>6000000</v>
      </c>
      <c r="E6" s="15">
        <v>1000000000</v>
      </c>
      <c r="G6" s="14">
        <v>3000000</v>
      </c>
      <c r="H6" s="46">
        <f>SUM('NĂM 1 (01 05 2026 - 01 05 2027)'!F4:F6)</f>
        <v>540240.96385542164</v>
      </c>
      <c r="I6" s="49">
        <f>H6-G6</f>
        <v>-2459759.0361445784</v>
      </c>
    </row>
    <row r="7" spans="1:9" ht="25.15" customHeight="1" thickTop="1" thickBot="1">
      <c r="C7" s="13" t="s">
        <v>14</v>
      </c>
      <c r="D7" s="14">
        <v>9500000</v>
      </c>
      <c r="E7" s="15">
        <f>D7*165</f>
        <v>1567500000</v>
      </c>
    </row>
    <row r="8" spans="1:9" ht="25.15" customHeight="1" thickTop="1" thickBot="1">
      <c r="C8" s="16" t="s">
        <v>15</v>
      </c>
      <c r="D8" s="17">
        <v>13000000</v>
      </c>
      <c r="E8" s="18">
        <f>D8*165</f>
        <v>2145000000</v>
      </c>
    </row>
  </sheetData>
  <mergeCells count="4">
    <mergeCell ref="C1:D1"/>
    <mergeCell ref="D3:E3"/>
    <mergeCell ref="C3:C4"/>
    <mergeCell ref="G4:I4"/>
  </mergeCells>
  <phoneticPr fontId="1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4D7CF-DB3F-451C-84E8-30113D9CFD93}">
  <dimension ref="A1:Y56"/>
  <sheetViews>
    <sheetView tabSelected="1" workbookViewId="0">
      <selection activeCell="K13" sqref="K13"/>
    </sheetView>
  </sheetViews>
  <sheetFormatPr defaultColWidth="8.75" defaultRowHeight="28.9" customHeight="1"/>
  <cols>
    <col min="1" max="1" width="22.5" style="21" customWidth="1"/>
    <col min="2" max="2" width="20.375" style="21" customWidth="1"/>
    <col min="3" max="3" width="20.75" style="21" customWidth="1"/>
    <col min="4" max="4" width="8.75" style="21"/>
    <col min="5" max="5" width="27.625" style="21" customWidth="1"/>
    <col min="6" max="6" width="15" style="21" customWidth="1"/>
    <col min="7" max="7" width="16.875" style="21" customWidth="1"/>
    <col min="8" max="8" width="8.75" style="21"/>
    <col min="9" max="9" width="19.25" style="21" customWidth="1"/>
    <col min="10" max="10" width="19.25" style="43" customWidth="1"/>
    <col min="11" max="11" width="19.25" style="44" customWidth="1"/>
    <col min="12" max="12" width="16.5" style="37" customWidth="1"/>
    <col min="13" max="13" width="14.5" style="21" customWidth="1"/>
    <col min="14" max="14" width="8.75" style="21"/>
    <col min="15" max="15" width="19.25" style="21" customWidth="1"/>
    <col min="16" max="16" width="19.25" style="43" customWidth="1"/>
    <col min="17" max="17" width="19.25" style="44" customWidth="1"/>
    <col min="18" max="18" width="19.125" style="37" customWidth="1"/>
    <col min="19" max="19" width="14.5" style="21" customWidth="1"/>
    <col min="20" max="20" width="8.75" style="21"/>
    <col min="21" max="21" width="19.25" style="21" customWidth="1"/>
    <col min="22" max="23" width="21" style="45" customWidth="1"/>
    <col min="24" max="24" width="19.125" style="37" customWidth="1"/>
    <col min="25" max="25" width="17.625" style="21" customWidth="1"/>
    <col min="26" max="16384" width="8.75" style="21"/>
  </cols>
  <sheetData>
    <row r="1" spans="1:25" ht="28.9" customHeight="1" thickTop="1" thickBot="1">
      <c r="A1" s="67" t="s">
        <v>19</v>
      </c>
      <c r="B1" s="19" t="s">
        <v>2</v>
      </c>
      <c r="C1" s="24">
        <v>77143793</v>
      </c>
      <c r="E1" s="71" t="s">
        <v>11</v>
      </c>
      <c r="F1" s="72"/>
      <c r="G1" s="73"/>
      <c r="I1" s="59" t="s">
        <v>27</v>
      </c>
      <c r="J1" s="60"/>
      <c r="K1" s="61"/>
      <c r="L1" s="22" t="s">
        <v>30</v>
      </c>
      <c r="M1" s="20" t="s">
        <v>31</v>
      </c>
      <c r="O1" s="62" t="s">
        <v>35</v>
      </c>
      <c r="P1" s="63"/>
      <c r="Q1" s="64"/>
      <c r="R1" s="22" t="s">
        <v>40</v>
      </c>
      <c r="S1" s="23">
        <v>130000</v>
      </c>
      <c r="U1" s="62" t="s">
        <v>37</v>
      </c>
      <c r="V1" s="65"/>
      <c r="W1" s="66"/>
      <c r="X1" s="22" t="s">
        <v>36</v>
      </c>
      <c r="Y1" s="24">
        <v>5000000</v>
      </c>
    </row>
    <row r="2" spans="1:25" ht="28.9" customHeight="1" thickTop="1" thickBot="1">
      <c r="A2" s="67"/>
      <c r="B2" s="19" t="s">
        <v>1</v>
      </c>
      <c r="C2" s="23">
        <v>413158</v>
      </c>
      <c r="E2" s="70" t="s">
        <v>20</v>
      </c>
      <c r="F2" s="68" t="s">
        <v>21</v>
      </c>
      <c r="G2" s="69"/>
      <c r="I2" s="27" t="s">
        <v>28</v>
      </c>
      <c r="J2" s="28" t="s">
        <v>21</v>
      </c>
      <c r="K2" s="29" t="s">
        <v>29</v>
      </c>
      <c r="L2" s="22" t="s">
        <v>32</v>
      </c>
      <c r="M2" s="20" t="s">
        <v>31</v>
      </c>
      <c r="O2" s="27" t="s">
        <v>28</v>
      </c>
      <c r="P2" s="28" t="s">
        <v>21</v>
      </c>
      <c r="Q2" s="29" t="s">
        <v>29</v>
      </c>
      <c r="R2" s="22" t="s">
        <v>39</v>
      </c>
      <c r="S2" s="23">
        <v>50000</v>
      </c>
      <c r="U2" s="27" t="s">
        <v>28</v>
      </c>
      <c r="V2" s="28" t="s">
        <v>21</v>
      </c>
      <c r="W2" s="30" t="s">
        <v>29</v>
      </c>
      <c r="X2" s="21"/>
    </row>
    <row r="3" spans="1:25" ht="28.9" customHeight="1" thickTop="1" thickBot="1">
      <c r="C3" s="50">
        <f>C1+C2*165</f>
        <v>145314863</v>
      </c>
      <c r="E3" s="70"/>
      <c r="F3" s="25" t="s">
        <v>22</v>
      </c>
      <c r="G3" s="26" t="s">
        <v>23</v>
      </c>
      <c r="I3" s="31"/>
      <c r="J3" s="23"/>
      <c r="K3" s="32">
        <f>SUM(J3:J28)</f>
        <v>180000</v>
      </c>
      <c r="L3" s="22" t="s">
        <v>33</v>
      </c>
      <c r="M3" s="20" t="s">
        <v>34</v>
      </c>
      <c r="O3" s="31"/>
      <c r="P3" s="23"/>
      <c r="Q3" s="32">
        <f>SUM(P3:P28)</f>
        <v>300000</v>
      </c>
      <c r="R3" s="21"/>
      <c r="U3" s="31"/>
      <c r="V3" s="24"/>
      <c r="W3" s="33">
        <f>SUM(V3:V28)</f>
        <v>10000000</v>
      </c>
      <c r="X3" s="21"/>
    </row>
    <row r="4" spans="1:25" ht="28.9" customHeight="1" thickTop="1" thickBot="1">
      <c r="E4" s="34" t="s">
        <v>24</v>
      </c>
      <c r="F4" s="23">
        <f>K3</f>
        <v>180000</v>
      </c>
      <c r="G4" s="35">
        <f>F4*165</f>
        <v>29700000</v>
      </c>
      <c r="I4" s="31">
        <v>46152</v>
      </c>
      <c r="J4" s="23">
        <v>30000</v>
      </c>
      <c r="K4" s="36" t="s">
        <v>42</v>
      </c>
      <c r="O4" s="31">
        <v>46128</v>
      </c>
      <c r="P4" s="23">
        <v>50000</v>
      </c>
      <c r="Q4" s="36" t="s">
        <v>45</v>
      </c>
      <c r="U4" s="31">
        <v>46168</v>
      </c>
      <c r="V4" s="24">
        <v>5000000</v>
      </c>
      <c r="W4" s="35" t="s">
        <v>46</v>
      </c>
    </row>
    <row r="5" spans="1:25" ht="28.9" customHeight="1" thickTop="1" thickBot="1">
      <c r="E5" s="34" t="s">
        <v>25</v>
      </c>
      <c r="F5" s="23">
        <f>Q3</f>
        <v>300000</v>
      </c>
      <c r="G5" s="35">
        <f t="shared" ref="G5" si="0">F5*165</f>
        <v>49500000</v>
      </c>
      <c r="I5" s="31">
        <v>46167</v>
      </c>
      <c r="J5" s="23">
        <v>20000</v>
      </c>
      <c r="K5" s="36" t="s">
        <v>41</v>
      </c>
      <c r="O5" s="31">
        <v>46139</v>
      </c>
      <c r="P5" s="23">
        <v>100000</v>
      </c>
      <c r="Q5" s="36" t="s">
        <v>43</v>
      </c>
      <c r="U5" s="31">
        <v>46183</v>
      </c>
      <c r="V5" s="24">
        <v>5000000</v>
      </c>
      <c r="W5" s="35" t="s">
        <v>47</v>
      </c>
    </row>
    <row r="6" spans="1:25" ht="28.9" customHeight="1" thickTop="1" thickBot="1">
      <c r="E6" s="38" t="s">
        <v>26</v>
      </c>
      <c r="F6" s="39">
        <f>G6/166</f>
        <v>60240.963855421687</v>
      </c>
      <c r="G6" s="35">
        <f>W3</f>
        <v>10000000</v>
      </c>
      <c r="I6" s="31">
        <v>46182</v>
      </c>
      <c r="J6" s="23">
        <v>30000</v>
      </c>
      <c r="K6" s="36" t="s">
        <v>42</v>
      </c>
      <c r="O6" s="31">
        <v>46158</v>
      </c>
      <c r="P6" s="23">
        <v>50000</v>
      </c>
      <c r="Q6" s="36" t="s">
        <v>45</v>
      </c>
      <c r="U6" s="31"/>
      <c r="V6" s="24"/>
      <c r="W6" s="35"/>
    </row>
    <row r="7" spans="1:25" ht="28.9" customHeight="1" thickTop="1" thickBot="1">
      <c r="I7" s="31">
        <v>46188</v>
      </c>
      <c r="J7" s="23">
        <v>100000</v>
      </c>
      <c r="K7" s="36" t="s">
        <v>44</v>
      </c>
      <c r="O7" s="31">
        <v>46169</v>
      </c>
      <c r="P7" s="23">
        <v>100000</v>
      </c>
      <c r="Q7" s="36" t="s">
        <v>43</v>
      </c>
      <c r="U7" s="34"/>
      <c r="V7" s="24"/>
      <c r="W7" s="35"/>
    </row>
    <row r="8" spans="1:25" ht="28.9" customHeight="1" thickTop="1" thickBot="1">
      <c r="I8" s="34"/>
      <c r="J8" s="23"/>
      <c r="K8" s="36"/>
      <c r="O8" s="34"/>
      <c r="P8" s="23"/>
      <c r="Q8" s="36"/>
      <c r="U8" s="34"/>
      <c r="V8" s="24"/>
      <c r="W8" s="35"/>
    </row>
    <row r="9" spans="1:25" ht="28.9" customHeight="1" thickTop="1" thickBot="1">
      <c r="I9" s="34"/>
      <c r="J9" s="23"/>
      <c r="K9" s="36"/>
      <c r="O9" s="34"/>
      <c r="P9" s="23"/>
      <c r="Q9" s="36"/>
      <c r="U9" s="34"/>
      <c r="V9" s="24"/>
      <c r="W9" s="35"/>
    </row>
    <row r="10" spans="1:25" ht="28.9" customHeight="1" thickTop="1" thickBot="1">
      <c r="I10" s="34"/>
      <c r="J10" s="23"/>
      <c r="K10" s="36"/>
      <c r="L10" s="21"/>
      <c r="O10" s="34"/>
      <c r="P10" s="23"/>
      <c r="Q10" s="36"/>
      <c r="R10" s="21"/>
      <c r="U10" s="34"/>
      <c r="V10" s="24"/>
      <c r="W10" s="35"/>
      <c r="X10" s="21"/>
    </row>
    <row r="11" spans="1:25" ht="28.9" customHeight="1" thickTop="1" thickBot="1">
      <c r="I11" s="34"/>
      <c r="J11" s="23"/>
      <c r="K11" s="36"/>
      <c r="L11" s="21"/>
      <c r="O11" s="34"/>
      <c r="P11" s="23"/>
      <c r="Q11" s="36"/>
      <c r="R11" s="21"/>
      <c r="U11" s="34"/>
      <c r="V11" s="24"/>
      <c r="W11" s="35"/>
      <c r="X11" s="21"/>
    </row>
    <row r="12" spans="1:25" ht="28.9" customHeight="1" thickTop="1" thickBot="1">
      <c r="I12" s="34"/>
      <c r="J12" s="23"/>
      <c r="K12" s="36"/>
      <c r="L12" s="21"/>
      <c r="O12" s="34"/>
      <c r="P12" s="23"/>
      <c r="Q12" s="36"/>
      <c r="R12" s="21"/>
      <c r="U12" s="34"/>
      <c r="V12" s="24"/>
      <c r="W12" s="35"/>
      <c r="X12" s="21"/>
    </row>
    <row r="13" spans="1:25" ht="28.9" customHeight="1" thickTop="1" thickBot="1">
      <c r="I13" s="34"/>
      <c r="J13" s="23"/>
      <c r="K13" s="36"/>
      <c r="O13" s="34"/>
      <c r="P13" s="23"/>
      <c r="Q13" s="36"/>
      <c r="U13" s="34"/>
      <c r="V13" s="24"/>
      <c r="W13" s="35"/>
    </row>
    <row r="14" spans="1:25" ht="28.9" customHeight="1" thickTop="1" thickBot="1">
      <c r="I14" s="34"/>
      <c r="J14" s="23"/>
      <c r="K14" s="36"/>
      <c r="O14" s="34"/>
      <c r="P14" s="23"/>
      <c r="Q14" s="36"/>
      <c r="U14" s="34"/>
      <c r="V14" s="24"/>
      <c r="W14" s="35"/>
    </row>
    <row r="15" spans="1:25" ht="28.9" customHeight="1" thickTop="1" thickBot="1">
      <c r="I15" s="34"/>
      <c r="J15" s="23"/>
      <c r="K15" s="36"/>
      <c r="O15" s="34"/>
      <c r="P15" s="23"/>
      <c r="Q15" s="36"/>
      <c r="U15" s="34"/>
      <c r="V15" s="24"/>
      <c r="W15" s="35"/>
    </row>
    <row r="16" spans="1:25" ht="28.9" customHeight="1" thickTop="1" thickBot="1">
      <c r="I16" s="34"/>
      <c r="J16" s="23"/>
      <c r="K16" s="36"/>
      <c r="O16" s="34"/>
      <c r="P16" s="23"/>
      <c r="Q16" s="36"/>
      <c r="U16" s="34"/>
      <c r="V16" s="24"/>
      <c r="W16" s="35"/>
    </row>
    <row r="17" spans="9:23" ht="28.9" customHeight="1" thickTop="1" thickBot="1">
      <c r="I17" s="34"/>
      <c r="J17" s="23"/>
      <c r="K17" s="36"/>
      <c r="O17" s="34"/>
      <c r="P17" s="23"/>
      <c r="Q17" s="36"/>
      <c r="U17" s="34"/>
      <c r="V17" s="24"/>
      <c r="W17" s="35"/>
    </row>
    <row r="18" spans="9:23" ht="28.9" customHeight="1" thickTop="1" thickBot="1">
      <c r="I18" s="34"/>
      <c r="J18" s="23"/>
      <c r="K18" s="36"/>
      <c r="O18" s="34"/>
      <c r="P18" s="23"/>
      <c r="Q18" s="36"/>
      <c r="U18" s="34"/>
      <c r="V18" s="24"/>
      <c r="W18" s="35"/>
    </row>
    <row r="19" spans="9:23" ht="28.9" customHeight="1" thickTop="1" thickBot="1">
      <c r="I19" s="34"/>
      <c r="J19" s="23"/>
      <c r="K19" s="36"/>
      <c r="O19" s="34"/>
      <c r="P19" s="23"/>
      <c r="Q19" s="36"/>
      <c r="U19" s="34"/>
      <c r="V19" s="24"/>
      <c r="W19" s="35"/>
    </row>
    <row r="20" spans="9:23" ht="28.9" customHeight="1" thickTop="1" thickBot="1">
      <c r="I20" s="34"/>
      <c r="J20" s="23"/>
      <c r="K20" s="36"/>
      <c r="O20" s="34"/>
      <c r="P20" s="23"/>
      <c r="Q20" s="36"/>
      <c r="U20" s="34"/>
      <c r="V20" s="24"/>
      <c r="W20" s="35"/>
    </row>
    <row r="21" spans="9:23" ht="28.9" customHeight="1" thickTop="1" thickBot="1">
      <c r="I21" s="34"/>
      <c r="J21" s="23"/>
      <c r="K21" s="36"/>
      <c r="O21" s="34"/>
      <c r="P21" s="23"/>
      <c r="Q21" s="36"/>
      <c r="U21" s="34"/>
      <c r="V21" s="24"/>
      <c r="W21" s="35"/>
    </row>
    <row r="22" spans="9:23" ht="28.9" customHeight="1" thickTop="1" thickBot="1">
      <c r="I22" s="34"/>
      <c r="J22" s="23"/>
      <c r="K22" s="36"/>
      <c r="O22" s="34"/>
      <c r="P22" s="23"/>
      <c r="Q22" s="36"/>
      <c r="U22" s="34"/>
      <c r="V22" s="24"/>
      <c r="W22" s="35"/>
    </row>
    <row r="23" spans="9:23" ht="28.9" customHeight="1" thickTop="1" thickBot="1">
      <c r="I23" s="34"/>
      <c r="J23" s="23"/>
      <c r="K23" s="36"/>
      <c r="O23" s="34"/>
      <c r="P23" s="23"/>
      <c r="Q23" s="36"/>
      <c r="U23" s="34"/>
      <c r="V23" s="24"/>
      <c r="W23" s="35"/>
    </row>
    <row r="24" spans="9:23" ht="28.9" customHeight="1" thickTop="1" thickBot="1">
      <c r="I24" s="34"/>
      <c r="J24" s="23"/>
      <c r="K24" s="36"/>
      <c r="O24" s="34"/>
      <c r="P24" s="23"/>
      <c r="Q24" s="36"/>
      <c r="U24" s="34"/>
      <c r="V24" s="24"/>
      <c r="W24" s="35"/>
    </row>
    <row r="25" spans="9:23" ht="28.9" customHeight="1" thickTop="1" thickBot="1">
      <c r="I25" s="34"/>
      <c r="J25" s="23"/>
      <c r="K25" s="36"/>
      <c r="O25" s="34"/>
      <c r="P25" s="23"/>
      <c r="Q25" s="36"/>
      <c r="U25" s="34"/>
      <c r="V25" s="24"/>
      <c r="W25" s="35"/>
    </row>
    <row r="26" spans="9:23" ht="28.9" customHeight="1" thickTop="1" thickBot="1">
      <c r="I26" s="34"/>
      <c r="J26" s="23"/>
      <c r="K26" s="36"/>
      <c r="O26" s="34"/>
      <c r="P26" s="23"/>
      <c r="Q26" s="36"/>
      <c r="U26" s="34"/>
      <c r="V26" s="24"/>
      <c r="W26" s="35"/>
    </row>
    <row r="27" spans="9:23" ht="28.9" customHeight="1" thickTop="1" thickBot="1">
      <c r="I27" s="34"/>
      <c r="J27" s="23"/>
      <c r="K27" s="36"/>
      <c r="O27" s="34"/>
      <c r="P27" s="23"/>
      <c r="Q27" s="36"/>
      <c r="U27" s="34"/>
      <c r="V27" s="24"/>
      <c r="W27" s="35"/>
    </row>
    <row r="28" spans="9:23" ht="28.9" customHeight="1" thickTop="1" thickBot="1">
      <c r="I28" s="34"/>
      <c r="J28" s="23"/>
      <c r="K28" s="36"/>
      <c r="O28" s="34"/>
      <c r="P28" s="23"/>
      <c r="Q28" s="36"/>
      <c r="U28" s="34"/>
      <c r="V28" s="24"/>
      <c r="W28" s="35"/>
    </row>
    <row r="29" spans="9:23" ht="28.9" customHeight="1" thickTop="1" thickBot="1">
      <c r="I29" s="34"/>
      <c r="J29" s="23"/>
      <c r="K29" s="36"/>
      <c r="O29" s="34"/>
      <c r="P29" s="23"/>
      <c r="Q29" s="36"/>
      <c r="U29" s="34"/>
      <c r="V29" s="24"/>
      <c r="W29" s="35"/>
    </row>
    <row r="30" spans="9:23" ht="28.9" customHeight="1" thickTop="1" thickBot="1">
      <c r="I30" s="34"/>
      <c r="J30" s="23"/>
      <c r="K30" s="36"/>
      <c r="O30" s="34"/>
      <c r="P30" s="23"/>
      <c r="Q30" s="36"/>
      <c r="U30" s="34"/>
      <c r="V30" s="24"/>
      <c r="W30" s="35"/>
    </row>
    <row r="31" spans="9:23" ht="28.9" customHeight="1" thickTop="1" thickBot="1">
      <c r="I31" s="34"/>
      <c r="J31" s="23"/>
      <c r="K31" s="36"/>
      <c r="O31" s="34"/>
      <c r="P31" s="23"/>
      <c r="Q31" s="36"/>
      <c r="U31" s="34"/>
      <c r="V31" s="24"/>
      <c r="W31" s="35"/>
    </row>
    <row r="32" spans="9:23" ht="28.9" customHeight="1" thickTop="1" thickBot="1">
      <c r="I32" s="34"/>
      <c r="J32" s="23"/>
      <c r="K32" s="36"/>
      <c r="O32" s="34"/>
      <c r="P32" s="23"/>
      <c r="Q32" s="36"/>
      <c r="U32" s="34"/>
      <c r="V32" s="24"/>
      <c r="W32" s="35"/>
    </row>
    <row r="33" spans="9:23" ht="28.9" customHeight="1" thickTop="1" thickBot="1">
      <c r="I33" s="34"/>
      <c r="J33" s="23"/>
      <c r="K33" s="36"/>
      <c r="O33" s="34"/>
      <c r="P33" s="23"/>
      <c r="Q33" s="36"/>
      <c r="U33" s="34"/>
      <c r="V33" s="24"/>
      <c r="W33" s="35"/>
    </row>
    <row r="34" spans="9:23" ht="28.9" customHeight="1" thickTop="1" thickBot="1">
      <c r="I34" s="34"/>
      <c r="J34" s="23"/>
      <c r="K34" s="36"/>
      <c r="O34" s="34"/>
      <c r="P34" s="23"/>
      <c r="Q34" s="36"/>
      <c r="U34" s="34"/>
      <c r="V34" s="24"/>
      <c r="W34" s="35"/>
    </row>
    <row r="35" spans="9:23" ht="28.9" customHeight="1" thickTop="1" thickBot="1">
      <c r="I35" s="34"/>
      <c r="J35" s="23"/>
      <c r="K35" s="36"/>
      <c r="O35" s="34"/>
      <c r="P35" s="23"/>
      <c r="Q35" s="36"/>
      <c r="U35" s="34"/>
      <c r="V35" s="24"/>
      <c r="W35" s="35"/>
    </row>
    <row r="36" spans="9:23" ht="28.9" customHeight="1" thickTop="1" thickBot="1">
      <c r="I36" s="34"/>
      <c r="J36" s="23"/>
      <c r="K36" s="36"/>
      <c r="O36" s="34"/>
      <c r="P36" s="23"/>
      <c r="Q36" s="36"/>
      <c r="U36" s="34"/>
      <c r="V36" s="24"/>
      <c r="W36" s="35"/>
    </row>
    <row r="37" spans="9:23" ht="28.9" customHeight="1" thickTop="1" thickBot="1">
      <c r="I37" s="34"/>
      <c r="J37" s="23"/>
      <c r="K37" s="36"/>
      <c r="O37" s="34"/>
      <c r="P37" s="23"/>
      <c r="Q37" s="36"/>
      <c r="U37" s="34"/>
      <c r="V37" s="24"/>
      <c r="W37" s="35"/>
    </row>
    <row r="38" spans="9:23" ht="28.9" customHeight="1" thickTop="1" thickBot="1">
      <c r="I38" s="34"/>
      <c r="J38" s="23"/>
      <c r="K38" s="36"/>
      <c r="O38" s="34"/>
      <c r="P38" s="23"/>
      <c r="Q38" s="36"/>
      <c r="U38" s="34"/>
      <c r="V38" s="24"/>
      <c r="W38" s="35"/>
    </row>
    <row r="39" spans="9:23" ht="28.9" customHeight="1" thickTop="1" thickBot="1">
      <c r="I39" s="34"/>
      <c r="J39" s="23"/>
      <c r="K39" s="36"/>
      <c r="O39" s="34"/>
      <c r="P39" s="23"/>
      <c r="Q39" s="36"/>
      <c r="U39" s="34"/>
      <c r="V39" s="24"/>
      <c r="W39" s="35"/>
    </row>
    <row r="40" spans="9:23" ht="28.9" customHeight="1" thickTop="1" thickBot="1">
      <c r="I40" s="34"/>
      <c r="J40" s="23"/>
      <c r="K40" s="36"/>
      <c r="O40" s="34"/>
      <c r="P40" s="23"/>
      <c r="Q40" s="36"/>
      <c r="U40" s="34"/>
      <c r="V40" s="24"/>
      <c r="W40" s="35"/>
    </row>
    <row r="41" spans="9:23" ht="28.9" customHeight="1" thickTop="1" thickBot="1">
      <c r="I41" s="34"/>
      <c r="J41" s="23"/>
      <c r="K41" s="36"/>
      <c r="O41" s="34"/>
      <c r="P41" s="23"/>
      <c r="Q41" s="36"/>
      <c r="U41" s="34"/>
      <c r="V41" s="24"/>
      <c r="W41" s="35"/>
    </row>
    <row r="42" spans="9:23" ht="28.9" customHeight="1" thickTop="1" thickBot="1">
      <c r="I42" s="34"/>
      <c r="J42" s="23"/>
      <c r="K42" s="36"/>
      <c r="O42" s="34"/>
      <c r="P42" s="23"/>
      <c r="Q42" s="36"/>
      <c r="U42" s="34"/>
      <c r="V42" s="24"/>
      <c r="W42" s="35"/>
    </row>
    <row r="43" spans="9:23" ht="28.9" customHeight="1" thickTop="1" thickBot="1">
      <c r="I43" s="34"/>
      <c r="J43" s="23"/>
      <c r="K43" s="36"/>
      <c r="O43" s="34"/>
      <c r="P43" s="23"/>
      <c r="Q43" s="36"/>
      <c r="U43" s="34"/>
      <c r="V43" s="24"/>
      <c r="W43" s="35"/>
    </row>
    <row r="44" spans="9:23" ht="28.9" customHeight="1" thickTop="1" thickBot="1">
      <c r="I44" s="34"/>
      <c r="J44" s="23"/>
      <c r="K44" s="36"/>
      <c r="O44" s="34"/>
      <c r="P44" s="23"/>
      <c r="Q44" s="36"/>
      <c r="U44" s="34"/>
      <c r="V44" s="24"/>
      <c r="W44" s="35"/>
    </row>
    <row r="45" spans="9:23" ht="28.9" customHeight="1" thickTop="1" thickBot="1">
      <c r="I45" s="34"/>
      <c r="J45" s="23"/>
      <c r="K45" s="36"/>
      <c r="O45" s="34"/>
      <c r="P45" s="23"/>
      <c r="Q45" s="36"/>
      <c r="U45" s="34"/>
      <c r="V45" s="24"/>
      <c r="W45" s="35"/>
    </row>
    <row r="46" spans="9:23" ht="28.9" customHeight="1" thickTop="1" thickBot="1">
      <c r="I46" s="34"/>
      <c r="J46" s="23"/>
      <c r="K46" s="36"/>
      <c r="O46" s="34"/>
      <c r="P46" s="23"/>
      <c r="Q46" s="36"/>
      <c r="U46" s="34"/>
      <c r="V46" s="24"/>
      <c r="W46" s="35"/>
    </row>
    <row r="47" spans="9:23" ht="28.9" customHeight="1" thickTop="1" thickBot="1">
      <c r="I47" s="34"/>
      <c r="J47" s="23"/>
      <c r="K47" s="36"/>
      <c r="O47" s="34"/>
      <c r="P47" s="23"/>
      <c r="Q47" s="36"/>
      <c r="U47" s="34"/>
      <c r="V47" s="24"/>
      <c r="W47" s="35"/>
    </row>
    <row r="48" spans="9:23" ht="28.9" customHeight="1" thickTop="1" thickBot="1">
      <c r="I48" s="34"/>
      <c r="J48" s="23"/>
      <c r="K48" s="36"/>
      <c r="O48" s="34"/>
      <c r="P48" s="23"/>
      <c r="Q48" s="36"/>
      <c r="U48" s="34"/>
      <c r="V48" s="24"/>
      <c r="W48" s="35"/>
    </row>
    <row r="49" spans="9:23" ht="28.9" customHeight="1" thickTop="1" thickBot="1">
      <c r="I49" s="34"/>
      <c r="J49" s="23"/>
      <c r="K49" s="36"/>
      <c r="O49" s="34"/>
      <c r="P49" s="23"/>
      <c r="Q49" s="36"/>
      <c r="U49" s="34"/>
      <c r="V49" s="24"/>
      <c r="W49" s="35"/>
    </row>
    <row r="50" spans="9:23" ht="28.9" customHeight="1" thickTop="1" thickBot="1">
      <c r="I50" s="34"/>
      <c r="J50" s="23"/>
      <c r="K50" s="36"/>
      <c r="O50" s="34"/>
      <c r="P50" s="23"/>
      <c r="Q50" s="36"/>
      <c r="U50" s="34"/>
      <c r="V50" s="24"/>
      <c r="W50" s="35"/>
    </row>
    <row r="51" spans="9:23" ht="28.9" customHeight="1" thickTop="1" thickBot="1">
      <c r="I51" s="34"/>
      <c r="J51" s="23"/>
      <c r="K51" s="36"/>
      <c r="O51" s="34"/>
      <c r="P51" s="23"/>
      <c r="Q51" s="36"/>
      <c r="U51" s="34"/>
      <c r="V51" s="24"/>
      <c r="W51" s="35"/>
    </row>
    <row r="52" spans="9:23" ht="28.9" customHeight="1" thickTop="1" thickBot="1">
      <c r="I52" s="34"/>
      <c r="J52" s="23"/>
      <c r="K52" s="36"/>
      <c r="O52" s="34"/>
      <c r="P52" s="23"/>
      <c r="Q52" s="36"/>
      <c r="U52" s="34"/>
      <c r="V52" s="24"/>
      <c r="W52" s="35"/>
    </row>
    <row r="53" spans="9:23" ht="28.9" customHeight="1" thickTop="1" thickBot="1">
      <c r="I53" s="34"/>
      <c r="J53" s="23"/>
      <c r="K53" s="36"/>
      <c r="O53" s="34"/>
      <c r="P53" s="23"/>
      <c r="Q53" s="36"/>
      <c r="U53" s="34"/>
      <c r="V53" s="24"/>
      <c r="W53" s="35"/>
    </row>
    <row r="54" spans="9:23" ht="28.9" customHeight="1" thickTop="1" thickBot="1">
      <c r="I54" s="34"/>
      <c r="J54" s="23"/>
      <c r="K54" s="36"/>
      <c r="O54" s="34"/>
      <c r="P54" s="23"/>
      <c r="Q54" s="36"/>
      <c r="U54" s="34"/>
      <c r="V54" s="24"/>
      <c r="W54" s="35"/>
    </row>
    <row r="55" spans="9:23" ht="28.9" customHeight="1" thickTop="1" thickBot="1">
      <c r="I55" s="34"/>
      <c r="J55" s="23"/>
      <c r="K55" s="36"/>
      <c r="O55" s="34"/>
      <c r="P55" s="23"/>
      <c r="Q55" s="36"/>
      <c r="U55" s="34"/>
      <c r="V55" s="24"/>
      <c r="W55" s="35"/>
    </row>
    <row r="56" spans="9:23" ht="28.9" customHeight="1" thickTop="1" thickBot="1">
      <c r="I56" s="38"/>
      <c r="J56" s="39"/>
      <c r="K56" s="40"/>
      <c r="O56" s="38"/>
      <c r="P56" s="39"/>
      <c r="Q56" s="40"/>
      <c r="U56" s="38"/>
      <c r="V56" s="41"/>
      <c r="W56" s="42"/>
    </row>
  </sheetData>
  <sortState xmlns:xlrd2="http://schemas.microsoft.com/office/spreadsheetml/2017/richdata2" ref="O3:P6">
    <sortCondition ref="O3:O6"/>
  </sortState>
  <mergeCells count="7">
    <mergeCell ref="I1:K1"/>
    <mergeCell ref="O1:Q1"/>
    <mergeCell ref="U1:W1"/>
    <mergeCell ref="A1:A2"/>
    <mergeCell ref="F2:G2"/>
    <mergeCell ref="E2:E3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FCO</vt:lpstr>
      <vt:lpstr>Mục tiêu</vt:lpstr>
      <vt:lpstr>NĂM 1 (01 05 2026 - 01 05 2027)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グェン　ドック ギャ</dc:creator>
  <cp:lastModifiedBy>LeVeL infinity</cp:lastModifiedBy>
  <cp:lastPrinted>2024-11-15T00:54:34Z</cp:lastPrinted>
  <dcterms:created xsi:type="dcterms:W3CDTF">2024-05-23T07:22:52Z</dcterms:created>
  <dcterms:modified xsi:type="dcterms:W3CDTF">2026-06-15T07:55:27Z</dcterms:modified>
</cp:coreProperties>
</file>