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VeL infinity\Desktop\File tài chính cá nhân\"/>
    </mc:Choice>
  </mc:AlternateContent>
  <xr:revisionPtr revIDLastSave="0" documentId="13_ncr:1_{8A4C3816-6CAA-4A74-A800-2EBCB0D84A64}" xr6:coauthVersionLast="47" xr6:coauthVersionMax="47" xr10:uidLastSave="{00000000-0000-0000-0000-000000000000}"/>
  <bookViews>
    <workbookView xWindow="-108" yWindow="-108" windowWidth="30936" windowHeight="16776" activeTab="1" xr2:uid="{01424E0D-5617-48C9-A47B-ABAE5C326979}"/>
  </bookViews>
  <sheets>
    <sheet name="MẪU" sheetId="1" r:id="rId1"/>
    <sheet name="2026_06_Chi tiết" sheetId="3" r:id="rId2"/>
  </sheets>
  <definedNames>
    <definedName name="_xlnm._FilterDatabase" localSheetId="1" hidden="1">'2026_06_Chi tiết'!$S$1:$S$62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K45" i="3" l="1"/>
  <c r="K32" i="3"/>
  <c r="K13" i="3"/>
  <c r="K12" i="3"/>
  <c r="K11" i="3"/>
  <c r="R3" i="3"/>
  <c r="R62" i="3" s="1"/>
  <c r="H13" i="3"/>
  <c r="E13" i="3"/>
  <c r="B13" i="3"/>
  <c r="J13" i="1"/>
  <c r="B13" i="1"/>
  <c r="F13" i="1"/>
  <c r="K62" i="3" l="1"/>
</calcChain>
</file>

<file path=xl/sharedStrings.xml><?xml version="1.0" encoding="utf-8"?>
<sst xmlns="http://schemas.openxmlformats.org/spreadsheetml/2006/main" count="298" uniqueCount="80">
  <si>
    <t>THU NHẬP</t>
  </si>
  <si>
    <t>THU NHẬP KHÁC</t>
  </si>
  <si>
    <t>TỔNG THU NHẬP</t>
  </si>
  <si>
    <t>LƯƠNG 1 (LƯƠNG CÔNG TY)</t>
  </si>
  <si>
    <t>LƯƠNG 2 (LƯƠNG TẠP HÓA)</t>
  </si>
  <si>
    <t>LƯƠNG 3 ( QUÁN)</t>
  </si>
  <si>
    <t>TIỀN NHÀ</t>
  </si>
  <si>
    <t>TIỀN ĐIỆN</t>
  </si>
  <si>
    <t>TIỀN NƯỚC</t>
  </si>
  <si>
    <t>TIỀN GA</t>
  </si>
  <si>
    <t>TIỀN WIFI</t>
  </si>
  <si>
    <t>TIỀN VÉ THÁNG +</t>
  </si>
  <si>
    <t>NEKIN + BẢO HIỂM</t>
  </si>
  <si>
    <t>THUẾ CƯ TRÚ</t>
  </si>
  <si>
    <t>TỔNG CHI</t>
  </si>
  <si>
    <t>TIẾT KIỆM + ĐẦU TƯ</t>
  </si>
  <si>
    <t>QUỸ KHẨN CẤP (TIỀN MẶT)</t>
  </si>
  <si>
    <t>NISA</t>
  </si>
  <si>
    <t>TIẾT KIỆM VN</t>
  </si>
  <si>
    <t xml:space="preserve">TỔNG </t>
  </si>
  <si>
    <t>CHI DỰ KIẾN</t>
  </si>
  <si>
    <t>TIỀN ĂN</t>
  </si>
  <si>
    <t>CHI KHÁC</t>
  </si>
  <si>
    <t>DANH MỤC CHI</t>
  </si>
  <si>
    <t>NGÀY CHI</t>
  </si>
  <si>
    <t>SỐ TIỀN</t>
  </si>
  <si>
    <t>DANH MỤC</t>
  </si>
  <si>
    <t>CHI TIẾT</t>
  </si>
  <si>
    <t>TỔNG</t>
  </si>
  <si>
    <t>Tiền nhà</t>
  </si>
  <si>
    <t>Đầu tư NISA</t>
  </si>
  <si>
    <t>Đầu tư Quỹ VN</t>
  </si>
  <si>
    <t>DANH MỤC CHI TÀI KHOẢN VIỆT</t>
  </si>
  <si>
    <t>Đổi tiền về nước</t>
  </si>
  <si>
    <t>VỀ NƯỚC</t>
  </si>
  <si>
    <t>Chuyển thêm mua đồ</t>
  </si>
  <si>
    <t>Đưa ba</t>
  </si>
  <si>
    <t>CHO BA</t>
  </si>
  <si>
    <t>Ăn cưới Tuệ</t>
  </si>
  <si>
    <t>KHÁC</t>
  </si>
  <si>
    <t>ĐẦU TƯ</t>
  </si>
  <si>
    <t>Quỹ dự phòng</t>
  </si>
  <si>
    <t>TIẾT KIỆM</t>
  </si>
  <si>
    <t>PHƯƠNG THỨC TT</t>
  </si>
  <si>
    <t>HÓA ĐƠN</t>
  </si>
  <si>
    <t>Chuyển khoản</t>
  </si>
  <si>
    <t>Tiền mặt</t>
  </si>
  <si>
    <t>Không</t>
  </si>
  <si>
    <t>Pay Pay</t>
  </si>
  <si>
    <t>Giữ xe</t>
  </si>
  <si>
    <t>Nước lọc</t>
  </si>
  <si>
    <t>Relbull</t>
  </si>
  <si>
    <t>Cơm trưa</t>
  </si>
  <si>
    <t>RAKUTEN MASTER</t>
  </si>
  <si>
    <t>Có</t>
  </si>
  <si>
    <t>Café + ổi</t>
  </si>
  <si>
    <t>Cho Cưng</t>
  </si>
  <si>
    <t>FCO</t>
  </si>
  <si>
    <t>Tiền Việt</t>
  </si>
  <si>
    <t>GIẢI TRÍ</t>
  </si>
  <si>
    <t>Chuyển cho EM</t>
  </si>
  <si>
    <t>Chuyển cho BA</t>
  </si>
  <si>
    <t>Thanh toán qc</t>
  </si>
  <si>
    <t>CHO CƯNG</t>
  </si>
  <si>
    <t>Đồ ăn</t>
  </si>
  <si>
    <t>Gạo</t>
  </si>
  <si>
    <t>Tiền Mặt</t>
  </si>
  <si>
    <t xml:space="preserve"> </t>
  </si>
  <si>
    <t>ĂN NGOÀI</t>
  </si>
  <si>
    <t>Ăn trưa</t>
  </si>
  <si>
    <t>Nước uống</t>
  </si>
  <si>
    <t xml:space="preserve">Không </t>
  </si>
  <si>
    <t>Tiền ga 2 tháng</t>
  </si>
  <si>
    <t>Chè cốc</t>
  </si>
  <si>
    <t>Trà sữa</t>
  </si>
  <si>
    <t>Café sáng</t>
  </si>
  <si>
    <t>Nước giặt</t>
  </si>
  <si>
    <t>TIÊU DÙNG</t>
  </si>
  <si>
    <t>Mua ô</t>
  </si>
  <si>
    <t>Bãi xe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</si>
</sst>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¥-411]#,##0"/>
    <numFmt numFmtId="165" formatCode="#,##0\ [$VND]"/>
  </numFmts>
  <fonts count="8">
    <font>
      <sz val="11"/>
      <color theme="1"/>
      <name val="Arial"/>
      <family val="2"/>
      <charset val="128"/>
      <scheme val="minor"/>
    </font>
    <font>
      <sz val="6"/>
      <name val="Arial"/>
      <family val="2"/>
      <charset val="128"/>
      <scheme val="minor"/>
    </font>
    <font>
      <sz val="14"/>
      <color theme="1"/>
      <name val="Times New Roman"/>
      <family val="1"/>
    </font>
    <font>
      <b/>
      <sz val="14"/>
      <color theme="1"/>
      <name val="Times New Roman"/>
      <family val="1"/>
    </font>
    <font>
      <b/>
      <sz val="20"/>
      <color theme="1"/>
      <name val="Times New Roman"/>
      <family val="1"/>
    </font>
    <font>
      <b/>
      <sz val="18"/>
      <color theme="1"/>
      <name val="Times New Roman"/>
      <family val="1"/>
    </font>
    <font>
      <b/>
      <sz val="14"/>
      <color rgb="FFFF0000"/>
      <name val="Times New Roman"/>
      <family val="1"/>
    </font>
    <font>
      <sz val="14"/>
      <color rgb="FFFF0000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</fills>
  <borders count="14">
    <border>
      <left/>
      <right/>
      <top/>
      <bottom/>
      <diagonal/>
    </border>
    <border>
      <left style="medium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 style="medium">
        <color auto="1"/>
      </left>
      <right style="double">
        <color auto="1"/>
      </right>
      <top style="medium">
        <color auto="1"/>
      </top>
      <bottom style="double">
        <color auto="1"/>
      </bottom>
      <diagonal/>
    </border>
    <border>
      <left style="double">
        <color auto="1"/>
      </left>
      <right style="medium">
        <color auto="1"/>
      </right>
      <top style="medium">
        <color auto="1"/>
      </top>
      <bottom style="double">
        <color auto="1"/>
      </bottom>
      <diagonal/>
    </border>
    <border>
      <left style="double">
        <color auto="1"/>
      </left>
      <right style="medium">
        <color auto="1"/>
      </right>
      <top style="double">
        <color auto="1"/>
      </top>
      <bottom style="double">
        <color auto="1"/>
      </bottom>
      <diagonal/>
    </border>
    <border>
      <left style="medium">
        <color auto="1"/>
      </left>
      <right style="double">
        <color auto="1"/>
      </right>
      <top style="double">
        <color auto="1"/>
      </top>
      <bottom style="medium">
        <color auto="1"/>
      </bottom>
      <diagonal/>
    </border>
    <border>
      <left style="double">
        <color auto="1"/>
      </left>
      <right style="medium">
        <color auto="1"/>
      </right>
      <top style="double">
        <color auto="1"/>
      </top>
      <bottom style="medium">
        <color auto="1"/>
      </bottom>
      <diagonal/>
    </border>
    <border>
      <left style="double">
        <color auto="1"/>
      </left>
      <right style="double">
        <color auto="1"/>
      </right>
      <top style="medium">
        <color auto="1"/>
      </top>
      <bottom style="double">
        <color auto="1"/>
      </bottom>
      <diagonal/>
    </border>
    <border>
      <left style="double">
        <color auto="1"/>
      </left>
      <right/>
      <top style="double">
        <color auto="1"/>
      </top>
      <bottom style="medium">
        <color auto="1"/>
      </bottom>
      <diagonal/>
    </border>
    <border>
      <left/>
      <right/>
      <top style="double">
        <color auto="1"/>
      </top>
      <bottom style="medium">
        <color auto="1"/>
      </bottom>
      <diagonal/>
    </border>
    <border>
      <left/>
      <right style="medium">
        <color auto="1"/>
      </right>
      <top style="double">
        <color auto="1"/>
      </top>
      <bottom style="medium">
        <color auto="1"/>
      </bottom>
      <diagonal/>
    </border>
    <border>
      <left style="double">
        <color auto="1"/>
      </left>
      <right/>
      <top style="medium">
        <color auto="1"/>
      </top>
      <bottom style="double">
        <color auto="1"/>
      </bottom>
      <diagonal/>
    </border>
    <border>
      <left style="double">
        <color auto="1"/>
      </left>
      <right/>
      <top style="double">
        <color auto="1"/>
      </top>
      <bottom style="double">
        <color auto="1"/>
      </bottom>
      <diagonal/>
    </border>
  </borders>
  <cellStyleXfs count="1">
    <xf numFmtId="0" fontId="0" fillId="0" borderId="0">
      <alignment vertical="center"/>
    </xf>
  </cellStyleXfs>
  <cellXfs count="34">
    <xf numFmtId="0" fontId="0" fillId="0" borderId="0" xfId="0">
      <alignment vertical="center"/>
    </xf>
    <xf numFmtId="0" fontId="2" fillId="0" borderId="0" xfId="0" applyFont="1" applyAlignment="1">
      <alignment vertical="center" shrinkToFit="1"/>
    </xf>
    <xf numFmtId="0" fontId="2" fillId="0" borderId="1" xfId="0" applyFont="1" applyBorder="1" applyAlignment="1">
      <alignment vertical="center" shrinkToFit="1"/>
    </xf>
    <xf numFmtId="0" fontId="2" fillId="0" borderId="2" xfId="0" applyFont="1" applyBorder="1" applyAlignment="1">
      <alignment vertical="center" shrinkToFit="1"/>
    </xf>
    <xf numFmtId="14" fontId="2" fillId="0" borderId="1" xfId="0" applyNumberFormat="1" applyFont="1" applyBorder="1" applyAlignment="1">
      <alignment vertical="center" shrinkToFit="1"/>
    </xf>
    <xf numFmtId="164" fontId="2" fillId="0" borderId="2" xfId="0" applyNumberFormat="1" applyFont="1" applyBorder="1" applyAlignment="1">
      <alignment vertical="center" shrinkToFit="1"/>
    </xf>
    <xf numFmtId="164" fontId="2" fillId="0" borderId="0" xfId="0" applyNumberFormat="1" applyFont="1" applyAlignment="1">
      <alignment vertical="center" shrinkToFit="1"/>
    </xf>
    <xf numFmtId="0" fontId="4" fillId="0" borderId="0" xfId="0" applyFont="1" applyAlignment="1">
      <alignment vertical="center" shrinkToFit="1"/>
    </xf>
    <xf numFmtId="0" fontId="5" fillId="0" borderId="0" xfId="0" applyFont="1" applyAlignment="1">
      <alignment vertical="center" shrinkToFit="1"/>
    </xf>
    <xf numFmtId="164" fontId="2" fillId="0" borderId="5" xfId="0" applyNumberFormat="1" applyFont="1" applyBorder="1" applyAlignment="1">
      <alignment vertical="center" shrinkToFit="1"/>
    </xf>
    <xf numFmtId="0" fontId="2" fillId="0" borderId="5" xfId="0" applyFont="1" applyBorder="1" applyAlignment="1">
      <alignment vertical="center" shrinkToFit="1"/>
    </xf>
    <xf numFmtId="0" fontId="5" fillId="0" borderId="6" xfId="0" applyFont="1" applyBorder="1" applyAlignment="1">
      <alignment vertical="center" shrinkToFit="1"/>
    </xf>
    <xf numFmtId="164" fontId="5" fillId="0" borderId="7" xfId="0" applyNumberFormat="1" applyFont="1" applyBorder="1" applyAlignment="1">
      <alignment vertical="center" shrinkToFit="1"/>
    </xf>
    <xf numFmtId="0" fontId="3" fillId="0" borderId="1" xfId="0" applyFont="1" applyBorder="1" applyAlignment="1">
      <alignment horizontal="center" vertical="center" shrinkToFit="1"/>
    </xf>
    <xf numFmtId="0" fontId="3" fillId="0" borderId="2" xfId="0" applyFont="1" applyBorder="1" applyAlignment="1">
      <alignment horizontal="center" vertical="center" shrinkToFit="1"/>
    </xf>
    <xf numFmtId="0" fontId="3" fillId="0" borderId="5" xfId="0" applyFont="1" applyBorder="1" applyAlignment="1">
      <alignment horizontal="center" vertical="center" shrinkToFit="1"/>
    </xf>
    <xf numFmtId="0" fontId="6" fillId="2" borderId="6" xfId="0" applyFont="1" applyFill="1" applyBorder="1" applyAlignment="1">
      <alignment horizontal="center" vertical="center" shrinkToFit="1"/>
    </xf>
    <xf numFmtId="164" fontId="3" fillId="0" borderId="2" xfId="0" applyNumberFormat="1" applyFont="1" applyBorder="1" applyAlignment="1">
      <alignment horizontal="center" vertical="center" shrinkToFit="1"/>
    </xf>
    <xf numFmtId="165" fontId="3" fillId="0" borderId="2" xfId="0" applyNumberFormat="1" applyFont="1" applyBorder="1" applyAlignment="1">
      <alignment horizontal="center" vertical="center" shrinkToFit="1"/>
    </xf>
    <xf numFmtId="165" fontId="2" fillId="0" borderId="2" xfId="0" applyNumberFormat="1" applyFont="1" applyBorder="1" applyAlignment="1">
      <alignment vertical="center" shrinkToFit="1"/>
    </xf>
    <xf numFmtId="165" fontId="2" fillId="0" borderId="0" xfId="0" applyNumberFormat="1" applyFont="1" applyAlignment="1">
      <alignment vertical="center" shrinkToFit="1"/>
    </xf>
    <xf numFmtId="164" fontId="5" fillId="0" borderId="0" xfId="0" applyNumberFormat="1" applyFont="1" applyAlignment="1">
      <alignment vertical="center" shrinkToFit="1"/>
    </xf>
    <xf numFmtId="0" fontId="3" fillId="0" borderId="13" xfId="0" applyFont="1" applyBorder="1" applyAlignment="1">
      <alignment horizontal="center" vertical="center" shrinkToFit="1"/>
    </xf>
    <xf numFmtId="0" fontId="2" fillId="0" borderId="13" xfId="0" applyFont="1" applyBorder="1" applyAlignment="1">
      <alignment vertical="center" shrinkToFit="1"/>
    </xf>
    <xf numFmtId="0" fontId="4" fillId="0" borderId="3" xfId="0" applyFont="1" applyBorder="1" applyAlignment="1">
      <alignment horizontal="center" vertical="center" shrinkToFit="1"/>
    </xf>
    <xf numFmtId="0" fontId="4" fillId="0" borderId="4" xfId="0" applyFont="1" applyBorder="1" applyAlignment="1">
      <alignment horizontal="center" vertical="center" shrinkToFit="1"/>
    </xf>
    <xf numFmtId="0" fontId="4" fillId="0" borderId="8" xfId="0" applyFont="1" applyBorder="1" applyAlignment="1">
      <alignment horizontal="center" vertical="center" shrinkToFit="1"/>
    </xf>
    <xf numFmtId="165" fontId="7" fillId="3" borderId="9" xfId="0" applyNumberFormat="1" applyFont="1" applyFill="1" applyBorder="1" applyAlignment="1">
      <alignment horizontal="center" vertical="center" shrinkToFit="1"/>
    </xf>
    <xf numFmtId="165" fontId="7" fillId="3" borderId="10" xfId="0" applyNumberFormat="1" applyFont="1" applyFill="1" applyBorder="1" applyAlignment="1">
      <alignment horizontal="center" vertical="center" shrinkToFit="1"/>
    </xf>
    <xf numFmtId="165" fontId="7" fillId="3" borderId="11" xfId="0" applyNumberFormat="1" applyFont="1" applyFill="1" applyBorder="1" applyAlignment="1">
      <alignment horizontal="center" vertical="center" shrinkToFit="1"/>
    </xf>
    <xf numFmtId="0" fontId="4" fillId="0" borderId="12" xfId="0" applyFont="1" applyBorder="1" applyAlignment="1">
      <alignment horizontal="center" vertical="center" shrinkToFit="1"/>
    </xf>
    <xf numFmtId="164" fontId="7" fillId="3" borderId="9" xfId="0" applyNumberFormat="1" applyFont="1" applyFill="1" applyBorder="1" applyAlignment="1">
      <alignment horizontal="center" vertical="center" shrinkToFit="1"/>
    </xf>
    <xf numFmtId="164" fontId="7" fillId="3" borderId="10" xfId="0" applyNumberFormat="1" applyFont="1" applyFill="1" applyBorder="1" applyAlignment="1">
      <alignment horizontal="center" vertical="center" shrinkToFit="1"/>
    </xf>
    <xf numFmtId="164" fontId="7" fillId="3" borderId="11" xfId="0" applyNumberFormat="1" applyFont="1" applyFill="1" applyBorder="1" applyAlignment="1">
      <alignment horizontal="center"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A75988-4B25-4375-8D7D-9D83919DB7AD}">
  <dimension ref="A1:J13"/>
  <sheetViews>
    <sheetView workbookViewId="0">
      <selection activeCell="E4" sqref="E4"/>
    </sheetView>
  </sheetViews>
  <sheetFormatPr defaultColWidth="9" defaultRowHeight="26.25" customHeight="1"/>
  <cols>
    <col min="1" max="1" width="31.8984375" style="1" bestFit="1" customWidth="1"/>
    <col min="2" max="2" width="12.3984375" style="1" bestFit="1" customWidth="1"/>
    <col min="3" max="4" width="9" style="1"/>
    <col min="5" max="5" width="21.3984375" style="1" bestFit="1" customWidth="1"/>
    <col min="6" max="6" width="12.3984375" style="1" bestFit="1" customWidth="1"/>
    <col min="7" max="8" width="9" style="1"/>
    <col min="9" max="9" width="30.8984375" style="1" bestFit="1" customWidth="1"/>
    <col min="10" max="10" width="12.3984375" style="1" bestFit="1" customWidth="1"/>
    <col min="11" max="16384" width="9" style="1"/>
  </cols>
  <sheetData>
    <row r="1" spans="1:10" s="7" customFormat="1" ht="39" customHeight="1" thickBot="1">
      <c r="A1" s="24" t="s">
        <v>0</v>
      </c>
      <c r="B1" s="25"/>
      <c r="E1" s="24" t="s">
        <v>20</v>
      </c>
      <c r="F1" s="25"/>
      <c r="I1" s="24" t="s">
        <v>15</v>
      </c>
      <c r="J1" s="25"/>
    </row>
    <row r="2" spans="1:10" ht="26.25" customHeight="1" thickTop="1" thickBot="1">
      <c r="A2" s="2" t="s">
        <v>3</v>
      </c>
      <c r="B2" s="9">
        <v>240000</v>
      </c>
      <c r="E2" s="2" t="s">
        <v>6</v>
      </c>
      <c r="F2" s="9">
        <v>34170</v>
      </c>
      <c r="I2" s="2" t="s">
        <v>16</v>
      </c>
      <c r="J2" s="9">
        <v>20000</v>
      </c>
    </row>
    <row r="3" spans="1:10" ht="26.25" customHeight="1" thickTop="1" thickBot="1">
      <c r="A3" s="2" t="s">
        <v>4</v>
      </c>
      <c r="B3" s="9">
        <v>80000</v>
      </c>
      <c r="E3" s="2" t="s">
        <v>7</v>
      </c>
      <c r="F3" s="9">
        <v>11000</v>
      </c>
      <c r="I3" s="2" t="s">
        <v>17</v>
      </c>
      <c r="J3" s="9">
        <v>150000</v>
      </c>
    </row>
    <row r="4" spans="1:10" ht="26.25" customHeight="1" thickTop="1" thickBot="1">
      <c r="A4" s="2" t="s">
        <v>5</v>
      </c>
      <c r="B4" s="9">
        <v>100000</v>
      </c>
      <c r="E4" s="2" t="s">
        <v>8</v>
      </c>
      <c r="F4" s="9">
        <v>2000</v>
      </c>
      <c r="I4" s="2" t="s">
        <v>18</v>
      </c>
      <c r="J4" s="9">
        <v>20000</v>
      </c>
    </row>
    <row r="5" spans="1:10" ht="26.25" customHeight="1" thickTop="1" thickBot="1">
      <c r="A5" s="2" t="s">
        <v>1</v>
      </c>
      <c r="B5" s="9"/>
      <c r="E5" s="2" t="s">
        <v>9</v>
      </c>
      <c r="F5" s="9">
        <v>3000</v>
      </c>
      <c r="I5" s="2"/>
      <c r="J5" s="9"/>
    </row>
    <row r="6" spans="1:10" ht="26.25" customHeight="1" thickTop="1" thickBot="1">
      <c r="A6" s="2"/>
      <c r="B6" s="9"/>
      <c r="E6" s="2" t="s">
        <v>10</v>
      </c>
      <c r="F6" s="9">
        <v>6000</v>
      </c>
      <c r="I6" s="2"/>
      <c r="J6" s="9"/>
    </row>
    <row r="7" spans="1:10" ht="26.25" customHeight="1" thickTop="1" thickBot="1">
      <c r="A7" s="2"/>
      <c r="B7" s="10"/>
      <c r="E7" s="2" t="s">
        <v>11</v>
      </c>
      <c r="F7" s="9">
        <v>5000</v>
      </c>
      <c r="I7" s="2"/>
      <c r="J7" s="9"/>
    </row>
    <row r="8" spans="1:10" ht="26.25" customHeight="1" thickTop="1" thickBot="1">
      <c r="A8" s="2"/>
      <c r="B8" s="10"/>
      <c r="E8" s="2" t="s">
        <v>12</v>
      </c>
      <c r="F8" s="9">
        <v>50000</v>
      </c>
      <c r="I8" s="2"/>
      <c r="J8" s="9"/>
    </row>
    <row r="9" spans="1:10" ht="26.25" customHeight="1" thickTop="1" thickBot="1">
      <c r="A9" s="2"/>
      <c r="B9" s="10"/>
      <c r="E9" s="2" t="s">
        <v>13</v>
      </c>
      <c r="F9" s="9">
        <v>10000</v>
      </c>
      <c r="I9" s="2"/>
      <c r="J9" s="9"/>
    </row>
    <row r="10" spans="1:10" ht="26.25" customHeight="1" thickTop="1" thickBot="1">
      <c r="A10" s="2"/>
      <c r="B10" s="10"/>
      <c r="E10" s="2" t="s">
        <v>21</v>
      </c>
      <c r="F10" s="9">
        <v>50000</v>
      </c>
      <c r="I10" s="2"/>
      <c r="J10" s="9"/>
    </row>
    <row r="11" spans="1:10" ht="26.25" customHeight="1" thickTop="1" thickBot="1">
      <c r="A11" s="2"/>
      <c r="B11" s="10"/>
      <c r="E11" s="2" t="s">
        <v>22</v>
      </c>
      <c r="F11" s="9">
        <v>30000</v>
      </c>
      <c r="I11" s="2"/>
      <c r="J11" s="9"/>
    </row>
    <row r="12" spans="1:10" ht="26.25" customHeight="1" thickTop="1" thickBot="1">
      <c r="A12" s="2"/>
      <c r="B12" s="10"/>
      <c r="E12" s="2"/>
      <c r="F12" s="9"/>
      <c r="I12" s="2"/>
      <c r="J12" s="9"/>
    </row>
    <row r="13" spans="1:10" ht="26.25" customHeight="1" thickTop="1" thickBot="1">
      <c r="A13" s="11" t="s">
        <v>2</v>
      </c>
      <c r="B13" s="12">
        <f>SUM(B2:B10)</f>
        <v>420000</v>
      </c>
      <c r="C13" s="8"/>
      <c r="D13" s="8"/>
      <c r="E13" s="11" t="s">
        <v>14</v>
      </c>
      <c r="F13" s="12">
        <f>SUM(F2:F11)</f>
        <v>201170</v>
      </c>
      <c r="G13" s="8"/>
      <c r="H13" s="8"/>
      <c r="I13" s="11" t="s">
        <v>19</v>
      </c>
      <c r="J13" s="12">
        <f>SUM(J2:J11)</f>
        <v>190000</v>
      </c>
    </row>
  </sheetData>
  <mergeCells count="3">
    <mergeCell ref="A1:B1"/>
    <mergeCell ref="E1:F1"/>
    <mergeCell ref="I1:J1"/>
  </mergeCells>
  <phoneticPr fontId="1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422289-F014-4091-87C0-8523A89BDE69}">
  <dimension ref="A1:T62"/>
  <sheetViews>
    <sheetView tabSelected="1" topLeftCell="E37" zoomScaleNormal="100" workbookViewId="0">
      <selection activeCell="N42" sqref="N42"/>
    </sheetView>
  </sheetViews>
  <sheetFormatPr defaultColWidth="9" defaultRowHeight="26.25" customHeight="1"/>
  <cols>
    <col min="1" max="1" width="31.8984375" style="1" bestFit="1" customWidth="1"/>
    <col min="2" max="2" width="12.3984375" style="1" bestFit="1" customWidth="1"/>
    <col min="3" max="3" width="9" style="1"/>
    <col min="4" max="4" width="21.3984375" style="1" bestFit="1" customWidth="1"/>
    <col min="5" max="5" width="12.3984375" style="1" bestFit="1" customWidth="1"/>
    <col min="6" max="6" width="9" style="1"/>
    <col min="7" max="7" width="30.8984375" style="1" bestFit="1" customWidth="1"/>
    <col min="8" max="8" width="12.3984375" style="1" bestFit="1" customWidth="1"/>
    <col min="9" max="9" width="9" style="1"/>
    <col min="10" max="10" width="12.59765625" style="1" bestFit="1" customWidth="1"/>
    <col min="11" max="11" width="10.19921875" style="6" bestFit="1" customWidth="1"/>
    <col min="12" max="12" width="14.59765625" style="1" bestFit="1" customWidth="1"/>
    <col min="13" max="13" width="12" style="1" bestFit="1" customWidth="1"/>
    <col min="14" max="14" width="22.59765625" style="1" bestFit="1" customWidth="1"/>
    <col min="15" max="15" width="12" style="1" bestFit="1" customWidth="1"/>
    <col min="16" max="16" width="9" style="1"/>
    <col min="17" max="17" width="12.59765625" style="1" bestFit="1" customWidth="1"/>
    <col min="18" max="18" width="20" style="20" customWidth="1"/>
    <col min="19" max="19" width="21.296875" style="1" bestFit="1" customWidth="1"/>
    <col min="20" max="20" width="11.296875" style="1" bestFit="1" customWidth="1"/>
    <col min="21" max="16384" width="9" style="1"/>
  </cols>
  <sheetData>
    <row r="1" spans="1:20" s="7" customFormat="1" ht="39" customHeight="1" thickBot="1">
      <c r="A1" s="24" t="s">
        <v>0</v>
      </c>
      <c r="B1" s="25"/>
      <c r="D1" s="24" t="s">
        <v>20</v>
      </c>
      <c r="E1" s="25"/>
      <c r="G1" s="24" t="s">
        <v>15</v>
      </c>
      <c r="H1" s="25"/>
      <c r="J1" s="24" t="s">
        <v>23</v>
      </c>
      <c r="K1" s="26"/>
      <c r="L1" s="26"/>
      <c r="M1" s="30"/>
      <c r="N1" s="30"/>
      <c r="O1" s="25"/>
      <c r="Q1" s="24" t="s">
        <v>32</v>
      </c>
      <c r="R1" s="26"/>
      <c r="S1" s="26"/>
      <c r="T1" s="25"/>
    </row>
    <row r="2" spans="1:20" ht="26.25" customHeight="1" thickTop="1" thickBot="1">
      <c r="A2" s="2" t="s">
        <v>3</v>
      </c>
      <c r="B2" s="9">
        <v>240000</v>
      </c>
      <c r="D2" s="2" t="s">
        <v>6</v>
      </c>
      <c r="E2" s="9">
        <v>34170</v>
      </c>
      <c r="G2" s="2" t="s">
        <v>16</v>
      </c>
      <c r="H2" s="9">
        <v>20000</v>
      </c>
      <c r="J2" s="13" t="s">
        <v>24</v>
      </c>
      <c r="K2" s="17" t="s">
        <v>25</v>
      </c>
      <c r="L2" s="14" t="s">
        <v>27</v>
      </c>
      <c r="M2" s="14" t="s">
        <v>26</v>
      </c>
      <c r="N2" s="22" t="s">
        <v>43</v>
      </c>
      <c r="O2" s="15" t="s">
        <v>44</v>
      </c>
      <c r="Q2" s="13" t="s">
        <v>24</v>
      </c>
      <c r="R2" s="18" t="s">
        <v>25</v>
      </c>
      <c r="S2" s="14" t="s">
        <v>26</v>
      </c>
      <c r="T2" s="15" t="s">
        <v>27</v>
      </c>
    </row>
    <row r="3" spans="1:20" ht="26.25" customHeight="1" thickTop="1" thickBot="1">
      <c r="A3" s="2" t="s">
        <v>4</v>
      </c>
      <c r="B3" s="9">
        <v>80000</v>
      </c>
      <c r="D3" s="2" t="s">
        <v>7</v>
      </c>
      <c r="E3" s="9">
        <v>11000</v>
      </c>
      <c r="G3" s="2" t="s">
        <v>17</v>
      </c>
      <c r="H3" s="9">
        <v>180000</v>
      </c>
      <c r="J3" s="4">
        <v>46168</v>
      </c>
      <c r="K3" s="5">
        <v>34170</v>
      </c>
      <c r="L3" s="3" t="s">
        <v>29</v>
      </c>
      <c r="M3" s="10"/>
      <c r="N3" s="23" t="s">
        <v>45</v>
      </c>
      <c r="O3" s="10" t="s">
        <v>47</v>
      </c>
      <c r="Q3" s="4">
        <v>46170</v>
      </c>
      <c r="R3" s="19">
        <f>120000*165</f>
        <v>19800000</v>
      </c>
      <c r="S3" s="3" t="s">
        <v>33</v>
      </c>
      <c r="T3" s="10" t="s">
        <v>34</v>
      </c>
    </row>
    <row r="4" spans="1:20" ht="26.25" customHeight="1" thickTop="1" thickBot="1">
      <c r="A4" s="2" t="s">
        <v>5</v>
      </c>
      <c r="B4" s="9">
        <v>100000</v>
      </c>
      <c r="D4" s="2" t="s">
        <v>8</v>
      </c>
      <c r="E4" s="9">
        <v>2000</v>
      </c>
      <c r="G4" s="2" t="s">
        <v>31</v>
      </c>
      <c r="H4" s="9">
        <v>30300</v>
      </c>
      <c r="J4" s="4">
        <v>46169</v>
      </c>
      <c r="K4" s="5">
        <v>100000</v>
      </c>
      <c r="L4" s="3" t="s">
        <v>30</v>
      </c>
      <c r="M4" s="10" t="s">
        <v>40</v>
      </c>
      <c r="N4" s="23" t="s">
        <v>45</v>
      </c>
      <c r="O4" s="10" t="s">
        <v>47</v>
      </c>
      <c r="Q4" s="4">
        <v>46147</v>
      </c>
      <c r="R4" s="19">
        <v>10000000</v>
      </c>
      <c r="S4" s="3" t="s">
        <v>35</v>
      </c>
      <c r="T4" s="10" t="s">
        <v>34</v>
      </c>
    </row>
    <row r="5" spans="1:20" ht="26.25" customHeight="1" thickTop="1" thickBot="1">
      <c r="A5" s="2" t="s">
        <v>1</v>
      </c>
      <c r="B5" s="9"/>
      <c r="D5" s="2" t="s">
        <v>9</v>
      </c>
      <c r="E5" s="9">
        <v>3000</v>
      </c>
      <c r="G5" s="2"/>
      <c r="H5" s="9"/>
      <c r="J5" s="4">
        <v>46169</v>
      </c>
      <c r="K5" s="5">
        <v>20000</v>
      </c>
      <c r="L5" s="3" t="s">
        <v>41</v>
      </c>
      <c r="M5" s="10" t="s">
        <v>42</v>
      </c>
      <c r="N5" s="23" t="s">
        <v>46</v>
      </c>
      <c r="O5" s="10" t="s">
        <v>47</v>
      </c>
      <c r="Q5" s="4">
        <v>46162</v>
      </c>
      <c r="R5" s="19">
        <v>20000000</v>
      </c>
      <c r="S5" s="3" t="s">
        <v>36</v>
      </c>
      <c r="T5" s="10" t="s">
        <v>37</v>
      </c>
    </row>
    <row r="6" spans="1:20" ht="26.25" customHeight="1" thickTop="1" thickBot="1">
      <c r="A6" s="2"/>
      <c r="B6" s="9"/>
      <c r="D6" s="2" t="s">
        <v>10</v>
      </c>
      <c r="E6" s="9">
        <v>6000</v>
      </c>
      <c r="G6" s="2"/>
      <c r="H6" s="9"/>
      <c r="J6" s="4">
        <v>46174</v>
      </c>
      <c r="K6" s="5">
        <v>100</v>
      </c>
      <c r="L6" s="3" t="s">
        <v>49</v>
      </c>
      <c r="M6" s="10" t="s">
        <v>39</v>
      </c>
      <c r="N6" s="23" t="s">
        <v>48</v>
      </c>
      <c r="O6" s="10" t="s">
        <v>47</v>
      </c>
      <c r="Q6" s="4">
        <v>46166</v>
      </c>
      <c r="R6" s="19">
        <v>1000000</v>
      </c>
      <c r="S6" s="3" t="s">
        <v>38</v>
      </c>
      <c r="T6" s="10" t="s">
        <v>39</v>
      </c>
    </row>
    <row r="7" spans="1:20" ht="26.25" customHeight="1" thickTop="1" thickBot="1">
      <c r="A7" s="2"/>
      <c r="B7" s="10"/>
      <c r="D7" s="2" t="s">
        <v>11</v>
      </c>
      <c r="E7" s="9">
        <v>5000</v>
      </c>
      <c r="G7" s="2"/>
      <c r="H7" s="9"/>
      <c r="J7" s="4">
        <v>46174</v>
      </c>
      <c r="K7" s="5">
        <v>100</v>
      </c>
      <c r="L7" s="3" t="s">
        <v>50</v>
      </c>
      <c r="M7" s="10" t="s">
        <v>21</v>
      </c>
      <c r="N7" s="23" t="s">
        <v>48</v>
      </c>
      <c r="O7" s="10" t="s">
        <v>47</v>
      </c>
      <c r="Q7" s="4">
        <v>46168</v>
      </c>
      <c r="R7" s="19">
        <v>50000000</v>
      </c>
      <c r="S7" s="3" t="s">
        <v>60</v>
      </c>
      <c r="T7" s="10" t="s">
        <v>37</v>
      </c>
    </row>
    <row r="8" spans="1:20" ht="26.25" customHeight="1" thickTop="1" thickBot="1">
      <c r="A8" s="2"/>
      <c r="B8" s="10"/>
      <c r="D8" s="2" t="s">
        <v>12</v>
      </c>
      <c r="E8" s="9">
        <v>50000</v>
      </c>
      <c r="G8" s="2"/>
      <c r="H8" s="9"/>
      <c r="J8" s="4">
        <v>46174</v>
      </c>
      <c r="K8" s="5">
        <v>210</v>
      </c>
      <c r="L8" s="3" t="s">
        <v>51</v>
      </c>
      <c r="M8" s="10" t="s">
        <v>21</v>
      </c>
      <c r="N8" s="23" t="s">
        <v>48</v>
      </c>
      <c r="O8" s="10" t="s">
        <v>47</v>
      </c>
      <c r="Q8" s="4">
        <v>46170</v>
      </c>
      <c r="R8" s="19">
        <v>100000</v>
      </c>
      <c r="S8" s="3" t="s">
        <v>57</v>
      </c>
      <c r="T8" s="10" t="s">
        <v>59</v>
      </c>
    </row>
    <row r="9" spans="1:20" ht="26.25" customHeight="1" thickTop="1" thickBot="1">
      <c r="A9" s="2"/>
      <c r="B9" s="10"/>
      <c r="D9" s="2" t="s">
        <v>13</v>
      </c>
      <c r="E9" s="9">
        <v>10000</v>
      </c>
      <c r="G9" s="2"/>
      <c r="H9" s="9"/>
      <c r="J9" s="4">
        <v>46174</v>
      </c>
      <c r="K9" s="5">
        <v>756</v>
      </c>
      <c r="L9" s="3" t="s">
        <v>52</v>
      </c>
      <c r="M9" s="10" t="s">
        <v>21</v>
      </c>
      <c r="N9" s="23" t="s">
        <v>53</v>
      </c>
      <c r="O9" s="10" t="s">
        <v>54</v>
      </c>
      <c r="Q9" s="4">
        <v>46170</v>
      </c>
      <c r="R9" s="19">
        <v>1000000</v>
      </c>
      <c r="S9" s="3" t="s">
        <v>57</v>
      </c>
      <c r="T9" s="10" t="s">
        <v>59</v>
      </c>
    </row>
    <row r="10" spans="1:20" ht="26.25" customHeight="1" thickTop="1" thickBot="1">
      <c r="A10" s="2"/>
      <c r="B10" s="10"/>
      <c r="D10" s="2" t="s">
        <v>21</v>
      </c>
      <c r="E10" s="9">
        <v>50000</v>
      </c>
      <c r="G10" s="2"/>
      <c r="H10" s="9"/>
      <c r="J10" s="4">
        <v>46174</v>
      </c>
      <c r="K10" s="5">
        <v>1777</v>
      </c>
      <c r="L10" s="3" t="s">
        <v>55</v>
      </c>
      <c r="M10" s="10" t="s">
        <v>21</v>
      </c>
      <c r="N10" s="23" t="s">
        <v>46</v>
      </c>
      <c r="O10" s="10" t="s">
        <v>54</v>
      </c>
      <c r="Q10" s="4">
        <v>46171</v>
      </c>
      <c r="R10" s="19">
        <v>1000000</v>
      </c>
      <c r="S10" s="3" t="s">
        <v>57</v>
      </c>
      <c r="T10" s="10" t="s">
        <v>59</v>
      </c>
    </row>
    <row r="11" spans="1:20" ht="26.25" customHeight="1" thickTop="1" thickBot="1">
      <c r="A11" s="2"/>
      <c r="B11" s="10"/>
      <c r="D11" s="2" t="s">
        <v>22</v>
      </c>
      <c r="E11" s="9">
        <v>30000</v>
      </c>
      <c r="G11" s="2"/>
      <c r="H11" s="9"/>
      <c r="J11" s="4">
        <v>46174</v>
      </c>
      <c r="K11" s="5">
        <f>1209000/165</f>
        <v>7327.272727272727</v>
      </c>
      <c r="L11" s="3" t="s">
        <v>56</v>
      </c>
      <c r="M11" s="10" t="s">
        <v>39</v>
      </c>
      <c r="N11" s="23" t="s">
        <v>58</v>
      </c>
      <c r="O11" s="10" t="s">
        <v>47</v>
      </c>
      <c r="P11" s="1" t="s">
        <v>67</v>
      </c>
      <c r="Q11" s="4">
        <v>46171</v>
      </c>
      <c r="R11" s="19">
        <v>1000000</v>
      </c>
      <c r="S11" s="3" t="s">
        <v>57</v>
      </c>
      <c r="T11" s="10" t="s">
        <v>59</v>
      </c>
    </row>
    <row r="12" spans="1:20" ht="26.25" customHeight="1" thickTop="1" thickBot="1">
      <c r="A12" s="2"/>
      <c r="B12" s="10"/>
      <c r="D12" s="2"/>
      <c r="E12" s="9"/>
      <c r="G12" s="2"/>
      <c r="H12" s="9"/>
      <c r="J12" s="4">
        <v>46174</v>
      </c>
      <c r="K12" s="5">
        <f>1000000/165</f>
        <v>6060.606060606061</v>
      </c>
      <c r="L12" s="3" t="s">
        <v>57</v>
      </c>
      <c r="M12" s="10" t="s">
        <v>59</v>
      </c>
      <c r="N12" s="23" t="s">
        <v>58</v>
      </c>
      <c r="O12" s="10" t="s">
        <v>47</v>
      </c>
      <c r="Q12" s="4">
        <v>46171</v>
      </c>
      <c r="R12" s="19">
        <v>500000</v>
      </c>
      <c r="S12" s="3" t="s">
        <v>57</v>
      </c>
      <c r="T12" s="10" t="s">
        <v>59</v>
      </c>
    </row>
    <row r="13" spans="1:20" ht="26.25" customHeight="1" thickTop="1" thickBot="1">
      <c r="A13" s="11" t="s">
        <v>2</v>
      </c>
      <c r="B13" s="12">
        <f>SUM(B2:B10)</f>
        <v>420000</v>
      </c>
      <c r="C13" s="8"/>
      <c r="D13" s="11" t="s">
        <v>14</v>
      </c>
      <c r="E13" s="12">
        <f>SUM(E2:E11)</f>
        <v>201170</v>
      </c>
      <c r="F13" s="8"/>
      <c r="G13" s="11" t="s">
        <v>19</v>
      </c>
      <c r="H13" s="12">
        <f>SUM(H2:H11)</f>
        <v>230300</v>
      </c>
      <c r="J13" s="4">
        <v>46174</v>
      </c>
      <c r="K13" s="5">
        <f>1000000/165</f>
        <v>6060.606060606061</v>
      </c>
      <c r="L13" s="3" t="s">
        <v>57</v>
      </c>
      <c r="M13" s="10" t="s">
        <v>59</v>
      </c>
      <c r="N13" s="23" t="s">
        <v>58</v>
      </c>
      <c r="O13" s="10" t="s">
        <v>47</v>
      </c>
      <c r="Q13" s="4">
        <v>46172</v>
      </c>
      <c r="R13" s="19">
        <v>100000000</v>
      </c>
      <c r="S13" s="3" t="s">
        <v>60</v>
      </c>
      <c r="T13" s="10" t="s">
        <v>37</v>
      </c>
    </row>
    <row r="14" spans="1:20" ht="26.25" customHeight="1" thickTop="1" thickBot="1">
      <c r="A14" s="8"/>
      <c r="B14" s="21"/>
      <c r="C14" s="8"/>
      <c r="D14" s="8"/>
      <c r="E14" s="21"/>
      <c r="F14" s="8"/>
      <c r="G14" s="8"/>
      <c r="H14" s="21"/>
      <c r="J14" s="4">
        <v>46174</v>
      </c>
      <c r="K14" s="5">
        <v>6060.606060606061</v>
      </c>
      <c r="L14" s="3" t="s">
        <v>57</v>
      </c>
      <c r="M14" s="10" t="s">
        <v>59</v>
      </c>
      <c r="N14" s="23" t="s">
        <v>58</v>
      </c>
      <c r="O14" s="10" t="s">
        <v>47</v>
      </c>
      <c r="Q14" s="4">
        <v>46172</v>
      </c>
      <c r="R14" s="19">
        <v>100000000</v>
      </c>
      <c r="S14" s="3" t="s">
        <v>61</v>
      </c>
      <c r="T14" s="10" t="s">
        <v>37</v>
      </c>
    </row>
    <row r="15" spans="1:20" ht="26.25" customHeight="1" thickTop="1" thickBot="1">
      <c r="A15" s="8"/>
      <c r="B15" s="21"/>
      <c r="C15" s="8"/>
      <c r="D15" s="8"/>
      <c r="E15" s="21"/>
      <c r="F15" s="8"/>
      <c r="G15" s="8"/>
      <c r="H15" s="21"/>
      <c r="J15" s="4">
        <v>46174</v>
      </c>
      <c r="K15" s="5">
        <v>6060.606060606061</v>
      </c>
      <c r="L15" s="3" t="s">
        <v>57</v>
      </c>
      <c r="M15" s="10" t="s">
        <v>59</v>
      </c>
      <c r="N15" s="23" t="s">
        <v>58</v>
      </c>
      <c r="O15" s="10" t="s">
        <v>47</v>
      </c>
      <c r="Q15" s="4">
        <v>46172</v>
      </c>
      <c r="R15" s="19">
        <v>1000000</v>
      </c>
      <c r="S15" s="3" t="s">
        <v>62</v>
      </c>
      <c r="T15" s="10" t="s">
        <v>39</v>
      </c>
    </row>
    <row r="16" spans="1:20" ht="26.25" customHeight="1" thickTop="1" thickBot="1">
      <c r="A16" s="8"/>
      <c r="B16" s="21"/>
      <c r="C16" s="8"/>
      <c r="D16" s="8"/>
      <c r="E16" s="21"/>
      <c r="F16" s="8"/>
      <c r="G16" s="8"/>
      <c r="H16" s="21"/>
      <c r="J16" s="4">
        <v>46175</v>
      </c>
      <c r="K16" s="5">
        <v>6060.606060606061</v>
      </c>
      <c r="L16" s="3" t="s">
        <v>57</v>
      </c>
      <c r="M16" s="10" t="s">
        <v>59</v>
      </c>
      <c r="N16" s="23" t="s">
        <v>58</v>
      </c>
      <c r="O16" s="10" t="s">
        <v>47</v>
      </c>
      <c r="Q16" s="4">
        <v>46172</v>
      </c>
      <c r="R16" s="19">
        <v>1000000</v>
      </c>
      <c r="S16" s="3" t="s">
        <v>57</v>
      </c>
      <c r="T16" s="10" t="s">
        <v>59</v>
      </c>
    </row>
    <row r="17" spans="1:20" ht="26.25" customHeight="1" thickTop="1" thickBot="1">
      <c r="A17" s="8"/>
      <c r="B17" s="21"/>
      <c r="C17" s="8"/>
      <c r="D17" s="8"/>
      <c r="E17" s="21"/>
      <c r="F17" s="8"/>
      <c r="G17" s="8"/>
      <c r="H17" s="21"/>
      <c r="J17" s="4">
        <v>46175</v>
      </c>
      <c r="K17" s="5">
        <v>6060.606060606061</v>
      </c>
      <c r="L17" s="3" t="s">
        <v>57</v>
      </c>
      <c r="M17" s="10" t="s">
        <v>59</v>
      </c>
      <c r="N17" s="23" t="s">
        <v>58</v>
      </c>
      <c r="O17" s="10" t="s">
        <v>47</v>
      </c>
      <c r="Q17" s="4">
        <v>46172</v>
      </c>
      <c r="R17" s="19">
        <v>200000</v>
      </c>
      <c r="S17" s="3" t="s">
        <v>57</v>
      </c>
      <c r="T17" s="10" t="s">
        <v>59</v>
      </c>
    </row>
    <row r="18" spans="1:20" ht="26.25" customHeight="1" thickTop="1" thickBot="1">
      <c r="A18" s="8"/>
      <c r="B18" s="21"/>
      <c r="C18" s="8"/>
      <c r="D18" s="8"/>
      <c r="E18" s="21"/>
      <c r="F18" s="8"/>
      <c r="G18" s="8"/>
      <c r="H18" s="21"/>
      <c r="J18" s="4">
        <v>46175</v>
      </c>
      <c r="K18" s="5">
        <v>6060.606060606061</v>
      </c>
      <c r="L18" s="3" t="s">
        <v>57</v>
      </c>
      <c r="M18" s="10" t="s">
        <v>59</v>
      </c>
      <c r="N18" s="23" t="s">
        <v>58</v>
      </c>
      <c r="O18" s="10" t="s">
        <v>47</v>
      </c>
      <c r="Q18" s="4">
        <v>46172</v>
      </c>
      <c r="R18" s="19">
        <v>100000</v>
      </c>
      <c r="S18" s="3" t="s">
        <v>57</v>
      </c>
      <c r="T18" s="10" t="s">
        <v>59</v>
      </c>
    </row>
    <row r="19" spans="1:20" ht="26.25" customHeight="1" thickTop="1" thickBot="1">
      <c r="A19" s="8"/>
      <c r="B19" s="21"/>
      <c r="C19" s="8"/>
      <c r="D19" s="8"/>
      <c r="E19" s="21"/>
      <c r="F19" s="8"/>
      <c r="G19" s="8"/>
      <c r="H19" s="21"/>
      <c r="J19" s="4">
        <v>46175</v>
      </c>
      <c r="K19" s="5">
        <v>6060.606060606061</v>
      </c>
      <c r="L19" s="3" t="s">
        <v>57</v>
      </c>
      <c r="M19" s="10" t="s">
        <v>59</v>
      </c>
      <c r="N19" s="23" t="s">
        <v>58</v>
      </c>
      <c r="O19" s="10" t="s">
        <v>47</v>
      </c>
      <c r="Q19" s="4">
        <v>46173</v>
      </c>
      <c r="R19" s="19">
        <v>1000000</v>
      </c>
      <c r="S19" s="3" t="s">
        <v>57</v>
      </c>
      <c r="T19" s="10" t="s">
        <v>59</v>
      </c>
    </row>
    <row r="20" spans="1:20" ht="26.25" customHeight="1" thickTop="1" thickBot="1">
      <c r="A20" s="8"/>
      <c r="B20" s="21"/>
      <c r="C20" s="8"/>
      <c r="D20" s="8"/>
      <c r="E20" s="21"/>
      <c r="F20" s="8"/>
      <c r="G20" s="8"/>
      <c r="H20" s="21"/>
      <c r="J20" s="4">
        <v>46175</v>
      </c>
      <c r="K20" s="5">
        <v>1332</v>
      </c>
      <c r="L20" s="3" t="s">
        <v>64</v>
      </c>
      <c r="M20" s="10" t="s">
        <v>21</v>
      </c>
      <c r="N20" s="23" t="s">
        <v>48</v>
      </c>
      <c r="O20" s="10" t="s">
        <v>54</v>
      </c>
      <c r="Q20" s="4">
        <v>46174</v>
      </c>
      <c r="R20" s="19">
        <v>1209000</v>
      </c>
      <c r="S20" s="3" t="s">
        <v>63</v>
      </c>
      <c r="T20" s="10" t="s">
        <v>39</v>
      </c>
    </row>
    <row r="21" spans="1:20" ht="26.25" customHeight="1" thickTop="1" thickBot="1">
      <c r="A21" s="8"/>
      <c r="B21" s="21"/>
      <c r="C21" s="8"/>
      <c r="D21" s="8"/>
      <c r="E21" s="21"/>
      <c r="F21" s="8"/>
      <c r="G21" s="8"/>
      <c r="H21" s="21"/>
      <c r="J21" s="4">
        <v>46175</v>
      </c>
      <c r="K21" s="5">
        <v>3725</v>
      </c>
      <c r="L21" s="3" t="s">
        <v>65</v>
      </c>
      <c r="M21" s="10" t="s">
        <v>21</v>
      </c>
      <c r="N21" s="23" t="s">
        <v>66</v>
      </c>
      <c r="O21" s="10" t="s">
        <v>54</v>
      </c>
      <c r="Q21" s="4">
        <v>46174</v>
      </c>
      <c r="R21" s="19">
        <v>1000000</v>
      </c>
      <c r="S21" s="3" t="s">
        <v>57</v>
      </c>
      <c r="T21" s="10" t="s">
        <v>59</v>
      </c>
    </row>
    <row r="22" spans="1:20" ht="26.25" customHeight="1" thickTop="1" thickBot="1">
      <c r="A22" s="8"/>
      <c r="B22" s="21"/>
      <c r="C22" s="8"/>
      <c r="D22" s="8"/>
      <c r="E22" s="21"/>
      <c r="F22" s="8"/>
      <c r="G22" s="8"/>
      <c r="H22" s="21"/>
      <c r="J22" s="4">
        <v>46176</v>
      </c>
      <c r="K22" s="5">
        <v>6060.606060606061</v>
      </c>
      <c r="L22" s="3" t="s">
        <v>57</v>
      </c>
      <c r="M22" s="10" t="s">
        <v>59</v>
      </c>
      <c r="N22" s="23" t="s">
        <v>58</v>
      </c>
      <c r="O22" s="10" t="s">
        <v>47</v>
      </c>
      <c r="Q22" s="4">
        <v>46174</v>
      </c>
      <c r="R22" s="19">
        <v>1000000</v>
      </c>
      <c r="S22" s="3" t="s">
        <v>57</v>
      </c>
      <c r="T22" s="10" t="s">
        <v>59</v>
      </c>
    </row>
    <row r="23" spans="1:20" ht="26.25" customHeight="1" thickTop="1" thickBot="1">
      <c r="A23" s="8"/>
      <c r="B23" s="21"/>
      <c r="C23" s="8"/>
      <c r="D23" s="8"/>
      <c r="E23" s="21"/>
      <c r="F23" s="8"/>
      <c r="G23" s="8"/>
      <c r="H23" s="21"/>
      <c r="J23" s="4">
        <v>46176</v>
      </c>
      <c r="K23" s="5">
        <v>6060.606060606061</v>
      </c>
      <c r="L23" s="3" t="s">
        <v>57</v>
      </c>
      <c r="M23" s="10" t="s">
        <v>59</v>
      </c>
      <c r="N23" s="23" t="s">
        <v>58</v>
      </c>
      <c r="O23" s="10" t="s">
        <v>47</v>
      </c>
      <c r="Q23" s="4">
        <v>46174</v>
      </c>
      <c r="R23" s="19">
        <v>1000000</v>
      </c>
      <c r="S23" s="3" t="s">
        <v>57</v>
      </c>
      <c r="T23" s="10" t="s">
        <v>59</v>
      </c>
    </row>
    <row r="24" spans="1:20" ht="26.25" customHeight="1" thickTop="1" thickBot="1">
      <c r="A24" s="8"/>
      <c r="B24" s="21"/>
      <c r="C24" s="8"/>
      <c r="D24" s="8"/>
      <c r="E24" s="21"/>
      <c r="F24" s="8"/>
      <c r="G24" s="8"/>
      <c r="H24" s="21"/>
      <c r="J24" s="4">
        <v>46177</v>
      </c>
      <c r="K24" s="5">
        <v>1487</v>
      </c>
      <c r="L24" s="3" t="s">
        <v>64</v>
      </c>
      <c r="M24" s="10" t="s">
        <v>21</v>
      </c>
      <c r="N24" s="23" t="s">
        <v>46</v>
      </c>
      <c r="O24" s="10" t="s">
        <v>54</v>
      </c>
      <c r="Q24" s="4">
        <v>46174</v>
      </c>
      <c r="R24" s="19">
        <v>1000000</v>
      </c>
      <c r="S24" s="3" t="s">
        <v>57</v>
      </c>
      <c r="T24" s="10" t="s">
        <v>59</v>
      </c>
    </row>
    <row r="25" spans="1:20" ht="26.25" customHeight="1" thickTop="1" thickBot="1">
      <c r="J25" s="4">
        <v>46177</v>
      </c>
      <c r="K25" s="5">
        <v>1050</v>
      </c>
      <c r="L25" s="3" t="s">
        <v>69</v>
      </c>
      <c r="M25" s="10" t="s">
        <v>68</v>
      </c>
      <c r="N25" s="23" t="s">
        <v>48</v>
      </c>
      <c r="O25" s="10" t="s">
        <v>47</v>
      </c>
      <c r="Q25" s="4">
        <v>46175</v>
      </c>
      <c r="R25" s="19">
        <v>1000000</v>
      </c>
      <c r="S25" s="3" t="s">
        <v>57</v>
      </c>
      <c r="T25" s="10" t="s">
        <v>59</v>
      </c>
    </row>
    <row r="26" spans="1:20" ht="26.25" customHeight="1" thickTop="1" thickBot="1">
      <c r="J26" s="4">
        <v>46177</v>
      </c>
      <c r="K26" s="5">
        <v>321</v>
      </c>
      <c r="L26" s="3" t="s">
        <v>75</v>
      </c>
      <c r="M26" s="10" t="s">
        <v>68</v>
      </c>
      <c r="N26" s="23" t="s">
        <v>48</v>
      </c>
      <c r="O26" s="10" t="s">
        <v>47</v>
      </c>
      <c r="Q26" s="4">
        <v>46175</v>
      </c>
      <c r="R26" s="19">
        <v>1000000</v>
      </c>
      <c r="S26" s="3" t="s">
        <v>57</v>
      </c>
      <c r="T26" s="10" t="s">
        <v>59</v>
      </c>
    </row>
    <row r="27" spans="1:20" ht="26.25" customHeight="1" thickTop="1" thickBot="1">
      <c r="J27" s="4">
        <v>46178</v>
      </c>
      <c r="K27" s="5">
        <v>100</v>
      </c>
      <c r="L27" s="3" t="s">
        <v>49</v>
      </c>
      <c r="M27" s="10" t="s">
        <v>39</v>
      </c>
      <c r="N27" s="23" t="s">
        <v>48</v>
      </c>
      <c r="O27" s="10" t="s">
        <v>47</v>
      </c>
      <c r="Q27" s="4">
        <v>46175</v>
      </c>
      <c r="R27" s="19">
        <v>1000000</v>
      </c>
      <c r="S27" s="3" t="s">
        <v>57</v>
      </c>
      <c r="T27" s="10" t="s">
        <v>59</v>
      </c>
    </row>
    <row r="28" spans="1:20" ht="26.25" customHeight="1" thickTop="1" thickBot="1">
      <c r="J28" s="4">
        <v>46178</v>
      </c>
      <c r="K28" s="5">
        <v>650</v>
      </c>
      <c r="L28" s="3" t="s">
        <v>74</v>
      </c>
      <c r="M28" s="10" t="s">
        <v>68</v>
      </c>
      <c r="N28" s="23" t="s">
        <v>48</v>
      </c>
      <c r="O28" s="10" t="s">
        <v>47</v>
      </c>
      <c r="Q28" s="4">
        <v>46175</v>
      </c>
      <c r="R28" s="19">
        <v>1000000</v>
      </c>
      <c r="S28" s="3" t="s">
        <v>57</v>
      </c>
      <c r="T28" s="10" t="s">
        <v>59</v>
      </c>
    </row>
    <row r="29" spans="1:20" ht="26.25" customHeight="1" thickTop="1" thickBot="1">
      <c r="J29" s="4">
        <v>46178</v>
      </c>
      <c r="K29" s="5">
        <v>1945</v>
      </c>
      <c r="L29" s="3" t="s">
        <v>64</v>
      </c>
      <c r="M29" s="10" t="s">
        <v>21</v>
      </c>
      <c r="N29" s="23" t="s">
        <v>46</v>
      </c>
      <c r="O29" s="10" t="s">
        <v>54</v>
      </c>
      <c r="Q29" s="4">
        <v>46176</v>
      </c>
      <c r="R29" s="19">
        <v>1000000</v>
      </c>
      <c r="S29" s="3" t="s">
        <v>57</v>
      </c>
      <c r="T29" s="10" t="s">
        <v>59</v>
      </c>
    </row>
    <row r="30" spans="1:20" ht="26.25" customHeight="1" thickTop="1" thickBot="1">
      <c r="J30" s="4">
        <v>46179</v>
      </c>
      <c r="K30" s="5">
        <v>1550</v>
      </c>
      <c r="L30" s="3" t="s">
        <v>69</v>
      </c>
      <c r="M30" s="10" t="s">
        <v>68</v>
      </c>
      <c r="N30" s="23" t="s">
        <v>46</v>
      </c>
      <c r="O30" s="10" t="s">
        <v>71</v>
      </c>
      <c r="Q30" s="4">
        <v>46176</v>
      </c>
      <c r="R30" s="19">
        <v>1000000</v>
      </c>
      <c r="S30" s="3" t="s">
        <v>57</v>
      </c>
      <c r="T30" s="10" t="s">
        <v>59</v>
      </c>
    </row>
    <row r="31" spans="1:20" ht="26.25" customHeight="1" thickTop="1" thickBot="1">
      <c r="J31" s="4">
        <v>46179</v>
      </c>
      <c r="K31" s="5">
        <v>130</v>
      </c>
      <c r="L31" s="3" t="s">
        <v>70</v>
      </c>
      <c r="M31" s="10" t="s">
        <v>68</v>
      </c>
      <c r="N31" s="23" t="s">
        <v>48</v>
      </c>
      <c r="O31" s="10" t="s">
        <v>71</v>
      </c>
      <c r="Q31" s="4">
        <v>46176</v>
      </c>
      <c r="R31" s="19">
        <v>1000000</v>
      </c>
      <c r="S31" s="3" t="s">
        <v>57</v>
      </c>
      <c r="T31" s="10" t="s">
        <v>59</v>
      </c>
    </row>
    <row r="32" spans="1:20" ht="26.25" customHeight="1" thickTop="1" thickBot="1">
      <c r="J32" s="4">
        <v>46179</v>
      </c>
      <c r="K32" s="5">
        <f>2375+2399</f>
        <v>4774</v>
      </c>
      <c r="L32" s="3" t="s">
        <v>72</v>
      </c>
      <c r="M32" s="10" t="s">
        <v>9</v>
      </c>
      <c r="N32" s="23" t="s">
        <v>46</v>
      </c>
      <c r="O32" s="10" t="s">
        <v>54</v>
      </c>
      <c r="Q32" s="4">
        <v>46176</v>
      </c>
      <c r="R32" s="19">
        <v>1000000</v>
      </c>
      <c r="S32" s="3" t="s">
        <v>57</v>
      </c>
      <c r="T32" s="10" t="s">
        <v>59</v>
      </c>
    </row>
    <row r="33" spans="10:20" ht="26.25" customHeight="1" thickTop="1" thickBot="1">
      <c r="J33" s="4">
        <v>46179</v>
      </c>
      <c r="K33" s="5">
        <v>1500</v>
      </c>
      <c r="L33" s="3" t="s">
        <v>73</v>
      </c>
      <c r="M33" s="10" t="s">
        <v>68</v>
      </c>
      <c r="N33" s="23" t="s">
        <v>46</v>
      </c>
      <c r="O33" s="10" t="s">
        <v>71</v>
      </c>
      <c r="Q33" s="4">
        <v>46182</v>
      </c>
      <c r="R33" s="19">
        <v>100000</v>
      </c>
      <c r="S33" s="3" t="s">
        <v>57</v>
      </c>
      <c r="T33" s="10" t="s">
        <v>59</v>
      </c>
    </row>
    <row r="34" spans="10:20" ht="26.25" customHeight="1" thickTop="1" thickBot="1">
      <c r="J34" s="4">
        <v>46180</v>
      </c>
      <c r="K34" s="5">
        <v>6060.606060606061</v>
      </c>
      <c r="L34" s="3" t="s">
        <v>57</v>
      </c>
      <c r="M34" s="10" t="s">
        <v>59</v>
      </c>
      <c r="N34" s="23" t="s">
        <v>58</v>
      </c>
      <c r="O34" s="10" t="s">
        <v>47</v>
      </c>
      <c r="Q34" s="4"/>
      <c r="R34" s="19"/>
      <c r="S34" s="3"/>
      <c r="T34" s="10"/>
    </row>
    <row r="35" spans="10:20" ht="26.25" customHeight="1" thickTop="1" thickBot="1">
      <c r="J35" s="4">
        <v>46180</v>
      </c>
      <c r="K35" s="5">
        <v>2350</v>
      </c>
      <c r="L35" s="3" t="s">
        <v>69</v>
      </c>
      <c r="M35" s="10" t="s">
        <v>68</v>
      </c>
      <c r="N35" s="23" t="s">
        <v>48</v>
      </c>
      <c r="O35" s="10" t="s">
        <v>47</v>
      </c>
      <c r="Q35" s="2"/>
      <c r="R35" s="19"/>
      <c r="S35" s="3"/>
      <c r="T35" s="10"/>
    </row>
    <row r="36" spans="10:20" ht="26.25" customHeight="1" thickTop="1" thickBot="1">
      <c r="J36" s="4">
        <v>46180</v>
      </c>
      <c r="K36" s="5">
        <v>1186</v>
      </c>
      <c r="L36" s="3" t="s">
        <v>76</v>
      </c>
      <c r="M36" s="10" t="s">
        <v>77</v>
      </c>
      <c r="N36" s="23" t="s">
        <v>48</v>
      </c>
      <c r="O36" s="10" t="s">
        <v>47</v>
      </c>
      <c r="Q36" s="2"/>
      <c r="R36" s="19"/>
      <c r="S36" s="3"/>
      <c r="T36" s="10"/>
    </row>
    <row r="37" spans="10:20" ht="26.25" customHeight="1" thickTop="1" thickBot="1">
      <c r="J37" s="4">
        <v>46180</v>
      </c>
      <c r="K37" s="5">
        <v>1287</v>
      </c>
      <c r="L37" s="3" t="s">
        <v>64</v>
      </c>
      <c r="M37" s="10" t="s">
        <v>21</v>
      </c>
      <c r="N37" s="23" t="s">
        <v>48</v>
      </c>
      <c r="O37" s="10" t="s">
        <v>47</v>
      </c>
      <c r="Q37" s="2"/>
      <c r="R37" s="19"/>
      <c r="S37" s="3"/>
      <c r="T37" s="10"/>
    </row>
    <row r="38" spans="10:20" ht="26.25" customHeight="1" thickTop="1" thickBot="1">
      <c r="J38" s="4">
        <v>46181</v>
      </c>
      <c r="K38" s="5">
        <v>467</v>
      </c>
      <c r="L38" s="3" t="s">
        <v>75</v>
      </c>
      <c r="M38" s="10" t="s">
        <v>68</v>
      </c>
      <c r="N38" s="23" t="s">
        <v>48</v>
      </c>
      <c r="O38" s="10" t="s">
        <v>47</v>
      </c>
      <c r="Q38" s="2"/>
      <c r="R38" s="19"/>
      <c r="S38" s="3"/>
      <c r="T38" s="10"/>
    </row>
    <row r="39" spans="10:20" ht="26.25" customHeight="1" thickTop="1" thickBot="1">
      <c r="J39" s="4">
        <v>46181</v>
      </c>
      <c r="K39" s="5">
        <v>1030</v>
      </c>
      <c r="L39" s="3" t="s">
        <v>69</v>
      </c>
      <c r="M39" s="10" t="s">
        <v>68</v>
      </c>
      <c r="N39" s="23" t="s">
        <v>48</v>
      </c>
      <c r="O39" s="10" t="s">
        <v>47</v>
      </c>
      <c r="Q39" s="2"/>
      <c r="R39" s="19"/>
      <c r="S39" s="3"/>
      <c r="T39" s="10"/>
    </row>
    <row r="40" spans="10:20" ht="26.25" customHeight="1" thickTop="1" thickBot="1">
      <c r="J40" s="4">
        <v>46181</v>
      </c>
      <c r="K40" s="5">
        <v>737</v>
      </c>
      <c r="L40" s="3" t="s">
        <v>78</v>
      </c>
      <c r="M40" s="10" t="s">
        <v>39</v>
      </c>
      <c r="N40" s="23" t="s">
        <v>48</v>
      </c>
      <c r="O40" s="10" t="s">
        <v>47</v>
      </c>
      <c r="Q40" s="2"/>
      <c r="R40" s="19"/>
      <c r="S40" s="3"/>
      <c r="T40" s="10"/>
    </row>
    <row r="41" spans="10:20" ht="26.25" customHeight="1" thickTop="1" thickBot="1">
      <c r="J41" s="4">
        <v>46181</v>
      </c>
      <c r="K41" s="5">
        <v>100</v>
      </c>
      <c r="L41" s="3" t="s">
        <v>79</v>
      </c>
      <c r="M41" s="10" t="s">
        <v>39</v>
      </c>
      <c r="N41" s="23" t="s">
        <v>48</v>
      </c>
      <c r="O41" s="10" t="s">
        <v>47</v>
      </c>
      <c r="Q41" s="2"/>
      <c r="R41" s="19"/>
      <c r="S41" s="3"/>
      <c r="T41" s="10"/>
    </row>
    <row r="42" spans="10:20" ht="26.25" customHeight="1" thickTop="1" thickBot="1">
      <c r="J42" s="4">
        <v>46181</v>
      </c>
      <c r="K42" s="5">
        <v>1188</v>
      </c>
      <c r="L42" s="3" t="s">
        <v>64</v>
      </c>
      <c r="M42" s="10" t="s">
        <v>21</v>
      </c>
      <c r="N42" s="23" t="s">
        <v>46</v>
      </c>
      <c r="O42" s="10" t="s">
        <v>54</v>
      </c>
      <c r="Q42" s="2"/>
      <c r="R42" s="19"/>
      <c r="S42" s="3"/>
      <c r="T42" s="10"/>
    </row>
    <row r="43" spans="10:20" ht="26.25" customHeight="1" thickTop="1" thickBot="1">
      <c r="J43" s="4">
        <v>46181</v>
      </c>
      <c r="K43" s="5">
        <v>1355</v>
      </c>
      <c r="L43" s="3" t="s">
        <v>64</v>
      </c>
      <c r="M43" s="10" t="s">
        <v>21</v>
      </c>
      <c r="N43" s="23" t="s">
        <v>46</v>
      </c>
      <c r="O43" s="10" t="s">
        <v>54</v>
      </c>
      <c r="Q43" s="2"/>
      <c r="R43" s="19"/>
      <c r="S43" s="3"/>
      <c r="T43" s="10"/>
    </row>
    <row r="44" spans="10:20" ht="26.25" customHeight="1" thickTop="1" thickBot="1">
      <c r="J44" s="4">
        <v>46182</v>
      </c>
      <c r="K44" s="5">
        <v>30000</v>
      </c>
      <c r="L44" s="3" t="s">
        <v>41</v>
      </c>
      <c r="M44" s="10" t="s">
        <v>42</v>
      </c>
      <c r="N44" s="23" t="s">
        <v>46</v>
      </c>
      <c r="O44" s="10" t="s">
        <v>47</v>
      </c>
      <c r="Q44" s="2"/>
      <c r="R44" s="19"/>
      <c r="S44" s="3"/>
      <c r="T44" s="10"/>
    </row>
    <row r="45" spans="10:20" ht="26.25" customHeight="1" thickTop="1" thickBot="1">
      <c r="J45" s="4">
        <v>46182</v>
      </c>
      <c r="K45" s="5">
        <f>100000/164</f>
        <v>609.7560975609756</v>
      </c>
      <c r="L45" s="3" t="s">
        <v>57</v>
      </c>
      <c r="M45" s="10" t="s">
        <v>59</v>
      </c>
      <c r="N45" s="23" t="s">
        <v>58</v>
      </c>
      <c r="O45" s="10" t="s">
        <v>47</v>
      </c>
      <c r="Q45" s="2"/>
      <c r="R45" s="19"/>
      <c r="S45" s="3"/>
      <c r="T45" s="10"/>
    </row>
    <row r="46" spans="10:20" ht="26.25" customHeight="1" thickTop="1" thickBot="1">
      <c r="J46" s="4">
        <v>46182</v>
      </c>
      <c r="K46" s="5">
        <v>2400</v>
      </c>
      <c r="L46" s="3" t="s">
        <v>69</v>
      </c>
      <c r="M46" s="10" t="s">
        <v>68</v>
      </c>
      <c r="N46" s="23" t="s">
        <v>46</v>
      </c>
      <c r="O46" s="10" t="s">
        <v>47</v>
      </c>
      <c r="Q46" s="2"/>
      <c r="R46" s="19"/>
      <c r="S46" s="3"/>
      <c r="T46" s="10"/>
    </row>
    <row r="47" spans="10:20" ht="26.25" customHeight="1" thickTop="1" thickBot="1">
      <c r="J47" s="4"/>
      <c r="K47" s="5"/>
      <c r="L47" s="3"/>
      <c r="M47" s="10"/>
      <c r="N47" s="23"/>
      <c r="O47" s="10"/>
      <c r="Q47" s="2"/>
      <c r="R47" s="19"/>
      <c r="S47" s="3"/>
      <c r="T47" s="10"/>
    </row>
    <row r="48" spans="10:20" ht="26.25" customHeight="1" thickTop="1" thickBot="1">
      <c r="J48" s="4"/>
      <c r="K48" s="5"/>
      <c r="L48" s="3"/>
      <c r="M48" s="10"/>
      <c r="N48" s="23"/>
      <c r="O48" s="10"/>
      <c r="Q48" s="2"/>
      <c r="R48" s="19"/>
      <c r="S48" s="3"/>
      <c r="T48" s="10"/>
    </row>
    <row r="49" spans="10:20" ht="26.25" customHeight="1" thickTop="1" thickBot="1">
      <c r="J49" s="4"/>
      <c r="K49" s="5"/>
      <c r="L49" s="3"/>
      <c r="M49" s="10"/>
      <c r="N49" s="23"/>
      <c r="O49" s="10"/>
      <c r="Q49" s="2"/>
      <c r="R49" s="19"/>
      <c r="S49" s="3"/>
      <c r="T49" s="10"/>
    </row>
    <row r="50" spans="10:20" ht="26.25" customHeight="1" thickTop="1" thickBot="1">
      <c r="J50" s="4"/>
      <c r="K50" s="5"/>
      <c r="L50" s="3"/>
      <c r="M50" s="10"/>
      <c r="N50" s="23"/>
      <c r="O50" s="10"/>
      <c r="Q50" s="2"/>
      <c r="R50" s="19"/>
      <c r="S50" s="3"/>
      <c r="T50" s="10"/>
    </row>
    <row r="51" spans="10:20" ht="26.25" customHeight="1" thickTop="1" thickBot="1">
      <c r="J51" s="4"/>
      <c r="K51" s="5"/>
      <c r="L51" s="3"/>
      <c r="M51" s="10"/>
      <c r="N51" s="23"/>
      <c r="O51" s="10"/>
      <c r="Q51" s="2"/>
      <c r="R51" s="19"/>
      <c r="S51" s="3"/>
      <c r="T51" s="10"/>
    </row>
    <row r="52" spans="10:20" ht="26.25" customHeight="1" thickTop="1" thickBot="1">
      <c r="J52" s="4"/>
      <c r="K52" s="5"/>
      <c r="L52" s="3"/>
      <c r="M52" s="10"/>
      <c r="N52" s="23"/>
      <c r="O52" s="10"/>
      <c r="Q52" s="2"/>
      <c r="R52" s="19"/>
      <c r="S52" s="3"/>
      <c r="T52" s="10"/>
    </row>
    <row r="53" spans="10:20" ht="26.25" customHeight="1" thickTop="1" thickBot="1">
      <c r="J53" s="2"/>
      <c r="K53" s="5"/>
      <c r="L53" s="3"/>
      <c r="M53" s="10"/>
      <c r="N53" s="23"/>
      <c r="O53" s="10"/>
      <c r="Q53" s="2"/>
      <c r="R53" s="19"/>
      <c r="S53" s="3"/>
      <c r="T53" s="10"/>
    </row>
    <row r="54" spans="10:20" ht="26.25" customHeight="1" thickTop="1" thickBot="1">
      <c r="J54" s="2"/>
      <c r="K54" s="5"/>
      <c r="L54" s="3"/>
      <c r="M54" s="10"/>
      <c r="N54" s="23"/>
      <c r="O54" s="10"/>
      <c r="Q54" s="2"/>
      <c r="R54" s="19"/>
      <c r="S54" s="3"/>
      <c r="T54" s="10"/>
    </row>
    <row r="55" spans="10:20" ht="26.25" customHeight="1" thickTop="1" thickBot="1">
      <c r="J55" s="2"/>
      <c r="K55" s="5"/>
      <c r="L55" s="3"/>
      <c r="M55" s="10"/>
      <c r="N55" s="23"/>
      <c r="O55" s="10"/>
      <c r="Q55" s="2"/>
      <c r="R55" s="19"/>
      <c r="S55" s="3"/>
      <c r="T55" s="10"/>
    </row>
    <row r="56" spans="10:20" ht="26.25" customHeight="1" thickTop="1" thickBot="1">
      <c r="J56" s="2"/>
      <c r="K56" s="5"/>
      <c r="L56" s="3"/>
      <c r="M56" s="10"/>
      <c r="N56" s="23"/>
      <c r="O56" s="10"/>
      <c r="Q56" s="2"/>
      <c r="R56" s="19"/>
      <c r="S56" s="3"/>
      <c r="T56" s="10"/>
    </row>
    <row r="57" spans="10:20" ht="26.25" customHeight="1" thickTop="1" thickBot="1">
      <c r="J57" s="2"/>
      <c r="K57" s="5"/>
      <c r="L57" s="3"/>
      <c r="M57" s="10"/>
      <c r="N57" s="23"/>
      <c r="O57" s="10"/>
      <c r="Q57" s="2"/>
      <c r="R57" s="19"/>
      <c r="S57" s="3"/>
      <c r="T57" s="10"/>
    </row>
    <row r="58" spans="10:20" ht="26.25" customHeight="1" thickTop="1" thickBot="1">
      <c r="J58" s="2"/>
      <c r="K58" s="5"/>
      <c r="L58" s="3"/>
      <c r="M58" s="10"/>
      <c r="N58" s="23"/>
      <c r="O58" s="10"/>
      <c r="Q58" s="2"/>
      <c r="R58" s="19"/>
      <c r="S58" s="3"/>
      <c r="T58" s="10"/>
    </row>
    <row r="59" spans="10:20" ht="26.25" customHeight="1" thickTop="1" thickBot="1">
      <c r="J59" s="2"/>
      <c r="K59" s="5"/>
      <c r="L59" s="3"/>
      <c r="M59" s="10"/>
      <c r="N59" s="23"/>
      <c r="O59" s="10"/>
      <c r="Q59" s="2"/>
      <c r="R59" s="19"/>
      <c r="S59" s="3"/>
      <c r="T59" s="10"/>
    </row>
    <row r="60" spans="10:20" ht="26.25" customHeight="1" thickTop="1" thickBot="1">
      <c r="J60" s="2"/>
      <c r="K60" s="5"/>
      <c r="L60" s="3"/>
      <c r="M60" s="10"/>
      <c r="N60" s="23"/>
      <c r="O60" s="10"/>
      <c r="Q60" s="2"/>
      <c r="R60" s="19"/>
      <c r="S60" s="3"/>
      <c r="T60" s="10"/>
    </row>
    <row r="61" spans="10:20" ht="26.25" customHeight="1" thickTop="1" thickBot="1">
      <c r="J61" s="2"/>
      <c r="K61" s="5"/>
      <c r="L61" s="3"/>
      <c r="M61" s="10"/>
      <c r="N61" s="23"/>
      <c r="O61" s="10"/>
      <c r="Q61" s="2"/>
      <c r="R61" s="19"/>
      <c r="S61" s="3"/>
      <c r="T61" s="10"/>
    </row>
    <row r="62" spans="10:20" ht="26.25" customHeight="1" thickTop="1" thickBot="1">
      <c r="J62" s="16" t="s">
        <v>28</v>
      </c>
      <c r="K62" s="31">
        <f>SUM(K3:K61)</f>
        <v>292380.69549150026</v>
      </c>
      <c r="L62" s="32"/>
      <c r="M62" s="32"/>
      <c r="N62" s="32"/>
      <c r="O62" s="33"/>
      <c r="Q62" s="16" t="s">
        <v>28</v>
      </c>
      <c r="R62" s="27">
        <f>SUM(R3:R61)</f>
        <v>321009000</v>
      </c>
      <c r="S62" s="28"/>
      <c r="T62" s="29"/>
    </row>
  </sheetData>
  <autoFilter ref="S1:S62" xr:uid="{E4422289-F014-4091-87C0-8523A89BDE69}"/>
  <mergeCells count="7">
    <mergeCell ref="Q1:T1"/>
    <mergeCell ref="R62:T62"/>
    <mergeCell ref="A1:B1"/>
    <mergeCell ref="D1:E1"/>
    <mergeCell ref="G1:H1"/>
    <mergeCell ref="J1:O1"/>
    <mergeCell ref="K62:O62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MẪU</vt:lpstr>
      <vt:lpstr>2026_06_Chi tiết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グェン　ドック ギャ</dc:creator>
  <cp:lastModifiedBy>LeVeL infinity</cp:lastModifiedBy>
  <cp:lastPrinted>2024-11-15T00:54:34Z</cp:lastPrinted>
  <dcterms:created xsi:type="dcterms:W3CDTF">2024-05-23T07:22:52Z</dcterms:created>
  <dcterms:modified xsi:type="dcterms:W3CDTF">2026-06-09T12:01:38Z</dcterms:modified>
</cp:coreProperties>
</file>